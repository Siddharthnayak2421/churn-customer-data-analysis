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8000"/>
  </bookViews>
  <sheets>
    <sheet name="churn-bigml-80 (1) (2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<sst xmlns="http://schemas.openxmlformats.org/spreadsheetml/2006/main" count="8073" uniqueCount="117">
  <si>
    <t>State</t>
  </si>
  <si>
    <t>Account length</t>
  </si>
  <si>
    <t>Area code</t>
  </si>
  <si>
    <t>International plan</t>
  </si>
  <si>
    <t>Voice mail plan</t>
  </si>
  <si>
    <t>Number vmail messages</t>
  </si>
  <si>
    <t>Total day minutes</t>
  </si>
  <si>
    <t>Total day calls</t>
  </si>
  <si>
    <t>Total day charge</t>
  </si>
  <si>
    <t>Total eve minutes</t>
  </si>
  <si>
    <t>Total eve calls</t>
  </si>
  <si>
    <t>Total eve charge</t>
  </si>
  <si>
    <t>Total night minutes</t>
  </si>
  <si>
    <t>Total night calls</t>
  </si>
  <si>
    <t>Total night charge</t>
  </si>
  <si>
    <t>Total intl minutes</t>
  </si>
  <si>
    <t>Total intl calls</t>
  </si>
  <si>
    <t>Total intl charge</t>
  </si>
  <si>
    <t>Customer service calls</t>
  </si>
  <si>
    <t>Churn</t>
  </si>
  <si>
    <t>Mean</t>
  </si>
  <si>
    <t>Median</t>
  </si>
  <si>
    <t>Mode</t>
  </si>
  <si>
    <t>Variance</t>
  </si>
  <si>
    <t>Standard Deviation</t>
  </si>
  <si>
    <t>Correlation</t>
  </si>
  <si>
    <t>Covariance</t>
  </si>
  <si>
    <t>Regression Slope</t>
  </si>
  <si>
    <t>Regression Intercept</t>
  </si>
  <si>
    <t>R Square(R^2)</t>
  </si>
  <si>
    <t>Stayed Day Minutes</t>
  </si>
  <si>
    <t>Churned Day Minutes</t>
  </si>
  <si>
    <t>T-Test</t>
  </si>
  <si>
    <t>International Plan</t>
  </si>
  <si>
    <t>Stayed</t>
  </si>
  <si>
    <t>Churned</t>
  </si>
  <si>
    <t>Expected Stayed</t>
  </si>
  <si>
    <t>Expected Churned</t>
  </si>
  <si>
    <t>Chi-Square Test</t>
  </si>
  <si>
    <t>Area 408</t>
  </si>
  <si>
    <t>Area 415</t>
  </si>
  <si>
    <t>Area 510</t>
  </si>
  <si>
    <t>ANOVA p-value</t>
  </si>
  <si>
    <t>Area 408 Mean</t>
  </si>
  <si>
    <t>Area 415 Mean</t>
  </si>
  <si>
    <t>Area 510 Mean</t>
  </si>
  <si>
    <t>Over all Mean</t>
  </si>
  <si>
    <t>Area 408 Count</t>
  </si>
  <si>
    <t>Area 415 Count</t>
  </si>
  <si>
    <t>Area 510 Count</t>
  </si>
  <si>
    <t>SS Between</t>
  </si>
  <si>
    <t>Total Count</t>
  </si>
  <si>
    <t>SS Total</t>
  </si>
  <si>
    <t>SS Within</t>
  </si>
  <si>
    <t>DF Between</t>
  </si>
  <si>
    <t>DF Within</t>
  </si>
  <si>
    <t>MS Between</t>
  </si>
  <si>
    <t>MS Within</t>
  </si>
  <si>
    <t>F Statistic</t>
  </si>
  <si>
    <t>Statistical Measure</t>
  </si>
  <si>
    <t>Result</t>
  </si>
  <si>
    <t>KS</t>
  </si>
  <si>
    <t>No</t>
  </si>
  <si>
    <t>Yes</t>
  </si>
  <si>
    <t>OH</t>
  </si>
  <si>
    <t>NJ</t>
  </si>
  <si>
    <t>OK</t>
  </si>
  <si>
    <t>AL</t>
  </si>
  <si>
    <t>MA</t>
  </si>
  <si>
    <t>MO</t>
  </si>
  <si>
    <t>Regression R^2</t>
  </si>
  <si>
    <t>WV</t>
  </si>
  <si>
    <t>t-Test p-value</t>
  </si>
  <si>
    <t>RI</t>
  </si>
  <si>
    <t>Chi-Square p-value</t>
  </si>
  <si>
    <t>IA</t>
  </si>
  <si>
    <t>MT</t>
  </si>
  <si>
    <t>ID</t>
  </si>
  <si>
    <t>VT</t>
  </si>
  <si>
    <t>VA</t>
  </si>
  <si>
    <t>TX</t>
  </si>
  <si>
    <t>FL</t>
  </si>
  <si>
    <t>CO</t>
  </si>
  <si>
    <t>AZ</t>
  </si>
  <si>
    <t>NE</t>
  </si>
  <si>
    <t>WY</t>
  </si>
  <si>
    <t>IL</t>
  </si>
  <si>
    <t>NH</t>
  </si>
  <si>
    <t>LA</t>
  </si>
  <si>
    <t>GA</t>
  </si>
  <si>
    <t>AK</t>
  </si>
  <si>
    <t>MD</t>
  </si>
  <si>
    <t>AR</t>
  </si>
  <si>
    <t>WI</t>
  </si>
  <si>
    <t>OR</t>
  </si>
  <si>
    <t>DE</t>
  </si>
  <si>
    <t>IN</t>
  </si>
  <si>
    <t>UT</t>
  </si>
  <si>
    <t>CA</t>
  </si>
  <si>
    <t>SD</t>
  </si>
  <si>
    <t>NC</t>
  </si>
  <si>
    <t>WA</t>
  </si>
  <si>
    <t>MN</t>
  </si>
  <si>
    <t>NM</t>
  </si>
  <si>
    <t>NV</t>
  </si>
  <si>
    <t>DC</t>
  </si>
  <si>
    <t>NY</t>
  </si>
  <si>
    <t>KY</t>
  </si>
  <si>
    <t>ME</t>
  </si>
  <si>
    <t>MS</t>
  </si>
  <si>
    <t>MI</t>
  </si>
  <si>
    <t>SC</t>
  </si>
  <si>
    <t>TN</t>
  </si>
  <si>
    <t>PA</t>
  </si>
  <si>
    <t>HI</t>
  </si>
  <si>
    <t>ND</t>
  </si>
  <si>
    <t>CT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</si>
</sst>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5" applyNumberFormat="0" applyAlignment="0" applyProtection="0"/>
    <xf numFmtId="0" fontId="11" fillId="4" borderId="6" applyNumberFormat="0" applyAlignment="0" applyProtection="0"/>
    <xf numFmtId="0" fontId="12" fillId="4" borderId="5" applyNumberFormat="0" applyAlignment="0" applyProtection="0"/>
    <xf numFmtId="0" fontId="13" fillId="5" borderId="7" applyNumberFormat="0" applyAlignment="0" applyProtection="0"/>
    <xf numFmtId="0" fontId="14" fillId="0" borderId="8" applyNumberFormat="0" applyFill="0" applyAlignment="0" applyProtection="0"/>
    <xf numFmtId="0" fontId="15" fillId="0" borderId="9" applyNumberFormat="0" applyFill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19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19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19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19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19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T2667"/>
  <sheetViews>
    <sheetView tabSelected="1" topLeftCell="AP1" workbookViewId="0">
      <selection activeCell="AU3" sqref="AU3"/>
    </sheetView>
  </sheetViews>
  <sheetFormatPr defaultColWidth="9" defaultRowHeight="14.5"/>
  <cols>
    <col min="31" max="32" width="16.9090909090909" customWidth="1"/>
    <col min="33" max="33" width="10.6363636363636" customWidth="1"/>
    <col min="34" max="34" width="16.1818181818182" customWidth="1"/>
    <col min="35" max="35" width="18.3636363636364" customWidth="1"/>
    <col min="36" max="36" width="12.5454545454545" customWidth="1"/>
    <col min="37" max="37" width="17.2727272727273" customWidth="1"/>
    <col min="38" max="38" width="18.6363636363636" customWidth="1"/>
    <col min="41" max="41" width="17.0909090909091" customWidth="1"/>
    <col min="45" max="45" width="14.3636363636364" customWidth="1"/>
    <col min="46" max="46" width="15.8181818181818" customWidth="1"/>
    <col min="47" max="47" width="14.2727272727273" customWidth="1"/>
    <col min="52" max="52" width="13.4545454545455" customWidth="1"/>
    <col min="53" max="53" width="13.9090909090909" customWidth="1"/>
    <col min="54" max="54" width="13.6363636363636" customWidth="1"/>
    <col min="55" max="55" width="14.0909090909091" customWidth="1"/>
    <col min="56" max="56" width="12.4545454545455" customWidth="1"/>
    <col min="57" max="57" width="13.9090909090909" customWidth="1"/>
    <col min="58" max="58" width="13.7272727272727" customWidth="1"/>
    <col min="59" max="59" width="13.3636363636364" customWidth="1"/>
    <col min="60" max="61" width="10.4545454545455" customWidth="1"/>
    <col min="64" max="64" width="10.0909090909091" customWidth="1"/>
    <col min="66" max="66" width="11.2727272727273" customWidth="1"/>
    <col min="69" max="69" width="13.2727272727273" customWidth="1"/>
    <col min="71" max="71" width="16.1818181818182" customWidth="1"/>
  </cols>
  <sheetData>
    <row r="1" spans="1:7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AA1" t="s">
        <v>20</v>
      </c>
      <c r="AB1" t="s">
        <v>21</v>
      </c>
      <c r="AC1" t="s">
        <v>22</v>
      </c>
      <c r="AD1" t="s">
        <v>23</v>
      </c>
      <c r="AE1" t="s">
        <v>24</v>
      </c>
      <c r="AF1" t="s">
        <v>25</v>
      </c>
      <c r="AG1" t="s">
        <v>26</v>
      </c>
      <c r="AH1" t="s">
        <v>27</v>
      </c>
      <c r="AI1" t="s">
        <v>28</v>
      </c>
      <c r="AJ1" t="s">
        <v>29</v>
      </c>
      <c r="AK1" t="s">
        <v>30</v>
      </c>
      <c r="AL1" t="s">
        <v>31</v>
      </c>
      <c r="AM1" t="s">
        <v>32</v>
      </c>
      <c r="AO1" t="s">
        <v>33</v>
      </c>
      <c r="AP1" t="s">
        <v>34</v>
      </c>
      <c r="AQ1" t="s">
        <v>35</v>
      </c>
      <c r="AS1" t="s">
        <v>36</v>
      </c>
      <c r="AT1" t="s">
        <v>37</v>
      </c>
      <c r="AU1" t="s">
        <v>38</v>
      </c>
      <c r="AV1" t="s">
        <v>39</v>
      </c>
      <c r="AW1" t="s">
        <v>40</v>
      </c>
      <c r="AX1" t="s">
        <v>41</v>
      </c>
      <c r="AZ1" t="s">
        <v>42</v>
      </c>
      <c r="BA1" t="s">
        <v>43</v>
      </c>
      <c r="BB1" t="s">
        <v>44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42</v>
      </c>
      <c r="BS1" t="s">
        <v>59</v>
      </c>
      <c r="BT1" t="s">
        <v>60</v>
      </c>
    </row>
    <row r="2" spans="1:72">
      <c r="A2" t="s">
        <v>61</v>
      </c>
      <c r="B2">
        <v>128</v>
      </c>
      <c r="C2">
        <v>415</v>
      </c>
      <c r="D2" t="s">
        <v>62</v>
      </c>
      <c r="E2" t="s">
        <v>63</v>
      </c>
      <c r="F2">
        <v>25</v>
      </c>
      <c r="G2">
        <v>265.1</v>
      </c>
      <c r="H2">
        <v>110</v>
      </c>
      <c r="I2">
        <v>45.07</v>
      </c>
      <c r="J2">
        <v>197.4</v>
      </c>
      <c r="K2">
        <v>99</v>
      </c>
      <c r="L2">
        <v>16.78</v>
      </c>
      <c r="M2">
        <v>244.7</v>
      </c>
      <c r="N2">
        <v>91</v>
      </c>
      <c r="O2">
        <v>11.01</v>
      </c>
      <c r="P2">
        <v>10</v>
      </c>
      <c r="Q2">
        <v>3</v>
      </c>
      <c r="R2">
        <v>2.7</v>
      </c>
      <c r="S2">
        <v>1</v>
      </c>
      <c r="T2" t="b">
        <v>0</v>
      </c>
      <c r="AA2">
        <f>AVERAGE(B2:B669)</f>
        <v>100.287425149701</v>
      </c>
      <c r="AB2">
        <f>MEDIAN(B2:B669)</f>
        <v>98</v>
      </c>
      <c r="AC2">
        <f>MODE(B2:B669)</f>
        <v>74</v>
      </c>
      <c r="AD2">
        <f>_xlfn.VAR.S(B2:B669)</f>
        <v>1491.45249530923</v>
      </c>
      <c r="AE2">
        <f>_xlfn.STDEV.S(B2:B669)</f>
        <v>38.6193280017821</v>
      </c>
      <c r="AF2">
        <f>CORREL(B2:B669,G2:G669)</f>
        <v>-0.0304710236527841</v>
      </c>
      <c r="AG2">
        <f>_xlfn.COVARIANCE.S(B2:B669,G2:G669)</f>
        <v>-62.6440528238875</v>
      </c>
      <c r="AH2">
        <f>SLOPE(G2:G669,B2:B669)</f>
        <v>-0.0420020436593918</v>
      </c>
      <c r="AI2">
        <f>INTERCEPT(G2:G669,B2:B669)</f>
        <v>186.672606150943</v>
      </c>
      <c r="AJ2">
        <f>RSQ(G2:G669,B2:B669)</f>
        <v>0.000928483282448525</v>
      </c>
      <c r="AK2" cm="1">
        <f t="array" ref="AK2:AK592">_xlfn._xlws.FILTER(G2:G669,T2:T669=FALSE)</f>
        <v>265.1</v>
      </c>
      <c r="AL2" cm="1">
        <f t="array" ref="AL2:AL78">_xlfn._xlws.FILTER(G2:G669,T2:T669=TRUE)</f>
        <v>62.4</v>
      </c>
      <c r="AM2">
        <f>TTEST(AK2:AK669,AL2:AL669,2,3)</f>
        <v>0.000126743433966107</v>
      </c>
      <c r="AO2" t="s">
        <v>63</v>
      </c>
      <c r="AP2">
        <f>COUNTIFS(D2:D669,"Yes",T2:T669,FALSE)</f>
        <v>46</v>
      </c>
      <c r="AQ2">
        <f>COUNTIFS(D2:D669,"Yes",T2:T669,TRUE)</f>
        <v>27</v>
      </c>
      <c r="AS2">
        <f>SUM(AP2:AQ2)*SUM(AP2:AP3)/SUM(AP2:AQ3)</f>
        <v>39.7396449704142</v>
      </c>
      <c r="AT2">
        <f>SUM(AP2:AQ2)*SUM(AQ2:AQ3)/SUM(AP2:AQ3)</f>
        <v>33.2603550295858</v>
      </c>
      <c r="AU2" cm="1">
        <f t="array" ref="AU2">CHITEST(AP2:AQ3,AS2:AT3)</f>
        <v>0.0509313297239985</v>
      </c>
      <c r="AV2" cm="1">
        <f t="array" ref="AV2:AV175">_xlfn._xlws.FILTER(G2:G669,C2:C669=408)</f>
        <v>299.4</v>
      </c>
      <c r="AW2" cm="1">
        <f t="array" ref="AW2:AW320">_xlfn._xlws.FILTER(G2:G669,C2:C669=415)</f>
        <v>265.1</v>
      </c>
      <c r="AX2" cm="1">
        <f t="array" ref="AX2:AX176">_xlfn._xlws.FILTER(G2:G669,C2:C669=510)</f>
        <v>223.4</v>
      </c>
      <c r="AZ2" t="e">
        <f>_xlfn.F.TEST(AW2:AW669,AX2:AX669)</f>
        <v>#NAME?</v>
      </c>
      <c r="BA2">
        <f>AVERAGEIF(C2:C669,408,G2:G669)</f>
        <v>178.29367816092</v>
      </c>
      <c r="BB2">
        <f>AVERAGEIF(C2:C669,415,G2:G669)</f>
        <v>183.53855799373</v>
      </c>
      <c r="BC2">
        <f>AVERAGEIF(C2:C669,510,G2:G669)</f>
        <v>184.637714285714</v>
      </c>
      <c r="BD2">
        <f>AVERAGE(G2:G669)</f>
        <v>182.460329341317</v>
      </c>
      <c r="BE2">
        <f>COUNTIF(C2:C669,408)</f>
        <v>174</v>
      </c>
      <c r="BF2">
        <f>COUNTIF(C2:C669,415)</f>
        <v>319</v>
      </c>
      <c r="BG2">
        <f>COUNTIF(C2:C669,510)</f>
        <v>175</v>
      </c>
      <c r="BH2">
        <f>BE2*(BA2-BD2)^2+BF2*(BB2-BD2)^2+BG2*(BC2-BD2)^2</f>
        <v>4221.34885917655</v>
      </c>
      <c r="BI2">
        <f>BE2+BF2+BG2</f>
        <v>668</v>
      </c>
      <c r="BJ2">
        <f>DEVSQ(G2:G669)</f>
        <v>1890174.99872755</v>
      </c>
      <c r="BK2">
        <f>BJ2-BH2</f>
        <v>1885953.64986837</v>
      </c>
      <c r="BL2">
        <f>3-1</f>
        <v>2</v>
      </c>
      <c r="BM2">
        <f>BI2-3</f>
        <v>665</v>
      </c>
      <c r="BN2">
        <f>BH2/BL2</f>
        <v>2110.67442958827</v>
      </c>
      <c r="BO2">
        <f>BK2/BM2</f>
        <v>2836.02052611785</v>
      </c>
      <c r="BP2">
        <f>BN2/BO2</f>
        <v>0.744238065327939</v>
      </c>
      <c r="BQ2">
        <f>FDIST(BP2,BL2,BM2)</f>
        <v>0.47549144516972</v>
      </c>
      <c r="BS2" t="s">
        <v>20</v>
      </c>
      <c r="BT2">
        <f>AA2</f>
        <v>100.287425149701</v>
      </c>
    </row>
    <row r="3" spans="1:72">
      <c r="A3" t="s">
        <v>64</v>
      </c>
      <c r="B3">
        <v>107</v>
      </c>
      <c r="C3">
        <v>415</v>
      </c>
      <c r="D3" t="s">
        <v>62</v>
      </c>
      <c r="E3" t="s">
        <v>63</v>
      </c>
      <c r="F3">
        <v>26</v>
      </c>
      <c r="G3">
        <v>161.6</v>
      </c>
      <c r="H3">
        <v>123</v>
      </c>
      <c r="I3">
        <v>27.47</v>
      </c>
      <c r="J3">
        <v>195.5</v>
      </c>
      <c r="K3">
        <v>103</v>
      </c>
      <c r="L3">
        <v>16.62</v>
      </c>
      <c r="M3">
        <v>254.4</v>
      </c>
      <c r="N3">
        <v>103</v>
      </c>
      <c r="O3">
        <v>11.45</v>
      </c>
      <c r="P3">
        <v>13.7</v>
      </c>
      <c r="Q3">
        <v>3</v>
      </c>
      <c r="R3">
        <v>3.7</v>
      </c>
      <c r="S3">
        <v>1</v>
      </c>
      <c r="T3" t="b">
        <v>0</v>
      </c>
      <c r="AK3">
        <v>161.6</v>
      </c>
      <c r="AL3">
        <v>249.6</v>
      </c>
      <c r="AO3" t="s">
        <v>62</v>
      </c>
      <c r="AP3">
        <f>COUNTIFS(D2:D669,"Yes",T2:T669,FALSE)</f>
        <v>46</v>
      </c>
      <c r="AQ3">
        <f>COUNTIFS(D2:D669,"No",T2:T669,TRUE)</f>
        <v>50</v>
      </c>
      <c r="AS3">
        <f>SUM(AP3:AQ3)*SUM(AP2:AP3)/SUM(AP2:AQ3)</f>
        <v>52.2603550295858</v>
      </c>
      <c r="AT3">
        <f>SUM(AP3:AQ3)*SUM(AQ2:AQ3)/SUM(AP2:AQ3)</f>
        <v>43.7396449704142</v>
      </c>
      <c r="AV3">
        <v>128.8</v>
      </c>
      <c r="AW3">
        <v>161.6</v>
      </c>
      <c r="AX3">
        <v>218.2</v>
      </c>
      <c r="BS3" t="s">
        <v>21</v>
      </c>
      <c r="BT3">
        <f>AB2</f>
        <v>98</v>
      </c>
    </row>
    <row r="4" spans="1:72">
      <c r="A4" t="s">
        <v>65</v>
      </c>
      <c r="B4">
        <v>137</v>
      </c>
      <c r="C4">
        <v>415</v>
      </c>
      <c r="D4" t="s">
        <v>62</v>
      </c>
      <c r="E4" t="s">
        <v>62</v>
      </c>
      <c r="F4">
        <v>0</v>
      </c>
      <c r="G4">
        <v>243.4</v>
      </c>
      <c r="H4">
        <v>114</v>
      </c>
      <c r="I4">
        <v>41.38</v>
      </c>
      <c r="J4">
        <v>121.2</v>
      </c>
      <c r="K4">
        <v>110</v>
      </c>
      <c r="L4">
        <v>10.3</v>
      </c>
      <c r="M4">
        <v>162.6</v>
      </c>
      <c r="N4">
        <v>104</v>
      </c>
      <c r="O4">
        <v>7.32</v>
      </c>
      <c r="P4">
        <v>12.2</v>
      </c>
      <c r="Q4">
        <v>5</v>
      </c>
      <c r="R4">
        <v>3.29</v>
      </c>
      <c r="S4">
        <v>0</v>
      </c>
      <c r="T4" t="b">
        <v>0</v>
      </c>
      <c r="AK4">
        <v>243.4</v>
      </c>
      <c r="AL4">
        <v>173.1</v>
      </c>
      <c r="AV4">
        <v>196.4</v>
      </c>
      <c r="AW4">
        <v>243.4</v>
      </c>
      <c r="AX4">
        <v>156.6</v>
      </c>
      <c r="BS4" t="s">
        <v>22</v>
      </c>
      <c r="BT4">
        <f>AC2</f>
        <v>74</v>
      </c>
    </row>
    <row r="5" spans="1:72">
      <c r="A5" t="s">
        <v>64</v>
      </c>
      <c r="B5">
        <v>84</v>
      </c>
      <c r="C5">
        <v>408</v>
      </c>
      <c r="D5" t="s">
        <v>63</v>
      </c>
      <c r="E5" t="s">
        <v>62</v>
      </c>
      <c r="F5">
        <v>0</v>
      </c>
      <c r="G5">
        <v>299.4</v>
      </c>
      <c r="H5">
        <v>71</v>
      </c>
      <c r="I5">
        <v>50.9</v>
      </c>
      <c r="J5">
        <v>61.9</v>
      </c>
      <c r="K5">
        <v>88</v>
      </c>
      <c r="L5">
        <v>5.26</v>
      </c>
      <c r="M5">
        <v>196.9</v>
      </c>
      <c r="N5">
        <v>89</v>
      </c>
      <c r="O5">
        <v>8.86</v>
      </c>
      <c r="P5">
        <v>6.6</v>
      </c>
      <c r="Q5">
        <v>7</v>
      </c>
      <c r="R5">
        <v>1.78</v>
      </c>
      <c r="S5">
        <v>2</v>
      </c>
      <c r="T5" t="b">
        <v>0</v>
      </c>
      <c r="AK5">
        <v>299.4</v>
      </c>
      <c r="AL5">
        <v>151</v>
      </c>
      <c r="AV5">
        <v>62.4</v>
      </c>
      <c r="AW5">
        <v>166.7</v>
      </c>
      <c r="AX5">
        <v>190.7</v>
      </c>
      <c r="BS5" t="s">
        <v>23</v>
      </c>
      <c r="BT5">
        <f>AD2</f>
        <v>1491.45249530923</v>
      </c>
    </row>
    <row r="6" spans="1:72">
      <c r="A6" t="s">
        <v>66</v>
      </c>
      <c r="B6">
        <v>75</v>
      </c>
      <c r="C6">
        <v>415</v>
      </c>
      <c r="D6" t="s">
        <v>63</v>
      </c>
      <c r="E6" t="s">
        <v>62</v>
      </c>
      <c r="F6">
        <v>0</v>
      </c>
      <c r="G6">
        <v>166.7</v>
      </c>
      <c r="H6">
        <v>113</v>
      </c>
      <c r="I6">
        <v>28.34</v>
      </c>
      <c r="J6">
        <v>148.3</v>
      </c>
      <c r="K6">
        <v>122</v>
      </c>
      <c r="L6">
        <v>12.61</v>
      </c>
      <c r="M6">
        <v>186.9</v>
      </c>
      <c r="N6">
        <v>121</v>
      </c>
      <c r="O6">
        <v>8.41</v>
      </c>
      <c r="P6">
        <v>10.1</v>
      </c>
      <c r="Q6">
        <v>3</v>
      </c>
      <c r="R6">
        <v>2.73</v>
      </c>
      <c r="S6">
        <v>3</v>
      </c>
      <c r="T6" t="b">
        <v>0</v>
      </c>
      <c r="AK6">
        <v>166.7</v>
      </c>
      <c r="AL6">
        <v>198.4</v>
      </c>
      <c r="AV6">
        <v>213</v>
      </c>
      <c r="AW6">
        <v>157</v>
      </c>
      <c r="AX6">
        <v>189.7</v>
      </c>
      <c r="BS6" t="s">
        <v>24</v>
      </c>
      <c r="BT6">
        <f>AE2</f>
        <v>38.6193280017821</v>
      </c>
    </row>
    <row r="7" spans="1:72">
      <c r="A7" t="s">
        <v>67</v>
      </c>
      <c r="B7">
        <v>118</v>
      </c>
      <c r="C7">
        <v>510</v>
      </c>
      <c r="D7" t="s">
        <v>63</v>
      </c>
      <c r="E7" t="s">
        <v>62</v>
      </c>
      <c r="F7">
        <v>0</v>
      </c>
      <c r="G7">
        <v>223.4</v>
      </c>
      <c r="H7">
        <v>98</v>
      </c>
      <c r="I7">
        <v>37.98</v>
      </c>
      <c r="J7">
        <v>220.6</v>
      </c>
      <c r="K7">
        <v>101</v>
      </c>
      <c r="L7">
        <v>18.75</v>
      </c>
      <c r="M7">
        <v>203.9</v>
      </c>
      <c r="N7">
        <v>118</v>
      </c>
      <c r="O7">
        <v>9.18</v>
      </c>
      <c r="P7">
        <v>6.3</v>
      </c>
      <c r="Q7">
        <v>6</v>
      </c>
      <c r="R7">
        <v>1.7</v>
      </c>
      <c r="S7">
        <v>0</v>
      </c>
      <c r="T7" t="b">
        <v>0</v>
      </c>
      <c r="AK7">
        <v>223.4</v>
      </c>
      <c r="AL7">
        <v>178.9</v>
      </c>
      <c r="AV7">
        <v>134.3</v>
      </c>
      <c r="AW7">
        <v>258.6</v>
      </c>
      <c r="AX7">
        <v>81.1</v>
      </c>
      <c r="BS7" t="s">
        <v>25</v>
      </c>
      <c r="BT7">
        <f>AF2</f>
        <v>-0.0304710236527841</v>
      </c>
    </row>
    <row r="8" spans="1:72">
      <c r="A8" t="s">
        <v>68</v>
      </c>
      <c r="B8">
        <v>121</v>
      </c>
      <c r="C8">
        <v>510</v>
      </c>
      <c r="D8" t="s">
        <v>62</v>
      </c>
      <c r="E8" t="s">
        <v>63</v>
      </c>
      <c r="F8">
        <v>24</v>
      </c>
      <c r="G8">
        <v>218.2</v>
      </c>
      <c r="H8">
        <v>88</v>
      </c>
      <c r="I8">
        <v>37.09</v>
      </c>
      <c r="J8">
        <v>348.5</v>
      </c>
      <c r="K8">
        <v>108</v>
      </c>
      <c r="L8">
        <v>29.62</v>
      </c>
      <c r="M8">
        <v>212.6</v>
      </c>
      <c r="N8">
        <v>118</v>
      </c>
      <c r="O8">
        <v>9.57</v>
      </c>
      <c r="P8">
        <v>7.5</v>
      </c>
      <c r="Q8">
        <v>7</v>
      </c>
      <c r="R8">
        <v>2.03</v>
      </c>
      <c r="S8">
        <v>3</v>
      </c>
      <c r="T8" t="b">
        <v>0</v>
      </c>
      <c r="AK8">
        <v>218.2</v>
      </c>
      <c r="AL8">
        <v>300.3</v>
      </c>
      <c r="AV8">
        <v>212</v>
      </c>
      <c r="AW8">
        <v>187.7</v>
      </c>
      <c r="AX8">
        <v>226.1</v>
      </c>
      <c r="BS8" t="s">
        <v>26</v>
      </c>
      <c r="BT8">
        <f>AG2</f>
        <v>-62.6440528238875</v>
      </c>
    </row>
    <row r="9" spans="1:72">
      <c r="A9" t="s">
        <v>69</v>
      </c>
      <c r="B9">
        <v>147</v>
      </c>
      <c r="C9">
        <v>415</v>
      </c>
      <c r="D9" t="s">
        <v>63</v>
      </c>
      <c r="E9" t="s">
        <v>62</v>
      </c>
      <c r="F9">
        <v>0</v>
      </c>
      <c r="G9">
        <v>157</v>
      </c>
      <c r="H9">
        <v>79</v>
      </c>
      <c r="I9">
        <v>26.69</v>
      </c>
      <c r="J9">
        <v>103.1</v>
      </c>
      <c r="K9">
        <v>94</v>
      </c>
      <c r="L9">
        <v>8.76</v>
      </c>
      <c r="M9">
        <v>211.8</v>
      </c>
      <c r="N9">
        <v>96</v>
      </c>
      <c r="O9">
        <v>9.53</v>
      </c>
      <c r="P9">
        <v>7.1</v>
      </c>
      <c r="Q9">
        <v>6</v>
      </c>
      <c r="R9">
        <v>1.92</v>
      </c>
      <c r="S9">
        <v>0</v>
      </c>
      <c r="T9" t="b">
        <v>0</v>
      </c>
      <c r="AK9">
        <v>157</v>
      </c>
      <c r="AL9">
        <v>61.6</v>
      </c>
      <c r="AV9">
        <v>249.6</v>
      </c>
      <c r="AW9">
        <v>120.7</v>
      </c>
      <c r="AX9">
        <v>124.8</v>
      </c>
      <c r="BS9" t="s">
        <v>70</v>
      </c>
      <c r="BT9">
        <f>AJ2</f>
        <v>0.000928483282448525</v>
      </c>
    </row>
    <row r="10" spans="1:72">
      <c r="A10" t="s">
        <v>71</v>
      </c>
      <c r="B10">
        <v>141</v>
      </c>
      <c r="C10">
        <v>415</v>
      </c>
      <c r="D10" t="s">
        <v>63</v>
      </c>
      <c r="E10" t="s">
        <v>63</v>
      </c>
      <c r="F10">
        <v>37</v>
      </c>
      <c r="G10">
        <v>258.6</v>
      </c>
      <c r="H10">
        <v>84</v>
      </c>
      <c r="I10">
        <v>43.96</v>
      </c>
      <c r="J10">
        <v>222</v>
      </c>
      <c r="K10">
        <v>111</v>
      </c>
      <c r="L10">
        <v>18.87</v>
      </c>
      <c r="M10">
        <v>326.4</v>
      </c>
      <c r="N10">
        <v>97</v>
      </c>
      <c r="O10">
        <v>14.69</v>
      </c>
      <c r="P10">
        <v>11.2</v>
      </c>
      <c r="Q10">
        <v>5</v>
      </c>
      <c r="R10">
        <v>3.02</v>
      </c>
      <c r="S10">
        <v>0</v>
      </c>
      <c r="T10" t="b">
        <v>0</v>
      </c>
      <c r="AK10">
        <v>258.6</v>
      </c>
      <c r="AL10">
        <v>210.6</v>
      </c>
      <c r="AV10">
        <v>176.8</v>
      </c>
      <c r="AW10">
        <v>224.4</v>
      </c>
      <c r="AX10">
        <v>154</v>
      </c>
      <c r="BS10" t="s">
        <v>72</v>
      </c>
      <c r="BT10">
        <f>AM2</f>
        <v>0.000126743433966107</v>
      </c>
    </row>
    <row r="11" spans="1:72">
      <c r="A11" t="s">
        <v>73</v>
      </c>
      <c r="B11">
        <v>74</v>
      </c>
      <c r="C11">
        <v>415</v>
      </c>
      <c r="D11" t="s">
        <v>62</v>
      </c>
      <c r="E11" t="s">
        <v>62</v>
      </c>
      <c r="F11">
        <v>0</v>
      </c>
      <c r="G11">
        <v>187.7</v>
      </c>
      <c r="H11">
        <v>127</v>
      </c>
      <c r="I11">
        <v>31.91</v>
      </c>
      <c r="J11">
        <v>163.4</v>
      </c>
      <c r="K11">
        <v>148</v>
      </c>
      <c r="L11">
        <v>13.89</v>
      </c>
      <c r="M11">
        <v>196</v>
      </c>
      <c r="N11">
        <v>94</v>
      </c>
      <c r="O11">
        <v>8.82</v>
      </c>
      <c r="P11">
        <v>9.1</v>
      </c>
      <c r="Q11">
        <v>5</v>
      </c>
      <c r="R11">
        <v>2.46</v>
      </c>
      <c r="S11">
        <v>0</v>
      </c>
      <c r="T11" t="b">
        <v>0</v>
      </c>
      <c r="AK11">
        <v>187.7</v>
      </c>
      <c r="AL11">
        <v>157.9</v>
      </c>
      <c r="AV11">
        <v>140.4</v>
      </c>
      <c r="AW11">
        <v>155.1</v>
      </c>
      <c r="AX11">
        <v>178.9</v>
      </c>
      <c r="BS11" t="s">
        <v>74</v>
      </c>
      <c r="BT11">
        <f>AU2</f>
        <v>0.0509313297239985</v>
      </c>
    </row>
    <row r="12" spans="1:72">
      <c r="A12" t="s">
        <v>75</v>
      </c>
      <c r="B12">
        <v>168</v>
      </c>
      <c r="C12">
        <v>408</v>
      </c>
      <c r="D12" t="s">
        <v>62</v>
      </c>
      <c r="E12" t="s">
        <v>62</v>
      </c>
      <c r="F12">
        <v>0</v>
      </c>
      <c r="G12">
        <v>128.8</v>
      </c>
      <c r="H12">
        <v>96</v>
      </c>
      <c r="I12">
        <v>21.9</v>
      </c>
      <c r="J12">
        <v>104.9</v>
      </c>
      <c r="K12">
        <v>71</v>
      </c>
      <c r="L12">
        <v>8.92</v>
      </c>
      <c r="M12">
        <v>141.1</v>
      </c>
      <c r="N12">
        <v>128</v>
      </c>
      <c r="O12">
        <v>6.35</v>
      </c>
      <c r="P12">
        <v>11.2</v>
      </c>
      <c r="Q12">
        <v>2</v>
      </c>
      <c r="R12">
        <v>3.02</v>
      </c>
      <c r="S12">
        <v>1</v>
      </c>
      <c r="T12" t="b">
        <v>0</v>
      </c>
      <c r="AK12">
        <v>128.8</v>
      </c>
      <c r="AL12">
        <v>237.9</v>
      </c>
      <c r="AV12">
        <v>126.3</v>
      </c>
      <c r="AW12">
        <v>183</v>
      </c>
      <c r="AX12">
        <v>224.9</v>
      </c>
      <c r="BS12" t="s">
        <v>42</v>
      </c>
      <c r="BT12">
        <f>BQ2</f>
        <v>0.47549144516972</v>
      </c>
    </row>
    <row r="13" spans="1:72">
      <c r="A13" t="s">
        <v>76</v>
      </c>
      <c r="B13">
        <v>95</v>
      </c>
      <c r="C13">
        <v>510</v>
      </c>
      <c r="D13" t="s">
        <v>62</v>
      </c>
      <c r="E13" t="s">
        <v>62</v>
      </c>
      <c r="F13">
        <v>0</v>
      </c>
      <c r="G13">
        <v>156.6</v>
      </c>
      <c r="H13">
        <v>88</v>
      </c>
      <c r="I13">
        <v>26.62</v>
      </c>
      <c r="J13">
        <v>247.6</v>
      </c>
      <c r="K13">
        <v>75</v>
      </c>
      <c r="L13">
        <v>21.05</v>
      </c>
      <c r="M13">
        <v>192.3</v>
      </c>
      <c r="N13">
        <v>115</v>
      </c>
      <c r="O13">
        <v>8.65</v>
      </c>
      <c r="P13">
        <v>12.3</v>
      </c>
      <c r="Q13">
        <v>5</v>
      </c>
      <c r="R13">
        <v>3.32</v>
      </c>
      <c r="S13">
        <v>3</v>
      </c>
      <c r="T13" t="b">
        <v>0</v>
      </c>
      <c r="AK13">
        <v>156.6</v>
      </c>
      <c r="AL13">
        <v>212.1</v>
      </c>
      <c r="AV13">
        <v>173.1</v>
      </c>
      <c r="AW13">
        <v>124.3</v>
      </c>
      <c r="AX13">
        <v>248.6</v>
      </c>
    </row>
    <row r="14" spans="1:72">
      <c r="A14" t="s">
        <v>75</v>
      </c>
      <c r="B14">
        <v>62</v>
      </c>
      <c r="C14">
        <v>415</v>
      </c>
      <c r="D14" t="s">
        <v>62</v>
      </c>
      <c r="E14" t="s">
        <v>62</v>
      </c>
      <c r="F14">
        <v>0</v>
      </c>
      <c r="G14">
        <v>120.7</v>
      </c>
      <c r="H14">
        <v>70</v>
      </c>
      <c r="I14">
        <v>20.52</v>
      </c>
      <c r="J14">
        <v>307.2</v>
      </c>
      <c r="K14">
        <v>76</v>
      </c>
      <c r="L14">
        <v>26.11</v>
      </c>
      <c r="M14">
        <v>203</v>
      </c>
      <c r="N14">
        <v>99</v>
      </c>
      <c r="O14">
        <v>9.14</v>
      </c>
      <c r="P14">
        <v>13.1</v>
      </c>
      <c r="Q14">
        <v>6</v>
      </c>
      <c r="R14">
        <v>3.54</v>
      </c>
      <c r="S14">
        <v>4</v>
      </c>
      <c r="T14" t="b">
        <v>0</v>
      </c>
      <c r="AK14">
        <v>120.7</v>
      </c>
      <c r="AL14">
        <v>196.8</v>
      </c>
      <c r="AV14">
        <v>120.9</v>
      </c>
      <c r="AW14">
        <v>190</v>
      </c>
      <c r="AX14">
        <v>210.6</v>
      </c>
    </row>
    <row r="15" spans="1:72">
      <c r="A15" t="s">
        <v>77</v>
      </c>
      <c r="B15">
        <v>85</v>
      </c>
      <c r="C15">
        <v>408</v>
      </c>
      <c r="D15" t="s">
        <v>62</v>
      </c>
      <c r="E15" t="s">
        <v>63</v>
      </c>
      <c r="F15">
        <v>27</v>
      </c>
      <c r="G15">
        <v>196.4</v>
      </c>
      <c r="H15">
        <v>139</v>
      </c>
      <c r="I15">
        <v>33.39</v>
      </c>
      <c r="J15">
        <v>280.9</v>
      </c>
      <c r="K15">
        <v>90</v>
      </c>
      <c r="L15">
        <v>23.88</v>
      </c>
      <c r="M15">
        <v>89.3</v>
      </c>
      <c r="N15">
        <v>75</v>
      </c>
      <c r="O15">
        <v>4.02</v>
      </c>
      <c r="P15">
        <v>13.8</v>
      </c>
      <c r="Q15">
        <v>4</v>
      </c>
      <c r="R15">
        <v>3.73</v>
      </c>
      <c r="S15">
        <v>1</v>
      </c>
      <c r="T15" t="b">
        <v>0</v>
      </c>
      <c r="AK15">
        <v>196.4</v>
      </c>
      <c r="AL15">
        <v>282.5</v>
      </c>
      <c r="AV15">
        <v>187</v>
      </c>
      <c r="AW15">
        <v>84.8</v>
      </c>
      <c r="AX15">
        <v>214.3</v>
      </c>
    </row>
    <row r="16" spans="1:72">
      <c r="A16" t="s">
        <v>78</v>
      </c>
      <c r="B16">
        <v>93</v>
      </c>
      <c r="C16">
        <v>510</v>
      </c>
      <c r="D16" t="s">
        <v>62</v>
      </c>
      <c r="E16" t="s">
        <v>62</v>
      </c>
      <c r="F16">
        <v>0</v>
      </c>
      <c r="G16">
        <v>190.7</v>
      </c>
      <c r="H16">
        <v>114</v>
      </c>
      <c r="I16">
        <v>32.42</v>
      </c>
      <c r="J16">
        <v>218.2</v>
      </c>
      <c r="K16">
        <v>111</v>
      </c>
      <c r="L16">
        <v>18.55</v>
      </c>
      <c r="M16">
        <v>129.6</v>
      </c>
      <c r="N16">
        <v>121</v>
      </c>
      <c r="O16">
        <v>5.83</v>
      </c>
      <c r="P16">
        <v>8.1</v>
      </c>
      <c r="Q16">
        <v>3</v>
      </c>
      <c r="R16">
        <v>2.19</v>
      </c>
      <c r="S16">
        <v>3</v>
      </c>
      <c r="T16" t="b">
        <v>0</v>
      </c>
      <c r="AK16">
        <v>190.7</v>
      </c>
      <c r="AL16">
        <v>70.7</v>
      </c>
      <c r="AV16">
        <v>191.9</v>
      </c>
      <c r="AW16">
        <v>220</v>
      </c>
      <c r="AX16">
        <v>143.9</v>
      </c>
    </row>
    <row r="17" spans="1:50">
      <c r="A17" t="s">
        <v>79</v>
      </c>
      <c r="B17">
        <v>76</v>
      </c>
      <c r="C17">
        <v>510</v>
      </c>
      <c r="D17" t="s">
        <v>62</v>
      </c>
      <c r="E17" t="s">
        <v>63</v>
      </c>
      <c r="F17">
        <v>33</v>
      </c>
      <c r="G17">
        <v>189.7</v>
      </c>
      <c r="H17">
        <v>66</v>
      </c>
      <c r="I17">
        <v>32.25</v>
      </c>
      <c r="J17">
        <v>212.8</v>
      </c>
      <c r="K17">
        <v>65</v>
      </c>
      <c r="L17">
        <v>18.09</v>
      </c>
      <c r="M17">
        <v>165.7</v>
      </c>
      <c r="N17">
        <v>108</v>
      </c>
      <c r="O17">
        <v>7.46</v>
      </c>
      <c r="P17">
        <v>10</v>
      </c>
      <c r="Q17">
        <v>5</v>
      </c>
      <c r="R17">
        <v>2.7</v>
      </c>
      <c r="S17">
        <v>1</v>
      </c>
      <c r="T17" t="b">
        <v>0</v>
      </c>
      <c r="AK17">
        <v>189.7</v>
      </c>
      <c r="AL17">
        <v>187.5</v>
      </c>
      <c r="AV17">
        <v>220.6</v>
      </c>
      <c r="AW17">
        <v>130.8</v>
      </c>
      <c r="AX17">
        <v>161.2</v>
      </c>
    </row>
    <row r="18" spans="1:50">
      <c r="A18" t="s">
        <v>80</v>
      </c>
      <c r="B18">
        <v>73</v>
      </c>
      <c r="C18">
        <v>415</v>
      </c>
      <c r="D18" t="s">
        <v>62</v>
      </c>
      <c r="E18" t="s">
        <v>62</v>
      </c>
      <c r="F18">
        <v>0</v>
      </c>
      <c r="G18">
        <v>224.4</v>
      </c>
      <c r="H18">
        <v>90</v>
      </c>
      <c r="I18">
        <v>38.15</v>
      </c>
      <c r="J18">
        <v>159.5</v>
      </c>
      <c r="K18">
        <v>88</v>
      </c>
      <c r="L18">
        <v>13.56</v>
      </c>
      <c r="M18">
        <v>192.8</v>
      </c>
      <c r="N18">
        <v>74</v>
      </c>
      <c r="O18">
        <v>8.68</v>
      </c>
      <c r="P18">
        <v>13</v>
      </c>
      <c r="Q18">
        <v>2</v>
      </c>
      <c r="R18">
        <v>3.51</v>
      </c>
      <c r="S18">
        <v>1</v>
      </c>
      <c r="T18" t="b">
        <v>0</v>
      </c>
      <c r="AK18">
        <v>224.4</v>
      </c>
      <c r="AL18">
        <v>167.1</v>
      </c>
      <c r="AV18">
        <v>175.5</v>
      </c>
      <c r="AW18">
        <v>203.9</v>
      </c>
      <c r="AX18">
        <v>117.9</v>
      </c>
    </row>
    <row r="19" spans="1:50">
      <c r="A19" t="s">
        <v>81</v>
      </c>
      <c r="B19">
        <v>147</v>
      </c>
      <c r="C19">
        <v>415</v>
      </c>
      <c r="D19" t="s">
        <v>62</v>
      </c>
      <c r="E19" t="s">
        <v>62</v>
      </c>
      <c r="F19">
        <v>0</v>
      </c>
      <c r="G19">
        <v>155.1</v>
      </c>
      <c r="H19">
        <v>117</v>
      </c>
      <c r="I19">
        <v>26.37</v>
      </c>
      <c r="J19">
        <v>239.7</v>
      </c>
      <c r="K19">
        <v>93</v>
      </c>
      <c r="L19">
        <v>20.37</v>
      </c>
      <c r="M19">
        <v>208.8</v>
      </c>
      <c r="N19">
        <v>133</v>
      </c>
      <c r="O19">
        <v>9.4</v>
      </c>
      <c r="P19">
        <v>10.6</v>
      </c>
      <c r="Q19">
        <v>4</v>
      </c>
      <c r="R19">
        <v>2.86</v>
      </c>
      <c r="S19">
        <v>0</v>
      </c>
      <c r="T19" t="b">
        <v>0</v>
      </c>
      <c r="AK19">
        <v>155.1</v>
      </c>
      <c r="AL19">
        <v>337.4</v>
      </c>
      <c r="AV19">
        <v>198.4</v>
      </c>
      <c r="AW19">
        <v>85.8</v>
      </c>
      <c r="AX19">
        <v>196.8</v>
      </c>
    </row>
    <row r="20" spans="1:50">
      <c r="A20" t="s">
        <v>82</v>
      </c>
      <c r="B20">
        <v>77</v>
      </c>
      <c r="C20">
        <v>408</v>
      </c>
      <c r="D20" t="s">
        <v>62</v>
      </c>
      <c r="E20" t="s">
        <v>62</v>
      </c>
      <c r="F20">
        <v>0</v>
      </c>
      <c r="G20">
        <v>62.4</v>
      </c>
      <c r="H20">
        <v>89</v>
      </c>
      <c r="I20">
        <v>10.61</v>
      </c>
      <c r="J20">
        <v>169.9</v>
      </c>
      <c r="K20">
        <v>121</v>
      </c>
      <c r="L20">
        <v>14.44</v>
      </c>
      <c r="M20">
        <v>209.6</v>
      </c>
      <c r="N20">
        <v>64</v>
      </c>
      <c r="O20">
        <v>9.43</v>
      </c>
      <c r="P20">
        <v>5.7</v>
      </c>
      <c r="Q20">
        <v>6</v>
      </c>
      <c r="R20">
        <v>1.54</v>
      </c>
      <c r="S20">
        <v>5</v>
      </c>
      <c r="T20" t="b">
        <v>1</v>
      </c>
      <c r="AK20">
        <v>183</v>
      </c>
      <c r="AL20">
        <v>58.2</v>
      </c>
      <c r="AV20">
        <v>229.3</v>
      </c>
      <c r="AW20">
        <v>133.2</v>
      </c>
      <c r="AX20">
        <v>162.6</v>
      </c>
    </row>
    <row r="21" spans="1:50">
      <c r="A21" t="s">
        <v>83</v>
      </c>
      <c r="B21">
        <v>130</v>
      </c>
      <c r="C21">
        <v>415</v>
      </c>
      <c r="D21" t="s">
        <v>62</v>
      </c>
      <c r="E21" t="s">
        <v>62</v>
      </c>
      <c r="F21">
        <v>0</v>
      </c>
      <c r="G21">
        <v>183</v>
      </c>
      <c r="H21">
        <v>112</v>
      </c>
      <c r="I21">
        <v>31.11</v>
      </c>
      <c r="J21">
        <v>72.9</v>
      </c>
      <c r="K21">
        <v>99</v>
      </c>
      <c r="L21">
        <v>6.2</v>
      </c>
      <c r="M21">
        <v>181.8</v>
      </c>
      <c r="N21">
        <v>78</v>
      </c>
      <c r="O21">
        <v>8.18</v>
      </c>
      <c r="P21">
        <v>9.5</v>
      </c>
      <c r="Q21">
        <v>19</v>
      </c>
      <c r="R21">
        <v>2.57</v>
      </c>
      <c r="S21">
        <v>0</v>
      </c>
      <c r="T21" t="b">
        <v>0</v>
      </c>
      <c r="AK21">
        <v>81.1</v>
      </c>
      <c r="AL21">
        <v>292.9</v>
      </c>
      <c r="AV21">
        <v>192.1</v>
      </c>
      <c r="AW21">
        <v>160.2</v>
      </c>
      <c r="AX21">
        <v>113.7</v>
      </c>
    </row>
    <row r="22" spans="1:50">
      <c r="A22" t="s">
        <v>79</v>
      </c>
      <c r="B22">
        <v>132</v>
      </c>
      <c r="C22">
        <v>510</v>
      </c>
      <c r="D22" t="s">
        <v>62</v>
      </c>
      <c r="E22" t="s">
        <v>62</v>
      </c>
      <c r="F22">
        <v>0</v>
      </c>
      <c r="G22">
        <v>81.1</v>
      </c>
      <c r="H22">
        <v>86</v>
      </c>
      <c r="I22">
        <v>13.79</v>
      </c>
      <c r="J22">
        <v>245.2</v>
      </c>
      <c r="K22">
        <v>72</v>
      </c>
      <c r="L22">
        <v>20.84</v>
      </c>
      <c r="M22">
        <v>237</v>
      </c>
      <c r="N22">
        <v>115</v>
      </c>
      <c r="O22">
        <v>10.67</v>
      </c>
      <c r="P22">
        <v>10.3</v>
      </c>
      <c r="Q22">
        <v>2</v>
      </c>
      <c r="R22">
        <v>2.78</v>
      </c>
      <c r="S22">
        <v>0</v>
      </c>
      <c r="T22" t="b">
        <v>0</v>
      </c>
      <c r="AK22">
        <v>124.3</v>
      </c>
      <c r="AL22">
        <v>226.7</v>
      </c>
      <c r="AV22">
        <v>180.7</v>
      </c>
      <c r="AW22">
        <v>151</v>
      </c>
      <c r="AX22">
        <v>190.7</v>
      </c>
    </row>
    <row r="23" spans="1:50">
      <c r="A23" t="s">
        <v>84</v>
      </c>
      <c r="B23">
        <v>174</v>
      </c>
      <c r="C23">
        <v>415</v>
      </c>
      <c r="D23" t="s">
        <v>62</v>
      </c>
      <c r="E23" t="s">
        <v>62</v>
      </c>
      <c r="F23">
        <v>0</v>
      </c>
      <c r="G23">
        <v>124.3</v>
      </c>
      <c r="H23">
        <v>76</v>
      </c>
      <c r="I23">
        <v>21.13</v>
      </c>
      <c r="J23">
        <v>277.1</v>
      </c>
      <c r="K23">
        <v>112</v>
      </c>
      <c r="L23">
        <v>23.55</v>
      </c>
      <c r="M23">
        <v>250.7</v>
      </c>
      <c r="N23">
        <v>115</v>
      </c>
      <c r="O23">
        <v>11.28</v>
      </c>
      <c r="P23">
        <v>15.5</v>
      </c>
      <c r="Q23">
        <v>5</v>
      </c>
      <c r="R23">
        <v>4.19</v>
      </c>
      <c r="S23">
        <v>3</v>
      </c>
      <c r="T23" t="b">
        <v>0</v>
      </c>
      <c r="AK23">
        <v>213</v>
      </c>
      <c r="AL23">
        <v>250.2</v>
      </c>
      <c r="AV23">
        <v>131.2</v>
      </c>
      <c r="AW23">
        <v>126.9</v>
      </c>
      <c r="AX23">
        <v>154.2</v>
      </c>
    </row>
    <row r="24" spans="1:50">
      <c r="A24" t="s">
        <v>85</v>
      </c>
      <c r="B24">
        <v>57</v>
      </c>
      <c r="C24">
        <v>408</v>
      </c>
      <c r="D24" t="s">
        <v>62</v>
      </c>
      <c r="E24" t="s">
        <v>63</v>
      </c>
      <c r="F24">
        <v>39</v>
      </c>
      <c r="G24">
        <v>213</v>
      </c>
      <c r="H24">
        <v>115</v>
      </c>
      <c r="I24">
        <v>36.21</v>
      </c>
      <c r="J24">
        <v>191.1</v>
      </c>
      <c r="K24">
        <v>112</v>
      </c>
      <c r="L24">
        <v>16.24</v>
      </c>
      <c r="M24">
        <v>182.7</v>
      </c>
      <c r="N24">
        <v>115</v>
      </c>
      <c r="O24">
        <v>8.22</v>
      </c>
      <c r="P24">
        <v>9.5</v>
      </c>
      <c r="Q24">
        <v>3</v>
      </c>
      <c r="R24">
        <v>2.57</v>
      </c>
      <c r="S24">
        <v>0</v>
      </c>
      <c r="T24" t="b">
        <v>0</v>
      </c>
      <c r="AK24">
        <v>134.3</v>
      </c>
      <c r="AL24">
        <v>312</v>
      </c>
      <c r="AV24">
        <v>125.2</v>
      </c>
      <c r="AW24">
        <v>268.6</v>
      </c>
      <c r="AX24">
        <v>187.5</v>
      </c>
    </row>
    <row r="25" spans="1:50">
      <c r="A25" t="s">
        <v>76</v>
      </c>
      <c r="B25">
        <v>54</v>
      </c>
      <c r="C25">
        <v>408</v>
      </c>
      <c r="D25" t="s">
        <v>62</v>
      </c>
      <c r="E25" t="s">
        <v>62</v>
      </c>
      <c r="F25">
        <v>0</v>
      </c>
      <c r="G25">
        <v>134.3</v>
      </c>
      <c r="H25">
        <v>73</v>
      </c>
      <c r="I25">
        <v>22.83</v>
      </c>
      <c r="J25">
        <v>155.5</v>
      </c>
      <c r="K25">
        <v>100</v>
      </c>
      <c r="L25">
        <v>13.22</v>
      </c>
      <c r="M25">
        <v>102.1</v>
      </c>
      <c r="N25">
        <v>68</v>
      </c>
      <c r="O25">
        <v>4.59</v>
      </c>
      <c r="P25">
        <v>14.7</v>
      </c>
      <c r="Q25">
        <v>4</v>
      </c>
      <c r="R25">
        <v>3.97</v>
      </c>
      <c r="S25">
        <v>3</v>
      </c>
      <c r="T25" t="b">
        <v>0</v>
      </c>
      <c r="AK25">
        <v>190</v>
      </c>
      <c r="AL25">
        <v>135.1</v>
      </c>
      <c r="AV25">
        <v>211.6</v>
      </c>
      <c r="AW25">
        <v>148.1</v>
      </c>
      <c r="AX25">
        <v>129.9</v>
      </c>
    </row>
    <row r="26" spans="1:50">
      <c r="A26" t="s">
        <v>69</v>
      </c>
      <c r="B26">
        <v>20</v>
      </c>
      <c r="C26">
        <v>415</v>
      </c>
      <c r="D26" t="s">
        <v>62</v>
      </c>
      <c r="E26" t="s">
        <v>62</v>
      </c>
      <c r="F26">
        <v>0</v>
      </c>
      <c r="G26">
        <v>190</v>
      </c>
      <c r="H26">
        <v>109</v>
      </c>
      <c r="I26">
        <v>32.3</v>
      </c>
      <c r="J26">
        <v>258.2</v>
      </c>
      <c r="K26">
        <v>84</v>
      </c>
      <c r="L26">
        <v>21.95</v>
      </c>
      <c r="M26">
        <v>181.5</v>
      </c>
      <c r="N26">
        <v>102</v>
      </c>
      <c r="O26">
        <v>8.17</v>
      </c>
      <c r="P26">
        <v>6.3</v>
      </c>
      <c r="Q26">
        <v>6</v>
      </c>
      <c r="R26">
        <v>1.7</v>
      </c>
      <c r="S26">
        <v>0</v>
      </c>
      <c r="T26" t="b">
        <v>0</v>
      </c>
      <c r="AK26">
        <v>84.8</v>
      </c>
      <c r="AL26">
        <v>198.5</v>
      </c>
      <c r="AV26">
        <v>241.8</v>
      </c>
      <c r="AW26">
        <v>251.5</v>
      </c>
      <c r="AX26">
        <v>203.1</v>
      </c>
    </row>
    <row r="27" spans="1:50">
      <c r="A27" t="s">
        <v>86</v>
      </c>
      <c r="B27">
        <v>142</v>
      </c>
      <c r="C27">
        <v>415</v>
      </c>
      <c r="D27" t="s">
        <v>62</v>
      </c>
      <c r="E27" t="s">
        <v>62</v>
      </c>
      <c r="F27">
        <v>0</v>
      </c>
      <c r="G27">
        <v>84.8</v>
      </c>
      <c r="H27">
        <v>95</v>
      </c>
      <c r="I27">
        <v>14.42</v>
      </c>
      <c r="J27">
        <v>136.7</v>
      </c>
      <c r="K27">
        <v>63</v>
      </c>
      <c r="L27">
        <v>11.62</v>
      </c>
      <c r="M27">
        <v>250.5</v>
      </c>
      <c r="N27">
        <v>148</v>
      </c>
      <c r="O27">
        <v>11.27</v>
      </c>
      <c r="P27">
        <v>14.2</v>
      </c>
      <c r="Q27">
        <v>6</v>
      </c>
      <c r="R27">
        <v>3.83</v>
      </c>
      <c r="S27">
        <v>2</v>
      </c>
      <c r="T27" t="b">
        <v>0</v>
      </c>
      <c r="AK27">
        <v>226.1</v>
      </c>
      <c r="AL27">
        <v>157.4</v>
      </c>
      <c r="AV27">
        <v>61.6</v>
      </c>
      <c r="AW27">
        <v>203.4</v>
      </c>
      <c r="AX27">
        <v>183.2</v>
      </c>
    </row>
    <row r="28" spans="1:50">
      <c r="A28" t="s">
        <v>87</v>
      </c>
      <c r="B28">
        <v>75</v>
      </c>
      <c r="C28">
        <v>510</v>
      </c>
      <c r="D28" t="s">
        <v>62</v>
      </c>
      <c r="E28" t="s">
        <v>62</v>
      </c>
      <c r="F28">
        <v>0</v>
      </c>
      <c r="G28">
        <v>226.1</v>
      </c>
      <c r="H28">
        <v>105</v>
      </c>
      <c r="I28">
        <v>38.44</v>
      </c>
      <c r="J28">
        <v>201.5</v>
      </c>
      <c r="K28">
        <v>107</v>
      </c>
      <c r="L28">
        <v>17.13</v>
      </c>
      <c r="M28">
        <v>246.2</v>
      </c>
      <c r="N28">
        <v>98</v>
      </c>
      <c r="O28">
        <v>11.08</v>
      </c>
      <c r="P28">
        <v>10.3</v>
      </c>
      <c r="Q28">
        <v>5</v>
      </c>
      <c r="R28">
        <v>2.78</v>
      </c>
      <c r="S28">
        <v>1</v>
      </c>
      <c r="T28" t="b">
        <v>0</v>
      </c>
      <c r="AK28">
        <v>212</v>
      </c>
      <c r="AL28">
        <v>272.1</v>
      </c>
      <c r="AV28">
        <v>170.2</v>
      </c>
      <c r="AW28">
        <v>157.1</v>
      </c>
      <c r="AX28">
        <v>148.5</v>
      </c>
    </row>
    <row r="29" spans="1:50">
      <c r="A29" t="s">
        <v>88</v>
      </c>
      <c r="B29">
        <v>172</v>
      </c>
      <c r="C29">
        <v>408</v>
      </c>
      <c r="D29" t="s">
        <v>62</v>
      </c>
      <c r="E29" t="s">
        <v>62</v>
      </c>
      <c r="F29">
        <v>0</v>
      </c>
      <c r="G29">
        <v>212</v>
      </c>
      <c r="H29">
        <v>121</v>
      </c>
      <c r="I29">
        <v>36.04</v>
      </c>
      <c r="J29">
        <v>31.2</v>
      </c>
      <c r="K29">
        <v>115</v>
      </c>
      <c r="L29">
        <v>2.65</v>
      </c>
      <c r="M29">
        <v>293.3</v>
      </c>
      <c r="N29">
        <v>78</v>
      </c>
      <c r="O29">
        <v>13.2</v>
      </c>
      <c r="P29">
        <v>12.6</v>
      </c>
      <c r="Q29">
        <v>10</v>
      </c>
      <c r="R29">
        <v>3.4</v>
      </c>
      <c r="S29">
        <v>3</v>
      </c>
      <c r="T29" t="b">
        <v>0</v>
      </c>
      <c r="AK29">
        <v>176.8</v>
      </c>
      <c r="AL29">
        <v>248.7</v>
      </c>
      <c r="AV29">
        <v>165.6</v>
      </c>
      <c r="AW29">
        <v>300.3</v>
      </c>
      <c r="AX29">
        <v>246.5</v>
      </c>
    </row>
    <row r="30" spans="1:50">
      <c r="A30" t="s">
        <v>83</v>
      </c>
      <c r="B30">
        <v>12</v>
      </c>
      <c r="C30">
        <v>408</v>
      </c>
      <c r="D30" t="s">
        <v>62</v>
      </c>
      <c r="E30" t="s">
        <v>62</v>
      </c>
      <c r="F30">
        <v>0</v>
      </c>
      <c r="G30">
        <v>249.6</v>
      </c>
      <c r="H30">
        <v>118</v>
      </c>
      <c r="I30">
        <v>42.43</v>
      </c>
      <c r="J30">
        <v>252.4</v>
      </c>
      <c r="K30">
        <v>119</v>
      </c>
      <c r="L30">
        <v>21.45</v>
      </c>
      <c r="M30">
        <v>280.2</v>
      </c>
      <c r="N30">
        <v>90</v>
      </c>
      <c r="O30">
        <v>12.61</v>
      </c>
      <c r="P30">
        <v>11.8</v>
      </c>
      <c r="Q30">
        <v>3</v>
      </c>
      <c r="R30">
        <v>3.19</v>
      </c>
      <c r="S30">
        <v>1</v>
      </c>
      <c r="T30" t="b">
        <v>1</v>
      </c>
      <c r="AK30">
        <v>220</v>
      </c>
      <c r="AL30">
        <v>223.5</v>
      </c>
      <c r="AV30">
        <v>157.9</v>
      </c>
      <c r="AW30">
        <v>201.1</v>
      </c>
      <c r="AX30">
        <v>157.6</v>
      </c>
    </row>
    <row r="31" spans="1:50">
      <c r="A31" t="s">
        <v>66</v>
      </c>
      <c r="B31">
        <v>57</v>
      </c>
      <c r="C31">
        <v>408</v>
      </c>
      <c r="D31" t="s">
        <v>62</v>
      </c>
      <c r="E31" t="s">
        <v>63</v>
      </c>
      <c r="F31">
        <v>25</v>
      </c>
      <c r="G31">
        <v>176.8</v>
      </c>
      <c r="H31">
        <v>94</v>
      </c>
      <c r="I31">
        <v>30.06</v>
      </c>
      <c r="J31">
        <v>195</v>
      </c>
      <c r="K31">
        <v>75</v>
      </c>
      <c r="L31">
        <v>16.58</v>
      </c>
      <c r="M31">
        <v>213.5</v>
      </c>
      <c r="N31">
        <v>116</v>
      </c>
      <c r="O31">
        <v>9.61</v>
      </c>
      <c r="P31">
        <v>8.3</v>
      </c>
      <c r="Q31">
        <v>4</v>
      </c>
      <c r="R31">
        <v>2.24</v>
      </c>
      <c r="S31">
        <v>0</v>
      </c>
      <c r="T31" t="b">
        <v>0</v>
      </c>
      <c r="AK31">
        <v>130.8</v>
      </c>
      <c r="AL31">
        <v>272.6</v>
      </c>
      <c r="AV31">
        <v>278.4</v>
      </c>
      <c r="AW31">
        <v>215.4</v>
      </c>
      <c r="AX31">
        <v>142.1</v>
      </c>
    </row>
    <row r="32" spans="1:50">
      <c r="A32" t="s">
        <v>89</v>
      </c>
      <c r="B32">
        <v>72</v>
      </c>
      <c r="C32">
        <v>415</v>
      </c>
      <c r="D32" t="s">
        <v>62</v>
      </c>
      <c r="E32" t="s">
        <v>63</v>
      </c>
      <c r="F32">
        <v>37</v>
      </c>
      <c r="G32">
        <v>220</v>
      </c>
      <c r="H32">
        <v>80</v>
      </c>
      <c r="I32">
        <v>37.4</v>
      </c>
      <c r="J32">
        <v>217.3</v>
      </c>
      <c r="K32">
        <v>102</v>
      </c>
      <c r="L32">
        <v>18.47</v>
      </c>
      <c r="M32">
        <v>152.8</v>
      </c>
      <c r="N32">
        <v>71</v>
      </c>
      <c r="O32">
        <v>6.88</v>
      </c>
      <c r="P32">
        <v>14.7</v>
      </c>
      <c r="Q32">
        <v>6</v>
      </c>
      <c r="R32">
        <v>3.97</v>
      </c>
      <c r="S32">
        <v>3</v>
      </c>
      <c r="T32" t="b">
        <v>0</v>
      </c>
      <c r="AK32">
        <v>203.9</v>
      </c>
      <c r="AL32">
        <v>128.3</v>
      </c>
      <c r="AV32">
        <v>212.1</v>
      </c>
      <c r="AW32">
        <v>249.5</v>
      </c>
      <c r="AX32">
        <v>187.5</v>
      </c>
    </row>
    <row r="33" spans="1:50">
      <c r="A33" t="s">
        <v>68</v>
      </c>
      <c r="B33">
        <v>78</v>
      </c>
      <c r="C33">
        <v>415</v>
      </c>
      <c r="D33" t="s">
        <v>62</v>
      </c>
      <c r="E33" t="s">
        <v>62</v>
      </c>
      <c r="F33">
        <v>0</v>
      </c>
      <c r="G33">
        <v>130.8</v>
      </c>
      <c r="H33">
        <v>64</v>
      </c>
      <c r="I33">
        <v>22.24</v>
      </c>
      <c r="J33">
        <v>223.7</v>
      </c>
      <c r="K33">
        <v>116</v>
      </c>
      <c r="L33">
        <v>19.01</v>
      </c>
      <c r="M33">
        <v>227.8</v>
      </c>
      <c r="N33">
        <v>108</v>
      </c>
      <c r="O33">
        <v>10.25</v>
      </c>
      <c r="P33">
        <v>10</v>
      </c>
      <c r="Q33">
        <v>5</v>
      </c>
      <c r="R33">
        <v>2.7</v>
      </c>
      <c r="S33">
        <v>1</v>
      </c>
      <c r="T33" t="b">
        <v>0</v>
      </c>
      <c r="AK33">
        <v>140.4</v>
      </c>
      <c r="AL33">
        <v>213</v>
      </c>
      <c r="AV33">
        <v>170.5</v>
      </c>
      <c r="AW33">
        <v>154.1</v>
      </c>
      <c r="AX33">
        <v>189.8</v>
      </c>
    </row>
    <row r="34" spans="1:50">
      <c r="A34" t="s">
        <v>90</v>
      </c>
      <c r="B34">
        <v>136</v>
      </c>
      <c r="C34">
        <v>415</v>
      </c>
      <c r="D34" t="s">
        <v>63</v>
      </c>
      <c r="E34" t="s">
        <v>63</v>
      </c>
      <c r="F34">
        <v>33</v>
      </c>
      <c r="G34">
        <v>203.9</v>
      </c>
      <c r="H34">
        <v>106</v>
      </c>
      <c r="I34">
        <v>34.66</v>
      </c>
      <c r="J34">
        <v>187.6</v>
      </c>
      <c r="K34">
        <v>99</v>
      </c>
      <c r="L34">
        <v>15.95</v>
      </c>
      <c r="M34">
        <v>101.7</v>
      </c>
      <c r="N34">
        <v>107</v>
      </c>
      <c r="O34">
        <v>4.58</v>
      </c>
      <c r="P34">
        <v>10.5</v>
      </c>
      <c r="Q34">
        <v>6</v>
      </c>
      <c r="R34">
        <v>2.84</v>
      </c>
      <c r="S34">
        <v>3</v>
      </c>
      <c r="T34" t="b">
        <v>0</v>
      </c>
      <c r="AK34">
        <v>126.3</v>
      </c>
      <c r="AL34">
        <v>107</v>
      </c>
      <c r="AV34">
        <v>238.1</v>
      </c>
      <c r="AW34">
        <v>237.9</v>
      </c>
      <c r="AX34">
        <v>197.1</v>
      </c>
    </row>
    <row r="35" spans="1:50">
      <c r="A35" t="s">
        <v>65</v>
      </c>
      <c r="B35">
        <v>149</v>
      </c>
      <c r="C35">
        <v>408</v>
      </c>
      <c r="D35" t="s">
        <v>62</v>
      </c>
      <c r="E35" t="s">
        <v>62</v>
      </c>
      <c r="F35">
        <v>0</v>
      </c>
      <c r="G35">
        <v>140.4</v>
      </c>
      <c r="H35">
        <v>94</v>
      </c>
      <c r="I35">
        <v>23.87</v>
      </c>
      <c r="J35">
        <v>271.8</v>
      </c>
      <c r="K35">
        <v>92</v>
      </c>
      <c r="L35">
        <v>23.1</v>
      </c>
      <c r="M35">
        <v>188.3</v>
      </c>
      <c r="N35">
        <v>108</v>
      </c>
      <c r="O35">
        <v>8.47</v>
      </c>
      <c r="P35">
        <v>11.1</v>
      </c>
      <c r="Q35">
        <v>9</v>
      </c>
      <c r="R35">
        <v>3</v>
      </c>
      <c r="S35">
        <v>1</v>
      </c>
      <c r="T35" t="b">
        <v>0</v>
      </c>
      <c r="AK35">
        <v>124.8</v>
      </c>
      <c r="AL35">
        <v>257.1</v>
      </c>
      <c r="AV35">
        <v>229.8</v>
      </c>
      <c r="AW35">
        <v>124.3</v>
      </c>
      <c r="AX35">
        <v>259.9</v>
      </c>
    </row>
    <row r="36" spans="1:50">
      <c r="A36" t="s">
        <v>89</v>
      </c>
      <c r="B36">
        <v>98</v>
      </c>
      <c r="C36">
        <v>408</v>
      </c>
      <c r="D36" t="s">
        <v>62</v>
      </c>
      <c r="E36" t="s">
        <v>62</v>
      </c>
      <c r="F36">
        <v>0</v>
      </c>
      <c r="G36">
        <v>126.3</v>
      </c>
      <c r="H36">
        <v>102</v>
      </c>
      <c r="I36">
        <v>21.47</v>
      </c>
      <c r="J36">
        <v>166.8</v>
      </c>
      <c r="K36">
        <v>85</v>
      </c>
      <c r="L36">
        <v>14.18</v>
      </c>
      <c r="M36">
        <v>187.8</v>
      </c>
      <c r="N36">
        <v>135</v>
      </c>
      <c r="O36">
        <v>8.45</v>
      </c>
      <c r="P36">
        <v>9.4</v>
      </c>
      <c r="Q36">
        <v>2</v>
      </c>
      <c r="R36">
        <v>2.54</v>
      </c>
      <c r="S36">
        <v>3</v>
      </c>
      <c r="T36" t="b">
        <v>0</v>
      </c>
      <c r="AK36">
        <v>85.8</v>
      </c>
      <c r="AL36">
        <v>350.8</v>
      </c>
      <c r="AV36">
        <v>165</v>
      </c>
      <c r="AW36">
        <v>252.9</v>
      </c>
      <c r="AX36">
        <v>160.6</v>
      </c>
    </row>
    <row r="37" spans="1:50">
      <c r="A37" t="s">
        <v>91</v>
      </c>
      <c r="B37">
        <v>135</v>
      </c>
      <c r="C37">
        <v>408</v>
      </c>
      <c r="D37" t="s">
        <v>63</v>
      </c>
      <c r="E37" t="s">
        <v>63</v>
      </c>
      <c r="F37">
        <v>41</v>
      </c>
      <c r="G37">
        <v>173.1</v>
      </c>
      <c r="H37">
        <v>85</v>
      </c>
      <c r="I37">
        <v>29.43</v>
      </c>
      <c r="J37">
        <v>203.9</v>
      </c>
      <c r="K37">
        <v>107</v>
      </c>
      <c r="L37">
        <v>17.33</v>
      </c>
      <c r="M37">
        <v>122.2</v>
      </c>
      <c r="N37">
        <v>78</v>
      </c>
      <c r="O37">
        <v>5.5</v>
      </c>
      <c r="P37">
        <v>14.6</v>
      </c>
      <c r="Q37">
        <v>15</v>
      </c>
      <c r="R37">
        <v>3.94</v>
      </c>
      <c r="S37">
        <v>0</v>
      </c>
      <c r="T37" t="b">
        <v>1</v>
      </c>
      <c r="AK37">
        <v>154</v>
      </c>
      <c r="AL37">
        <v>218</v>
      </c>
      <c r="AV37">
        <v>161</v>
      </c>
      <c r="AW37">
        <v>179.1</v>
      </c>
      <c r="AX37">
        <v>292.9</v>
      </c>
    </row>
    <row r="38" spans="1:50">
      <c r="A38" t="s">
        <v>92</v>
      </c>
      <c r="B38">
        <v>34</v>
      </c>
      <c r="C38">
        <v>510</v>
      </c>
      <c r="D38" t="s">
        <v>62</v>
      </c>
      <c r="E38" t="s">
        <v>62</v>
      </c>
      <c r="F38">
        <v>0</v>
      </c>
      <c r="G38">
        <v>124.8</v>
      </c>
      <c r="H38">
        <v>82</v>
      </c>
      <c r="I38">
        <v>21.22</v>
      </c>
      <c r="J38">
        <v>282.2</v>
      </c>
      <c r="K38">
        <v>98</v>
      </c>
      <c r="L38">
        <v>23.99</v>
      </c>
      <c r="M38">
        <v>311.5</v>
      </c>
      <c r="N38">
        <v>78</v>
      </c>
      <c r="O38">
        <v>14.02</v>
      </c>
      <c r="P38">
        <v>10</v>
      </c>
      <c r="Q38">
        <v>4</v>
      </c>
      <c r="R38">
        <v>2.7</v>
      </c>
      <c r="S38">
        <v>2</v>
      </c>
      <c r="T38" t="b">
        <v>0</v>
      </c>
      <c r="AK38">
        <v>120.9</v>
      </c>
      <c r="AL38">
        <v>165.5</v>
      </c>
      <c r="AV38">
        <v>126.7</v>
      </c>
      <c r="AW38">
        <v>198.2</v>
      </c>
      <c r="AX38">
        <v>140.6</v>
      </c>
    </row>
    <row r="39" spans="1:50">
      <c r="A39" t="s">
        <v>77</v>
      </c>
      <c r="B39">
        <v>160</v>
      </c>
      <c r="C39">
        <v>415</v>
      </c>
      <c r="D39" t="s">
        <v>62</v>
      </c>
      <c r="E39" t="s">
        <v>62</v>
      </c>
      <c r="F39">
        <v>0</v>
      </c>
      <c r="G39">
        <v>85.8</v>
      </c>
      <c r="H39">
        <v>77</v>
      </c>
      <c r="I39">
        <v>14.59</v>
      </c>
      <c r="J39">
        <v>165.3</v>
      </c>
      <c r="K39">
        <v>110</v>
      </c>
      <c r="L39">
        <v>14.05</v>
      </c>
      <c r="M39">
        <v>178.5</v>
      </c>
      <c r="N39">
        <v>92</v>
      </c>
      <c r="O39">
        <v>8.03</v>
      </c>
      <c r="P39">
        <v>9.2</v>
      </c>
      <c r="Q39">
        <v>4</v>
      </c>
      <c r="R39">
        <v>2.48</v>
      </c>
      <c r="S39">
        <v>3</v>
      </c>
      <c r="T39" t="b">
        <v>0</v>
      </c>
      <c r="AK39">
        <v>187</v>
      </c>
      <c r="AL39">
        <v>229.6</v>
      </c>
      <c r="AV39">
        <v>210.2</v>
      </c>
      <c r="AW39">
        <v>151.7</v>
      </c>
      <c r="AX39">
        <v>213.9</v>
      </c>
    </row>
    <row r="40" spans="1:50">
      <c r="A40" t="s">
        <v>93</v>
      </c>
      <c r="B40">
        <v>64</v>
      </c>
      <c r="C40">
        <v>510</v>
      </c>
      <c r="D40" t="s">
        <v>62</v>
      </c>
      <c r="E40" t="s">
        <v>62</v>
      </c>
      <c r="F40">
        <v>0</v>
      </c>
      <c r="G40">
        <v>154</v>
      </c>
      <c r="H40">
        <v>67</v>
      </c>
      <c r="I40">
        <v>26.18</v>
      </c>
      <c r="J40">
        <v>225.8</v>
      </c>
      <c r="K40">
        <v>118</v>
      </c>
      <c r="L40">
        <v>19.19</v>
      </c>
      <c r="M40">
        <v>265.3</v>
      </c>
      <c r="N40">
        <v>86</v>
      </c>
      <c r="O40">
        <v>11.94</v>
      </c>
      <c r="P40">
        <v>3.5</v>
      </c>
      <c r="Q40">
        <v>3</v>
      </c>
      <c r="R40">
        <v>0.95</v>
      </c>
      <c r="S40">
        <v>1</v>
      </c>
      <c r="T40" t="b">
        <v>0</v>
      </c>
      <c r="AK40">
        <v>133.2</v>
      </c>
      <c r="AL40">
        <v>167.3</v>
      </c>
      <c r="AV40">
        <v>213.8</v>
      </c>
      <c r="AW40">
        <v>185</v>
      </c>
      <c r="AX40">
        <v>217.2</v>
      </c>
    </row>
    <row r="41" spans="1:50">
      <c r="A41" t="s">
        <v>94</v>
      </c>
      <c r="B41">
        <v>59</v>
      </c>
      <c r="C41">
        <v>408</v>
      </c>
      <c r="D41" t="s">
        <v>62</v>
      </c>
      <c r="E41" t="s">
        <v>63</v>
      </c>
      <c r="F41">
        <v>28</v>
      </c>
      <c r="G41">
        <v>120.9</v>
      </c>
      <c r="H41">
        <v>97</v>
      </c>
      <c r="I41">
        <v>20.55</v>
      </c>
      <c r="J41">
        <v>213</v>
      </c>
      <c r="K41">
        <v>92</v>
      </c>
      <c r="L41">
        <v>18.11</v>
      </c>
      <c r="M41">
        <v>163.1</v>
      </c>
      <c r="N41">
        <v>116</v>
      </c>
      <c r="O41">
        <v>7.34</v>
      </c>
      <c r="P41">
        <v>8.5</v>
      </c>
      <c r="Q41">
        <v>5</v>
      </c>
      <c r="R41">
        <v>2.3</v>
      </c>
      <c r="S41">
        <v>2</v>
      </c>
      <c r="T41" t="b">
        <v>0</v>
      </c>
      <c r="AK41">
        <v>191.9</v>
      </c>
      <c r="AL41">
        <v>157.1</v>
      </c>
      <c r="AV41">
        <v>201.4</v>
      </c>
      <c r="AW41">
        <v>282.5</v>
      </c>
      <c r="AX41">
        <v>203.5</v>
      </c>
    </row>
    <row r="42" spans="1:50">
      <c r="A42" t="s">
        <v>95</v>
      </c>
      <c r="B42">
        <v>142</v>
      </c>
      <c r="C42">
        <v>408</v>
      </c>
      <c r="D42" t="s">
        <v>62</v>
      </c>
      <c r="E42" t="s">
        <v>62</v>
      </c>
      <c r="F42">
        <v>0</v>
      </c>
      <c r="G42">
        <v>187</v>
      </c>
      <c r="H42">
        <v>133</v>
      </c>
      <c r="I42">
        <v>31.79</v>
      </c>
      <c r="J42">
        <v>134.6</v>
      </c>
      <c r="K42">
        <v>74</v>
      </c>
      <c r="L42">
        <v>11.44</v>
      </c>
      <c r="M42">
        <v>242.2</v>
      </c>
      <c r="N42">
        <v>127</v>
      </c>
      <c r="O42">
        <v>10.9</v>
      </c>
      <c r="P42">
        <v>7.4</v>
      </c>
      <c r="Q42">
        <v>5</v>
      </c>
      <c r="R42">
        <v>2</v>
      </c>
      <c r="S42">
        <v>2</v>
      </c>
      <c r="T42" t="b">
        <v>0</v>
      </c>
      <c r="AK42">
        <v>220.6</v>
      </c>
      <c r="AL42">
        <v>239.7</v>
      </c>
      <c r="AV42">
        <v>91.7</v>
      </c>
      <c r="AW42">
        <v>170.9</v>
      </c>
      <c r="AX42">
        <v>226.7</v>
      </c>
    </row>
    <row r="43" spans="1:50">
      <c r="A43" t="s">
        <v>85</v>
      </c>
      <c r="B43">
        <v>97</v>
      </c>
      <c r="C43">
        <v>415</v>
      </c>
      <c r="D43" t="s">
        <v>62</v>
      </c>
      <c r="E43" t="s">
        <v>63</v>
      </c>
      <c r="F43">
        <v>24</v>
      </c>
      <c r="G43">
        <v>133.2</v>
      </c>
      <c r="H43">
        <v>135</v>
      </c>
      <c r="I43">
        <v>22.64</v>
      </c>
      <c r="J43">
        <v>217.2</v>
      </c>
      <c r="K43">
        <v>58</v>
      </c>
      <c r="L43">
        <v>18.46</v>
      </c>
      <c r="M43">
        <v>70.6</v>
      </c>
      <c r="N43">
        <v>79</v>
      </c>
      <c r="O43">
        <v>3.18</v>
      </c>
      <c r="P43">
        <v>11</v>
      </c>
      <c r="Q43">
        <v>3</v>
      </c>
      <c r="R43">
        <v>2.97</v>
      </c>
      <c r="S43">
        <v>1</v>
      </c>
      <c r="T43" t="b">
        <v>0</v>
      </c>
      <c r="AK43">
        <v>160.2</v>
      </c>
      <c r="AL43">
        <v>171.5</v>
      </c>
      <c r="AV43">
        <v>214.2</v>
      </c>
      <c r="AW43">
        <v>70.7</v>
      </c>
      <c r="AX43">
        <v>220.2</v>
      </c>
    </row>
    <row r="44" spans="1:50">
      <c r="A44" t="s">
        <v>75</v>
      </c>
      <c r="B44">
        <v>52</v>
      </c>
      <c r="C44">
        <v>408</v>
      </c>
      <c r="D44" t="s">
        <v>62</v>
      </c>
      <c r="E44" t="s">
        <v>62</v>
      </c>
      <c r="F44">
        <v>0</v>
      </c>
      <c r="G44">
        <v>191.9</v>
      </c>
      <c r="H44">
        <v>108</v>
      </c>
      <c r="I44">
        <v>32.62</v>
      </c>
      <c r="J44">
        <v>269.8</v>
      </c>
      <c r="K44">
        <v>96</v>
      </c>
      <c r="L44">
        <v>22.93</v>
      </c>
      <c r="M44">
        <v>236.8</v>
      </c>
      <c r="N44">
        <v>87</v>
      </c>
      <c r="O44">
        <v>10.66</v>
      </c>
      <c r="P44">
        <v>7.8</v>
      </c>
      <c r="Q44">
        <v>5</v>
      </c>
      <c r="R44">
        <v>2.11</v>
      </c>
      <c r="S44">
        <v>3</v>
      </c>
      <c r="T44" t="b">
        <v>0</v>
      </c>
      <c r="AK44">
        <v>175.5</v>
      </c>
      <c r="AL44">
        <v>250.3</v>
      </c>
      <c r="AV44">
        <v>200.3</v>
      </c>
      <c r="AW44">
        <v>145.5</v>
      </c>
      <c r="AX44">
        <v>214.8</v>
      </c>
    </row>
    <row r="45" spans="1:50">
      <c r="A45" t="s">
        <v>96</v>
      </c>
      <c r="B45">
        <v>60</v>
      </c>
      <c r="C45">
        <v>408</v>
      </c>
      <c r="D45" t="s">
        <v>62</v>
      </c>
      <c r="E45" t="s">
        <v>62</v>
      </c>
      <c r="F45">
        <v>0</v>
      </c>
      <c r="G45">
        <v>220.6</v>
      </c>
      <c r="H45">
        <v>57</v>
      </c>
      <c r="I45">
        <v>37.5</v>
      </c>
      <c r="J45">
        <v>211.1</v>
      </c>
      <c r="K45">
        <v>115</v>
      </c>
      <c r="L45">
        <v>17.94</v>
      </c>
      <c r="M45">
        <v>249</v>
      </c>
      <c r="N45">
        <v>129</v>
      </c>
      <c r="O45">
        <v>11.21</v>
      </c>
      <c r="P45">
        <v>6.8</v>
      </c>
      <c r="Q45">
        <v>3</v>
      </c>
      <c r="R45">
        <v>1.84</v>
      </c>
      <c r="S45">
        <v>1</v>
      </c>
      <c r="T45" t="b">
        <v>0</v>
      </c>
      <c r="AK45">
        <v>126.9</v>
      </c>
      <c r="AL45">
        <v>278</v>
      </c>
      <c r="AV45">
        <v>197</v>
      </c>
      <c r="AW45">
        <v>231</v>
      </c>
      <c r="AX45">
        <v>138.6</v>
      </c>
    </row>
    <row r="46" spans="1:50">
      <c r="A46" t="s">
        <v>97</v>
      </c>
      <c r="B46">
        <v>96</v>
      </c>
      <c r="C46">
        <v>415</v>
      </c>
      <c r="D46" t="s">
        <v>62</v>
      </c>
      <c r="E46" t="s">
        <v>62</v>
      </c>
      <c r="F46">
        <v>0</v>
      </c>
      <c r="G46">
        <v>160.2</v>
      </c>
      <c r="H46">
        <v>117</v>
      </c>
      <c r="I46">
        <v>27.23</v>
      </c>
      <c r="J46">
        <v>267.5</v>
      </c>
      <c r="K46">
        <v>67</v>
      </c>
      <c r="L46">
        <v>22.74</v>
      </c>
      <c r="M46">
        <v>228.5</v>
      </c>
      <c r="N46">
        <v>68</v>
      </c>
      <c r="O46">
        <v>10.28</v>
      </c>
      <c r="P46">
        <v>9.3</v>
      </c>
      <c r="Q46">
        <v>5</v>
      </c>
      <c r="R46">
        <v>2.51</v>
      </c>
      <c r="S46">
        <v>2</v>
      </c>
      <c r="T46" t="b">
        <v>0</v>
      </c>
      <c r="AK46">
        <v>229.3</v>
      </c>
      <c r="AL46">
        <v>256.4</v>
      </c>
      <c r="AV46">
        <v>167.1</v>
      </c>
      <c r="AW46">
        <v>175.8</v>
      </c>
      <c r="AX46">
        <v>155.2</v>
      </c>
    </row>
    <row r="47" spans="1:50">
      <c r="A47" t="s">
        <v>85</v>
      </c>
      <c r="B47">
        <v>87</v>
      </c>
      <c r="C47">
        <v>415</v>
      </c>
      <c r="D47" t="s">
        <v>62</v>
      </c>
      <c r="E47" t="s">
        <v>62</v>
      </c>
      <c r="F47">
        <v>0</v>
      </c>
      <c r="G47">
        <v>151</v>
      </c>
      <c r="H47">
        <v>83</v>
      </c>
      <c r="I47">
        <v>25.67</v>
      </c>
      <c r="J47">
        <v>219.7</v>
      </c>
      <c r="K47">
        <v>116</v>
      </c>
      <c r="L47">
        <v>18.67</v>
      </c>
      <c r="M47">
        <v>203.9</v>
      </c>
      <c r="N47">
        <v>127</v>
      </c>
      <c r="O47">
        <v>9.18</v>
      </c>
      <c r="P47">
        <v>9.7</v>
      </c>
      <c r="Q47">
        <v>3</v>
      </c>
      <c r="R47">
        <v>2.62</v>
      </c>
      <c r="S47">
        <v>5</v>
      </c>
      <c r="T47" t="b">
        <v>1</v>
      </c>
      <c r="AK47">
        <v>192.1</v>
      </c>
      <c r="AL47">
        <v>264.8</v>
      </c>
      <c r="AV47">
        <v>271.5</v>
      </c>
      <c r="AW47">
        <v>205</v>
      </c>
      <c r="AX47">
        <v>164.9</v>
      </c>
    </row>
    <row r="48" spans="1:50">
      <c r="A48" t="s">
        <v>96</v>
      </c>
      <c r="B48">
        <v>81</v>
      </c>
      <c r="C48">
        <v>408</v>
      </c>
      <c r="D48" t="s">
        <v>62</v>
      </c>
      <c r="E48" t="s">
        <v>62</v>
      </c>
      <c r="F48">
        <v>0</v>
      </c>
      <c r="G48">
        <v>175.5</v>
      </c>
      <c r="H48">
        <v>67</v>
      </c>
      <c r="I48">
        <v>29.84</v>
      </c>
      <c r="J48">
        <v>249.3</v>
      </c>
      <c r="K48">
        <v>85</v>
      </c>
      <c r="L48">
        <v>21.19</v>
      </c>
      <c r="M48">
        <v>270.2</v>
      </c>
      <c r="N48">
        <v>98</v>
      </c>
      <c r="O48">
        <v>12.16</v>
      </c>
      <c r="P48">
        <v>10.2</v>
      </c>
      <c r="Q48">
        <v>3</v>
      </c>
      <c r="R48">
        <v>2.75</v>
      </c>
      <c r="S48">
        <v>1</v>
      </c>
      <c r="T48" t="b">
        <v>0</v>
      </c>
      <c r="AK48">
        <v>268.6</v>
      </c>
      <c r="AL48">
        <v>178.2</v>
      </c>
      <c r="AV48">
        <v>257.7</v>
      </c>
      <c r="AW48">
        <v>200.3</v>
      </c>
      <c r="AX48">
        <v>206.2</v>
      </c>
    </row>
    <row r="49" spans="1:50">
      <c r="A49" t="s">
        <v>82</v>
      </c>
      <c r="B49">
        <v>141</v>
      </c>
      <c r="C49">
        <v>415</v>
      </c>
      <c r="D49" t="s">
        <v>62</v>
      </c>
      <c r="E49" t="s">
        <v>62</v>
      </c>
      <c r="F49">
        <v>0</v>
      </c>
      <c r="G49">
        <v>126.9</v>
      </c>
      <c r="H49">
        <v>98</v>
      </c>
      <c r="I49">
        <v>21.57</v>
      </c>
      <c r="J49">
        <v>180</v>
      </c>
      <c r="K49">
        <v>62</v>
      </c>
      <c r="L49">
        <v>15.3</v>
      </c>
      <c r="M49">
        <v>140.8</v>
      </c>
      <c r="N49">
        <v>128</v>
      </c>
      <c r="O49">
        <v>6.34</v>
      </c>
      <c r="P49">
        <v>8</v>
      </c>
      <c r="Q49">
        <v>2</v>
      </c>
      <c r="R49">
        <v>2.16</v>
      </c>
      <c r="S49">
        <v>1</v>
      </c>
      <c r="T49" t="b">
        <v>0</v>
      </c>
      <c r="AK49">
        <v>180.7</v>
      </c>
      <c r="AL49">
        <v>226.2</v>
      </c>
      <c r="AV49">
        <v>193.8</v>
      </c>
      <c r="AW49">
        <v>192.6</v>
      </c>
      <c r="AX49">
        <v>225.8</v>
      </c>
    </row>
    <row r="50" spans="1:50">
      <c r="A50" t="s">
        <v>82</v>
      </c>
      <c r="B50">
        <v>121</v>
      </c>
      <c r="C50">
        <v>408</v>
      </c>
      <c r="D50" t="s">
        <v>62</v>
      </c>
      <c r="E50" t="s">
        <v>63</v>
      </c>
      <c r="F50">
        <v>30</v>
      </c>
      <c r="G50">
        <v>198.4</v>
      </c>
      <c r="H50">
        <v>129</v>
      </c>
      <c r="I50">
        <v>33.73</v>
      </c>
      <c r="J50">
        <v>75.3</v>
      </c>
      <c r="K50">
        <v>77</v>
      </c>
      <c r="L50">
        <v>6.4</v>
      </c>
      <c r="M50">
        <v>181.2</v>
      </c>
      <c r="N50">
        <v>77</v>
      </c>
      <c r="O50">
        <v>8.15</v>
      </c>
      <c r="P50">
        <v>5.8</v>
      </c>
      <c r="Q50">
        <v>3</v>
      </c>
      <c r="R50">
        <v>1.57</v>
      </c>
      <c r="S50">
        <v>3</v>
      </c>
      <c r="T50" t="b">
        <v>1</v>
      </c>
      <c r="AK50">
        <v>131.2</v>
      </c>
      <c r="AL50">
        <v>96.6</v>
      </c>
      <c r="AV50">
        <v>178.7</v>
      </c>
      <c r="AW50">
        <v>231.9</v>
      </c>
      <c r="AX50">
        <v>218.9</v>
      </c>
    </row>
    <row r="51" spans="1:50">
      <c r="A51" t="s">
        <v>66</v>
      </c>
      <c r="B51">
        <v>125</v>
      </c>
      <c r="C51">
        <v>408</v>
      </c>
      <c r="D51" t="s">
        <v>62</v>
      </c>
      <c r="E51" t="s">
        <v>62</v>
      </c>
      <c r="F51">
        <v>0</v>
      </c>
      <c r="G51">
        <v>229.3</v>
      </c>
      <c r="H51">
        <v>103</v>
      </c>
      <c r="I51">
        <v>38.98</v>
      </c>
      <c r="J51">
        <v>177.4</v>
      </c>
      <c r="K51">
        <v>126</v>
      </c>
      <c r="L51">
        <v>15.08</v>
      </c>
      <c r="M51">
        <v>189.3</v>
      </c>
      <c r="N51">
        <v>95</v>
      </c>
      <c r="O51">
        <v>8.52</v>
      </c>
      <c r="P51">
        <v>12</v>
      </c>
      <c r="Q51">
        <v>8</v>
      </c>
      <c r="R51">
        <v>3.24</v>
      </c>
      <c r="S51">
        <v>1</v>
      </c>
      <c r="T51" t="b">
        <v>0</v>
      </c>
      <c r="AK51">
        <v>148.1</v>
      </c>
      <c r="AL51">
        <v>130.7</v>
      </c>
      <c r="AV51">
        <v>170.1</v>
      </c>
      <c r="AW51">
        <v>226</v>
      </c>
      <c r="AX51">
        <v>204.4</v>
      </c>
    </row>
    <row r="52" spans="1:50">
      <c r="A52" t="s">
        <v>77</v>
      </c>
      <c r="B52">
        <v>174</v>
      </c>
      <c r="C52">
        <v>408</v>
      </c>
      <c r="D52" t="s">
        <v>62</v>
      </c>
      <c r="E52" t="s">
        <v>62</v>
      </c>
      <c r="F52">
        <v>0</v>
      </c>
      <c r="G52">
        <v>192.1</v>
      </c>
      <c r="H52">
        <v>97</v>
      </c>
      <c r="I52">
        <v>32.66</v>
      </c>
      <c r="J52">
        <v>169.9</v>
      </c>
      <c r="K52">
        <v>94</v>
      </c>
      <c r="L52">
        <v>14.44</v>
      </c>
      <c r="M52">
        <v>166.6</v>
      </c>
      <c r="N52">
        <v>54</v>
      </c>
      <c r="O52">
        <v>7.5</v>
      </c>
      <c r="P52">
        <v>11.4</v>
      </c>
      <c r="Q52">
        <v>4</v>
      </c>
      <c r="R52">
        <v>3.08</v>
      </c>
      <c r="S52">
        <v>1</v>
      </c>
      <c r="T52" t="b">
        <v>0</v>
      </c>
      <c r="AK52">
        <v>251.5</v>
      </c>
      <c r="AL52">
        <v>216.9</v>
      </c>
      <c r="AV52">
        <v>237.1</v>
      </c>
      <c r="AW52">
        <v>260.4</v>
      </c>
      <c r="AX52">
        <v>206.4</v>
      </c>
    </row>
    <row r="53" spans="1:50">
      <c r="A53" t="s">
        <v>98</v>
      </c>
      <c r="B53">
        <v>116</v>
      </c>
      <c r="C53">
        <v>415</v>
      </c>
      <c r="D53" t="s">
        <v>62</v>
      </c>
      <c r="E53" t="s">
        <v>63</v>
      </c>
      <c r="F53">
        <v>34</v>
      </c>
      <c r="G53">
        <v>268.6</v>
      </c>
      <c r="H53">
        <v>83</v>
      </c>
      <c r="I53">
        <v>45.66</v>
      </c>
      <c r="J53">
        <v>178.2</v>
      </c>
      <c r="K53">
        <v>142</v>
      </c>
      <c r="L53">
        <v>15.15</v>
      </c>
      <c r="M53">
        <v>166.3</v>
      </c>
      <c r="N53">
        <v>106</v>
      </c>
      <c r="O53">
        <v>7.48</v>
      </c>
      <c r="P53">
        <v>11.6</v>
      </c>
      <c r="Q53">
        <v>3</v>
      </c>
      <c r="R53">
        <v>3.13</v>
      </c>
      <c r="S53">
        <v>2</v>
      </c>
      <c r="T53" t="b">
        <v>0</v>
      </c>
      <c r="AK53">
        <v>125.2</v>
      </c>
      <c r="AL53">
        <v>170.8</v>
      </c>
      <c r="AV53">
        <v>219.2</v>
      </c>
      <c r="AW53">
        <v>337.4</v>
      </c>
      <c r="AX53">
        <v>207.6</v>
      </c>
    </row>
    <row r="54" spans="1:50">
      <c r="A54" t="s">
        <v>99</v>
      </c>
      <c r="B54">
        <v>149</v>
      </c>
      <c r="C54">
        <v>408</v>
      </c>
      <c r="D54" t="s">
        <v>62</v>
      </c>
      <c r="E54" t="s">
        <v>63</v>
      </c>
      <c r="F54">
        <v>28</v>
      </c>
      <c r="G54">
        <v>180.7</v>
      </c>
      <c r="H54">
        <v>92</v>
      </c>
      <c r="I54">
        <v>30.72</v>
      </c>
      <c r="J54">
        <v>187.8</v>
      </c>
      <c r="K54">
        <v>64</v>
      </c>
      <c r="L54">
        <v>15.96</v>
      </c>
      <c r="M54">
        <v>265.5</v>
      </c>
      <c r="N54">
        <v>53</v>
      </c>
      <c r="O54">
        <v>11.95</v>
      </c>
      <c r="P54">
        <v>12.6</v>
      </c>
      <c r="Q54">
        <v>3</v>
      </c>
      <c r="R54">
        <v>3.4</v>
      </c>
      <c r="S54">
        <v>3</v>
      </c>
      <c r="T54" t="b">
        <v>0</v>
      </c>
      <c r="AK54">
        <v>211.6</v>
      </c>
      <c r="AL54">
        <v>265.9</v>
      </c>
      <c r="AV54">
        <v>173.5</v>
      </c>
      <c r="AW54">
        <v>136.3</v>
      </c>
      <c r="AX54">
        <v>99.5</v>
      </c>
    </row>
    <row r="55" spans="1:50">
      <c r="A55" t="s">
        <v>100</v>
      </c>
      <c r="B55">
        <v>38</v>
      </c>
      <c r="C55">
        <v>408</v>
      </c>
      <c r="D55" t="s">
        <v>62</v>
      </c>
      <c r="E55" t="s">
        <v>62</v>
      </c>
      <c r="F55">
        <v>0</v>
      </c>
      <c r="G55">
        <v>131.2</v>
      </c>
      <c r="H55">
        <v>98</v>
      </c>
      <c r="I55">
        <v>22.3</v>
      </c>
      <c r="J55">
        <v>162.9</v>
      </c>
      <c r="K55">
        <v>97</v>
      </c>
      <c r="L55">
        <v>13.85</v>
      </c>
      <c r="M55">
        <v>159</v>
      </c>
      <c r="N55">
        <v>106</v>
      </c>
      <c r="O55">
        <v>7.15</v>
      </c>
      <c r="P55">
        <v>8.2</v>
      </c>
      <c r="Q55">
        <v>6</v>
      </c>
      <c r="R55">
        <v>2.21</v>
      </c>
      <c r="S55">
        <v>2</v>
      </c>
      <c r="T55" t="b">
        <v>0</v>
      </c>
      <c r="AK55">
        <v>241.8</v>
      </c>
      <c r="AL55">
        <v>73.3</v>
      </c>
      <c r="AV55">
        <v>232.1</v>
      </c>
      <c r="AW55">
        <v>217.1</v>
      </c>
      <c r="AX55">
        <v>177.1</v>
      </c>
    </row>
    <row r="56" spans="1:50">
      <c r="A56" t="s">
        <v>101</v>
      </c>
      <c r="B56">
        <v>40</v>
      </c>
      <c r="C56">
        <v>415</v>
      </c>
      <c r="D56" t="s">
        <v>62</v>
      </c>
      <c r="E56" t="s">
        <v>63</v>
      </c>
      <c r="F56">
        <v>41</v>
      </c>
      <c r="G56">
        <v>148.1</v>
      </c>
      <c r="H56">
        <v>74</v>
      </c>
      <c r="I56">
        <v>25.18</v>
      </c>
      <c r="J56">
        <v>169.5</v>
      </c>
      <c r="K56">
        <v>88</v>
      </c>
      <c r="L56">
        <v>14.41</v>
      </c>
      <c r="M56">
        <v>214.1</v>
      </c>
      <c r="N56">
        <v>102</v>
      </c>
      <c r="O56">
        <v>9.63</v>
      </c>
      <c r="P56">
        <v>6.2</v>
      </c>
      <c r="Q56">
        <v>5</v>
      </c>
      <c r="R56">
        <v>1.67</v>
      </c>
      <c r="S56">
        <v>2</v>
      </c>
      <c r="T56" t="b">
        <v>0</v>
      </c>
      <c r="AK56">
        <v>224.9</v>
      </c>
      <c r="AL56">
        <v>237.5</v>
      </c>
      <c r="AV56">
        <v>115.6</v>
      </c>
      <c r="AW56">
        <v>98.9</v>
      </c>
      <c r="AX56">
        <v>172.7</v>
      </c>
    </row>
    <row r="57" spans="1:50">
      <c r="A57" t="s">
        <v>85</v>
      </c>
      <c r="B57">
        <v>43</v>
      </c>
      <c r="C57">
        <v>415</v>
      </c>
      <c r="D57" t="s">
        <v>63</v>
      </c>
      <c r="E57" t="s">
        <v>62</v>
      </c>
      <c r="F57">
        <v>0</v>
      </c>
      <c r="G57">
        <v>251.5</v>
      </c>
      <c r="H57">
        <v>105</v>
      </c>
      <c r="I57">
        <v>42.76</v>
      </c>
      <c r="J57">
        <v>212.8</v>
      </c>
      <c r="K57">
        <v>104</v>
      </c>
      <c r="L57">
        <v>18.09</v>
      </c>
      <c r="M57">
        <v>157.8</v>
      </c>
      <c r="N57">
        <v>67</v>
      </c>
      <c r="O57">
        <v>7.1</v>
      </c>
      <c r="P57">
        <v>9.3</v>
      </c>
      <c r="Q57">
        <v>4</v>
      </c>
      <c r="R57">
        <v>2.51</v>
      </c>
      <c r="S57">
        <v>0</v>
      </c>
      <c r="T57" t="b">
        <v>0</v>
      </c>
      <c r="AK57">
        <v>248.6</v>
      </c>
      <c r="AL57">
        <v>172.8</v>
      </c>
      <c r="AV57">
        <v>186.1</v>
      </c>
      <c r="AW57">
        <v>206.3</v>
      </c>
      <c r="AX57">
        <v>204.2</v>
      </c>
    </row>
    <row r="58" spans="1:50">
      <c r="A58" t="s">
        <v>102</v>
      </c>
      <c r="B58">
        <v>113</v>
      </c>
      <c r="C58">
        <v>408</v>
      </c>
      <c r="D58" t="s">
        <v>63</v>
      </c>
      <c r="E58" t="s">
        <v>62</v>
      </c>
      <c r="F58">
        <v>0</v>
      </c>
      <c r="G58">
        <v>125.2</v>
      </c>
      <c r="H58">
        <v>93</v>
      </c>
      <c r="I58">
        <v>21.28</v>
      </c>
      <c r="J58">
        <v>206.4</v>
      </c>
      <c r="K58">
        <v>119</v>
      </c>
      <c r="L58">
        <v>17.54</v>
      </c>
      <c r="M58">
        <v>129.3</v>
      </c>
      <c r="N58">
        <v>139</v>
      </c>
      <c r="O58">
        <v>5.82</v>
      </c>
      <c r="P58">
        <v>8.3</v>
      </c>
      <c r="Q58">
        <v>8</v>
      </c>
      <c r="R58">
        <v>2.24</v>
      </c>
      <c r="S58">
        <v>0</v>
      </c>
      <c r="T58" t="b">
        <v>0</v>
      </c>
      <c r="AK58">
        <v>203.4</v>
      </c>
      <c r="AL58">
        <v>288.1</v>
      </c>
      <c r="AV58">
        <v>158.7</v>
      </c>
      <c r="AW58">
        <v>243.1</v>
      </c>
      <c r="AX58">
        <v>92</v>
      </c>
    </row>
    <row r="59" spans="1:50">
      <c r="A59" t="s">
        <v>97</v>
      </c>
      <c r="B59">
        <v>126</v>
      </c>
      <c r="C59">
        <v>408</v>
      </c>
      <c r="D59" t="s">
        <v>62</v>
      </c>
      <c r="E59" t="s">
        <v>62</v>
      </c>
      <c r="F59">
        <v>0</v>
      </c>
      <c r="G59">
        <v>211.6</v>
      </c>
      <c r="H59">
        <v>70</v>
      </c>
      <c r="I59">
        <v>35.97</v>
      </c>
      <c r="J59">
        <v>216.9</v>
      </c>
      <c r="K59">
        <v>80</v>
      </c>
      <c r="L59">
        <v>18.44</v>
      </c>
      <c r="M59">
        <v>153.5</v>
      </c>
      <c r="N59">
        <v>60</v>
      </c>
      <c r="O59">
        <v>6.91</v>
      </c>
      <c r="P59">
        <v>7.8</v>
      </c>
      <c r="Q59">
        <v>1</v>
      </c>
      <c r="R59">
        <v>2.11</v>
      </c>
      <c r="S59">
        <v>1</v>
      </c>
      <c r="T59" t="b">
        <v>0</v>
      </c>
      <c r="AK59">
        <v>157.1</v>
      </c>
      <c r="AL59">
        <v>174.1</v>
      </c>
      <c r="AV59">
        <v>232.4</v>
      </c>
      <c r="AW59">
        <v>202</v>
      </c>
      <c r="AX59">
        <v>194.4</v>
      </c>
    </row>
    <row r="60" spans="1:50">
      <c r="A60" t="s">
        <v>80</v>
      </c>
      <c r="B60">
        <v>150</v>
      </c>
      <c r="C60">
        <v>510</v>
      </c>
      <c r="D60" t="s">
        <v>62</v>
      </c>
      <c r="E60" t="s">
        <v>62</v>
      </c>
      <c r="F60">
        <v>0</v>
      </c>
      <c r="G60">
        <v>178.9</v>
      </c>
      <c r="H60">
        <v>101</v>
      </c>
      <c r="I60">
        <v>30.41</v>
      </c>
      <c r="J60">
        <v>169.1</v>
      </c>
      <c r="K60">
        <v>110</v>
      </c>
      <c r="L60">
        <v>14.37</v>
      </c>
      <c r="M60">
        <v>148.6</v>
      </c>
      <c r="N60">
        <v>100</v>
      </c>
      <c r="O60">
        <v>6.69</v>
      </c>
      <c r="P60">
        <v>13.8</v>
      </c>
      <c r="Q60">
        <v>3</v>
      </c>
      <c r="R60">
        <v>3.73</v>
      </c>
      <c r="S60">
        <v>4</v>
      </c>
      <c r="T60" t="b">
        <v>1</v>
      </c>
      <c r="AK60">
        <v>170.2</v>
      </c>
      <c r="AL60">
        <v>221.1</v>
      </c>
      <c r="AV60">
        <v>209.9</v>
      </c>
      <c r="AW60">
        <v>252.6</v>
      </c>
      <c r="AX60">
        <v>205.6</v>
      </c>
    </row>
    <row r="61" spans="1:50">
      <c r="A61" t="s">
        <v>65</v>
      </c>
      <c r="B61">
        <v>138</v>
      </c>
      <c r="C61">
        <v>408</v>
      </c>
      <c r="D61" t="s">
        <v>62</v>
      </c>
      <c r="E61" t="s">
        <v>62</v>
      </c>
      <c r="F61">
        <v>0</v>
      </c>
      <c r="G61">
        <v>241.8</v>
      </c>
      <c r="H61">
        <v>93</v>
      </c>
      <c r="I61">
        <v>41.11</v>
      </c>
      <c r="J61">
        <v>170.5</v>
      </c>
      <c r="K61">
        <v>83</v>
      </c>
      <c r="L61">
        <v>14.49</v>
      </c>
      <c r="M61">
        <v>295.3</v>
      </c>
      <c r="N61">
        <v>104</v>
      </c>
      <c r="O61">
        <v>13.29</v>
      </c>
      <c r="P61">
        <v>11.8</v>
      </c>
      <c r="Q61">
        <v>7</v>
      </c>
      <c r="R61">
        <v>3.19</v>
      </c>
      <c r="S61">
        <v>3</v>
      </c>
      <c r="T61" t="b">
        <v>0</v>
      </c>
      <c r="AK61">
        <v>201.1</v>
      </c>
      <c r="AL61">
        <v>209.4</v>
      </c>
      <c r="AV61">
        <v>289.5</v>
      </c>
      <c r="AW61">
        <v>147.1</v>
      </c>
      <c r="AX61">
        <v>232.4</v>
      </c>
    </row>
    <row r="62" spans="1:50">
      <c r="A62" t="s">
        <v>102</v>
      </c>
      <c r="B62">
        <v>162</v>
      </c>
      <c r="C62">
        <v>510</v>
      </c>
      <c r="D62" t="s">
        <v>62</v>
      </c>
      <c r="E62" t="s">
        <v>63</v>
      </c>
      <c r="F62">
        <v>46</v>
      </c>
      <c r="G62">
        <v>224.9</v>
      </c>
      <c r="H62">
        <v>97</v>
      </c>
      <c r="I62">
        <v>38.23</v>
      </c>
      <c r="J62">
        <v>188.2</v>
      </c>
      <c r="K62">
        <v>84</v>
      </c>
      <c r="L62">
        <v>16</v>
      </c>
      <c r="M62">
        <v>254.6</v>
      </c>
      <c r="N62">
        <v>61</v>
      </c>
      <c r="O62">
        <v>11.46</v>
      </c>
      <c r="P62">
        <v>12.1</v>
      </c>
      <c r="Q62">
        <v>2</v>
      </c>
      <c r="R62">
        <v>3.27</v>
      </c>
      <c r="S62">
        <v>0</v>
      </c>
      <c r="T62" t="b">
        <v>0</v>
      </c>
      <c r="AK62">
        <v>215.4</v>
      </c>
      <c r="AL62">
        <v>234.2</v>
      </c>
      <c r="AV62">
        <v>83</v>
      </c>
      <c r="AW62">
        <v>58.2</v>
      </c>
      <c r="AX62">
        <v>223.5</v>
      </c>
    </row>
    <row r="63" spans="1:50">
      <c r="A63" t="s">
        <v>103</v>
      </c>
      <c r="B63">
        <v>147</v>
      </c>
      <c r="C63">
        <v>510</v>
      </c>
      <c r="D63" t="s">
        <v>62</v>
      </c>
      <c r="E63" t="s">
        <v>62</v>
      </c>
      <c r="F63">
        <v>0</v>
      </c>
      <c r="G63">
        <v>248.6</v>
      </c>
      <c r="H63">
        <v>83</v>
      </c>
      <c r="I63">
        <v>42.26</v>
      </c>
      <c r="J63">
        <v>148.9</v>
      </c>
      <c r="K63">
        <v>85</v>
      </c>
      <c r="L63">
        <v>12.66</v>
      </c>
      <c r="M63">
        <v>172.5</v>
      </c>
      <c r="N63">
        <v>109</v>
      </c>
      <c r="O63">
        <v>7.76</v>
      </c>
      <c r="P63">
        <v>8</v>
      </c>
      <c r="Q63">
        <v>4</v>
      </c>
      <c r="R63">
        <v>2.16</v>
      </c>
      <c r="S63">
        <v>3</v>
      </c>
      <c r="T63" t="b">
        <v>0</v>
      </c>
      <c r="AK63">
        <v>165.6</v>
      </c>
      <c r="AL63">
        <v>159.7</v>
      </c>
      <c r="AV63">
        <v>182.3</v>
      </c>
      <c r="AW63">
        <v>214.3</v>
      </c>
      <c r="AX63">
        <v>176.3</v>
      </c>
    </row>
    <row r="64" spans="1:50">
      <c r="A64" t="s">
        <v>104</v>
      </c>
      <c r="B64">
        <v>90</v>
      </c>
      <c r="C64">
        <v>415</v>
      </c>
      <c r="D64" t="s">
        <v>62</v>
      </c>
      <c r="E64" t="s">
        <v>62</v>
      </c>
      <c r="F64">
        <v>0</v>
      </c>
      <c r="G64">
        <v>203.4</v>
      </c>
      <c r="H64">
        <v>146</v>
      </c>
      <c r="I64">
        <v>34.58</v>
      </c>
      <c r="J64">
        <v>226.7</v>
      </c>
      <c r="K64">
        <v>117</v>
      </c>
      <c r="L64">
        <v>19.27</v>
      </c>
      <c r="M64">
        <v>152.4</v>
      </c>
      <c r="N64">
        <v>105</v>
      </c>
      <c r="O64">
        <v>6.86</v>
      </c>
      <c r="P64">
        <v>7.3</v>
      </c>
      <c r="Q64">
        <v>4</v>
      </c>
      <c r="R64">
        <v>1.97</v>
      </c>
      <c r="S64">
        <v>1</v>
      </c>
      <c r="T64" t="b">
        <v>0</v>
      </c>
      <c r="AK64">
        <v>249.5</v>
      </c>
      <c r="AL64">
        <v>335.5</v>
      </c>
      <c r="AV64">
        <v>167.6</v>
      </c>
      <c r="AW64">
        <v>133.8</v>
      </c>
      <c r="AX64">
        <v>58.8</v>
      </c>
    </row>
    <row r="65" spans="1:50">
      <c r="A65" t="s">
        <v>102</v>
      </c>
      <c r="B65">
        <v>50</v>
      </c>
      <c r="C65">
        <v>415</v>
      </c>
      <c r="D65" t="s">
        <v>62</v>
      </c>
      <c r="E65" t="s">
        <v>62</v>
      </c>
      <c r="F65">
        <v>0</v>
      </c>
      <c r="G65">
        <v>157.1</v>
      </c>
      <c r="H65">
        <v>90</v>
      </c>
      <c r="I65">
        <v>26.71</v>
      </c>
      <c r="J65">
        <v>223.3</v>
      </c>
      <c r="K65">
        <v>72</v>
      </c>
      <c r="L65">
        <v>18.98</v>
      </c>
      <c r="M65">
        <v>181.4</v>
      </c>
      <c r="N65">
        <v>111</v>
      </c>
      <c r="O65">
        <v>8.16</v>
      </c>
      <c r="P65">
        <v>6.1</v>
      </c>
      <c r="Q65">
        <v>2</v>
      </c>
      <c r="R65">
        <v>1.65</v>
      </c>
      <c r="S65">
        <v>1</v>
      </c>
      <c r="T65" t="b">
        <v>0</v>
      </c>
      <c r="AK65">
        <v>214.3</v>
      </c>
      <c r="AL65">
        <v>293.3</v>
      </c>
      <c r="AV65">
        <v>166</v>
      </c>
      <c r="AW65">
        <v>176.9</v>
      </c>
      <c r="AX65">
        <v>198.3</v>
      </c>
    </row>
    <row r="66" spans="1:50">
      <c r="A66" t="s">
        <v>105</v>
      </c>
      <c r="B66">
        <v>82</v>
      </c>
      <c r="C66">
        <v>415</v>
      </c>
      <c r="D66" t="s">
        <v>62</v>
      </c>
      <c r="E66" t="s">
        <v>62</v>
      </c>
      <c r="F66">
        <v>0</v>
      </c>
      <c r="G66">
        <v>300.3</v>
      </c>
      <c r="H66">
        <v>109</v>
      </c>
      <c r="I66">
        <v>51.05</v>
      </c>
      <c r="J66">
        <v>181</v>
      </c>
      <c r="K66">
        <v>100</v>
      </c>
      <c r="L66">
        <v>15.39</v>
      </c>
      <c r="M66">
        <v>270.1</v>
      </c>
      <c r="N66">
        <v>73</v>
      </c>
      <c r="O66">
        <v>12.15</v>
      </c>
      <c r="P66">
        <v>11.7</v>
      </c>
      <c r="Q66">
        <v>4</v>
      </c>
      <c r="R66">
        <v>3.16</v>
      </c>
      <c r="S66">
        <v>0</v>
      </c>
      <c r="T66" t="b">
        <v>1</v>
      </c>
      <c r="AK66">
        <v>154.1</v>
      </c>
      <c r="AL66">
        <v>220.2</v>
      </c>
      <c r="AV66">
        <v>149.3</v>
      </c>
      <c r="AW66">
        <v>137.5</v>
      </c>
      <c r="AX66">
        <v>205.2</v>
      </c>
    </row>
    <row r="67" spans="1:50">
      <c r="A67" t="s">
        <v>106</v>
      </c>
      <c r="B67">
        <v>144</v>
      </c>
      <c r="C67">
        <v>408</v>
      </c>
      <c r="D67" t="s">
        <v>62</v>
      </c>
      <c r="E67" t="s">
        <v>62</v>
      </c>
      <c r="F67">
        <v>0</v>
      </c>
      <c r="G67">
        <v>61.6</v>
      </c>
      <c r="H67">
        <v>117</v>
      </c>
      <c r="I67">
        <v>10.47</v>
      </c>
      <c r="J67">
        <v>77.1</v>
      </c>
      <c r="K67">
        <v>85</v>
      </c>
      <c r="L67">
        <v>6.55</v>
      </c>
      <c r="M67">
        <v>173</v>
      </c>
      <c r="N67">
        <v>99</v>
      </c>
      <c r="O67">
        <v>7.79</v>
      </c>
      <c r="P67">
        <v>8.2</v>
      </c>
      <c r="Q67">
        <v>7</v>
      </c>
      <c r="R67">
        <v>2.21</v>
      </c>
      <c r="S67">
        <v>4</v>
      </c>
      <c r="T67" t="b">
        <v>1</v>
      </c>
      <c r="AK67">
        <v>143.9</v>
      </c>
      <c r="AL67">
        <v>299.5</v>
      </c>
      <c r="AV67">
        <v>65.4</v>
      </c>
      <c r="AW67">
        <v>198.1</v>
      </c>
      <c r="AX67">
        <v>192.1</v>
      </c>
    </row>
    <row r="68" spans="1:50">
      <c r="A68" t="s">
        <v>91</v>
      </c>
      <c r="B68">
        <v>70</v>
      </c>
      <c r="C68">
        <v>408</v>
      </c>
      <c r="D68" t="s">
        <v>62</v>
      </c>
      <c r="E68" t="s">
        <v>62</v>
      </c>
      <c r="F68">
        <v>0</v>
      </c>
      <c r="G68">
        <v>170.2</v>
      </c>
      <c r="H68">
        <v>98</v>
      </c>
      <c r="I68">
        <v>28.93</v>
      </c>
      <c r="J68">
        <v>155.2</v>
      </c>
      <c r="K68">
        <v>102</v>
      </c>
      <c r="L68">
        <v>13.19</v>
      </c>
      <c r="M68">
        <v>228.6</v>
      </c>
      <c r="N68">
        <v>76</v>
      </c>
      <c r="O68">
        <v>10.29</v>
      </c>
      <c r="P68">
        <v>15</v>
      </c>
      <c r="Q68">
        <v>2</v>
      </c>
      <c r="R68">
        <v>4.05</v>
      </c>
      <c r="S68">
        <v>1</v>
      </c>
      <c r="T68" t="b">
        <v>0</v>
      </c>
      <c r="AK68">
        <v>124.3</v>
      </c>
      <c r="AL68">
        <v>261.7</v>
      </c>
      <c r="AV68">
        <v>186.2</v>
      </c>
      <c r="AW68">
        <v>149.7</v>
      </c>
      <c r="AX68">
        <v>169.6</v>
      </c>
    </row>
    <row r="69" spans="1:50">
      <c r="A69" t="s">
        <v>71</v>
      </c>
      <c r="B69">
        <v>144</v>
      </c>
      <c r="C69">
        <v>415</v>
      </c>
      <c r="D69" t="s">
        <v>62</v>
      </c>
      <c r="E69" t="s">
        <v>62</v>
      </c>
      <c r="F69">
        <v>0</v>
      </c>
      <c r="G69">
        <v>201.1</v>
      </c>
      <c r="H69">
        <v>99</v>
      </c>
      <c r="I69">
        <v>34.19</v>
      </c>
      <c r="J69">
        <v>303.5</v>
      </c>
      <c r="K69">
        <v>74</v>
      </c>
      <c r="L69">
        <v>25.8</v>
      </c>
      <c r="M69">
        <v>224</v>
      </c>
      <c r="N69">
        <v>119</v>
      </c>
      <c r="O69">
        <v>10.08</v>
      </c>
      <c r="P69">
        <v>13.2</v>
      </c>
      <c r="Q69">
        <v>2</v>
      </c>
      <c r="R69">
        <v>3.56</v>
      </c>
      <c r="S69">
        <v>1</v>
      </c>
      <c r="T69" t="b">
        <v>0</v>
      </c>
      <c r="AK69">
        <v>252.9</v>
      </c>
      <c r="AL69">
        <v>222.4</v>
      </c>
      <c r="AV69">
        <v>312</v>
      </c>
      <c r="AW69">
        <v>145.7</v>
      </c>
      <c r="AX69">
        <v>201.3</v>
      </c>
    </row>
    <row r="70" spans="1:50">
      <c r="A70" t="s">
        <v>94</v>
      </c>
      <c r="B70">
        <v>116</v>
      </c>
      <c r="C70">
        <v>415</v>
      </c>
      <c r="D70" t="s">
        <v>63</v>
      </c>
      <c r="E70" t="s">
        <v>62</v>
      </c>
      <c r="F70">
        <v>0</v>
      </c>
      <c r="G70">
        <v>215.4</v>
      </c>
      <c r="H70">
        <v>104</v>
      </c>
      <c r="I70">
        <v>36.62</v>
      </c>
      <c r="J70">
        <v>204.8</v>
      </c>
      <c r="K70">
        <v>79</v>
      </c>
      <c r="L70">
        <v>17.41</v>
      </c>
      <c r="M70">
        <v>278.5</v>
      </c>
      <c r="N70">
        <v>109</v>
      </c>
      <c r="O70">
        <v>12.53</v>
      </c>
      <c r="P70">
        <v>12.6</v>
      </c>
      <c r="Q70">
        <v>5</v>
      </c>
      <c r="R70">
        <v>3.4</v>
      </c>
      <c r="S70">
        <v>3</v>
      </c>
      <c r="T70" t="b">
        <v>0</v>
      </c>
      <c r="AK70">
        <v>179.1</v>
      </c>
      <c r="AL70">
        <v>271.2</v>
      </c>
      <c r="AV70">
        <v>202.6</v>
      </c>
      <c r="AW70">
        <v>218</v>
      </c>
      <c r="AX70">
        <v>169.2</v>
      </c>
    </row>
    <row r="71" spans="1:50">
      <c r="A71" t="s">
        <v>82</v>
      </c>
      <c r="B71">
        <v>55</v>
      </c>
      <c r="C71">
        <v>408</v>
      </c>
      <c r="D71" t="s">
        <v>62</v>
      </c>
      <c r="E71" t="s">
        <v>63</v>
      </c>
      <c r="F71">
        <v>25</v>
      </c>
      <c r="G71">
        <v>165.6</v>
      </c>
      <c r="H71">
        <v>123</v>
      </c>
      <c r="I71">
        <v>28.15</v>
      </c>
      <c r="J71">
        <v>136.1</v>
      </c>
      <c r="K71">
        <v>95</v>
      </c>
      <c r="L71">
        <v>11.57</v>
      </c>
      <c r="M71">
        <v>175.7</v>
      </c>
      <c r="N71">
        <v>90</v>
      </c>
      <c r="O71">
        <v>7.91</v>
      </c>
      <c r="P71">
        <v>11</v>
      </c>
      <c r="Q71">
        <v>2</v>
      </c>
      <c r="R71">
        <v>2.97</v>
      </c>
      <c r="S71">
        <v>3</v>
      </c>
      <c r="T71" t="b">
        <v>0</v>
      </c>
      <c r="AK71">
        <v>278.4</v>
      </c>
      <c r="AL71">
        <v>162.1</v>
      </c>
      <c r="AV71">
        <v>74.5</v>
      </c>
      <c r="AW71">
        <v>152.7</v>
      </c>
      <c r="AX71">
        <v>154.6</v>
      </c>
    </row>
    <row r="72" spans="1:50">
      <c r="A72" t="s">
        <v>89</v>
      </c>
      <c r="B72">
        <v>70</v>
      </c>
      <c r="C72">
        <v>415</v>
      </c>
      <c r="D72" t="s">
        <v>62</v>
      </c>
      <c r="E72" t="s">
        <v>63</v>
      </c>
      <c r="F72">
        <v>24</v>
      </c>
      <c r="G72">
        <v>249.5</v>
      </c>
      <c r="H72">
        <v>101</v>
      </c>
      <c r="I72">
        <v>42.42</v>
      </c>
      <c r="J72">
        <v>259.7</v>
      </c>
      <c r="K72">
        <v>98</v>
      </c>
      <c r="L72">
        <v>22.07</v>
      </c>
      <c r="M72">
        <v>222.7</v>
      </c>
      <c r="N72">
        <v>68</v>
      </c>
      <c r="O72">
        <v>10.02</v>
      </c>
      <c r="P72">
        <v>9.8</v>
      </c>
      <c r="Q72">
        <v>4</v>
      </c>
      <c r="R72">
        <v>2.65</v>
      </c>
      <c r="S72">
        <v>1</v>
      </c>
      <c r="T72" t="b">
        <v>0</v>
      </c>
      <c r="AK72">
        <v>198.2</v>
      </c>
      <c r="AL72">
        <v>145</v>
      </c>
      <c r="AV72">
        <v>225</v>
      </c>
      <c r="AW72">
        <v>106.7</v>
      </c>
      <c r="AX72">
        <v>220.6</v>
      </c>
    </row>
    <row r="73" spans="1:50">
      <c r="A73" t="s">
        <v>80</v>
      </c>
      <c r="B73">
        <v>106</v>
      </c>
      <c r="C73">
        <v>510</v>
      </c>
      <c r="D73" t="s">
        <v>62</v>
      </c>
      <c r="E73" t="s">
        <v>62</v>
      </c>
      <c r="F73">
        <v>0</v>
      </c>
      <c r="G73">
        <v>210.6</v>
      </c>
      <c r="H73">
        <v>96</v>
      </c>
      <c r="I73">
        <v>35.8</v>
      </c>
      <c r="J73">
        <v>249.2</v>
      </c>
      <c r="K73">
        <v>85</v>
      </c>
      <c r="L73">
        <v>21.18</v>
      </c>
      <c r="M73">
        <v>191.4</v>
      </c>
      <c r="N73">
        <v>88</v>
      </c>
      <c r="O73">
        <v>8.61</v>
      </c>
      <c r="P73">
        <v>12.4</v>
      </c>
      <c r="Q73">
        <v>1</v>
      </c>
      <c r="R73">
        <v>3.35</v>
      </c>
      <c r="S73">
        <v>2</v>
      </c>
      <c r="T73" t="b">
        <v>1</v>
      </c>
      <c r="AK73">
        <v>161.2</v>
      </c>
      <c r="AL73">
        <v>230.9</v>
      </c>
      <c r="AV73">
        <v>198.5</v>
      </c>
      <c r="AW73">
        <v>194.4</v>
      </c>
      <c r="AX73">
        <v>107</v>
      </c>
    </row>
    <row r="74" spans="1:50">
      <c r="A74" t="s">
        <v>96</v>
      </c>
      <c r="B74">
        <v>94</v>
      </c>
      <c r="C74">
        <v>408</v>
      </c>
      <c r="D74" t="s">
        <v>62</v>
      </c>
      <c r="E74" t="s">
        <v>62</v>
      </c>
      <c r="F74">
        <v>0</v>
      </c>
      <c r="G74">
        <v>157.9</v>
      </c>
      <c r="H74">
        <v>105</v>
      </c>
      <c r="I74">
        <v>26.84</v>
      </c>
      <c r="J74">
        <v>155</v>
      </c>
      <c r="K74">
        <v>101</v>
      </c>
      <c r="L74">
        <v>13.18</v>
      </c>
      <c r="M74">
        <v>189.6</v>
      </c>
      <c r="N74">
        <v>84</v>
      </c>
      <c r="O74">
        <v>8.53</v>
      </c>
      <c r="P74">
        <v>8</v>
      </c>
      <c r="Q74">
        <v>5</v>
      </c>
      <c r="R74">
        <v>2.16</v>
      </c>
      <c r="S74">
        <v>4</v>
      </c>
      <c r="T74" t="b">
        <v>1</v>
      </c>
      <c r="AK74">
        <v>151.7</v>
      </c>
      <c r="AL74">
        <v>176.9</v>
      </c>
      <c r="AV74">
        <v>110.3</v>
      </c>
      <c r="AW74">
        <v>155.2</v>
      </c>
      <c r="AX74">
        <v>182.5</v>
      </c>
    </row>
    <row r="75" spans="1:50">
      <c r="A75" t="s">
        <v>71</v>
      </c>
      <c r="B75">
        <v>111</v>
      </c>
      <c r="C75">
        <v>510</v>
      </c>
      <c r="D75" t="s">
        <v>62</v>
      </c>
      <c r="E75" t="s">
        <v>62</v>
      </c>
      <c r="F75">
        <v>0</v>
      </c>
      <c r="G75">
        <v>214.3</v>
      </c>
      <c r="H75">
        <v>118</v>
      </c>
      <c r="I75">
        <v>36.43</v>
      </c>
      <c r="J75">
        <v>208.5</v>
      </c>
      <c r="K75">
        <v>76</v>
      </c>
      <c r="L75">
        <v>17.72</v>
      </c>
      <c r="M75">
        <v>182.4</v>
      </c>
      <c r="N75">
        <v>98</v>
      </c>
      <c r="O75">
        <v>8.21</v>
      </c>
      <c r="P75">
        <v>12</v>
      </c>
      <c r="Q75">
        <v>2</v>
      </c>
      <c r="R75">
        <v>3.24</v>
      </c>
      <c r="S75">
        <v>1</v>
      </c>
      <c r="T75" t="b">
        <v>0</v>
      </c>
      <c r="AK75">
        <v>170.5</v>
      </c>
      <c r="AL75">
        <v>265.6</v>
      </c>
      <c r="AV75">
        <v>207</v>
      </c>
      <c r="AW75">
        <v>179.3</v>
      </c>
      <c r="AX75">
        <v>242.1</v>
      </c>
    </row>
    <row r="76" spans="1:50">
      <c r="A76" t="s">
        <v>107</v>
      </c>
      <c r="B76">
        <v>74</v>
      </c>
      <c r="C76">
        <v>415</v>
      </c>
      <c r="D76" t="s">
        <v>62</v>
      </c>
      <c r="E76" t="s">
        <v>63</v>
      </c>
      <c r="F76">
        <v>35</v>
      </c>
      <c r="G76">
        <v>154.1</v>
      </c>
      <c r="H76">
        <v>104</v>
      </c>
      <c r="I76">
        <v>26.2</v>
      </c>
      <c r="J76">
        <v>123.4</v>
      </c>
      <c r="K76">
        <v>84</v>
      </c>
      <c r="L76">
        <v>10.49</v>
      </c>
      <c r="M76">
        <v>202.1</v>
      </c>
      <c r="N76">
        <v>57</v>
      </c>
      <c r="O76">
        <v>9.09</v>
      </c>
      <c r="P76">
        <v>10.9</v>
      </c>
      <c r="Q76">
        <v>9</v>
      </c>
      <c r="R76">
        <v>2.94</v>
      </c>
      <c r="S76">
        <v>2</v>
      </c>
      <c r="T76" t="b">
        <v>0</v>
      </c>
      <c r="AK76">
        <v>238.1</v>
      </c>
      <c r="AL76">
        <v>271.5</v>
      </c>
      <c r="AV76">
        <v>134.5</v>
      </c>
      <c r="AW76">
        <v>151.4</v>
      </c>
      <c r="AX76">
        <v>126</v>
      </c>
    </row>
    <row r="77" spans="1:50">
      <c r="A77" t="s">
        <v>65</v>
      </c>
      <c r="B77">
        <v>128</v>
      </c>
      <c r="C77">
        <v>415</v>
      </c>
      <c r="D77" t="s">
        <v>62</v>
      </c>
      <c r="E77" t="s">
        <v>62</v>
      </c>
      <c r="F77">
        <v>0</v>
      </c>
      <c r="G77">
        <v>237.9</v>
      </c>
      <c r="H77">
        <v>125</v>
      </c>
      <c r="I77">
        <v>40.44</v>
      </c>
      <c r="J77">
        <v>247.6</v>
      </c>
      <c r="K77">
        <v>93</v>
      </c>
      <c r="L77">
        <v>21.05</v>
      </c>
      <c r="M77">
        <v>208.9</v>
      </c>
      <c r="N77">
        <v>68</v>
      </c>
      <c r="O77">
        <v>9.4</v>
      </c>
      <c r="P77">
        <v>13.9</v>
      </c>
      <c r="Q77">
        <v>4</v>
      </c>
      <c r="R77">
        <v>3.75</v>
      </c>
      <c r="S77">
        <v>1</v>
      </c>
      <c r="T77" t="b">
        <v>1</v>
      </c>
      <c r="AK77">
        <v>117.9</v>
      </c>
      <c r="AL77">
        <v>314.6</v>
      </c>
      <c r="AV77">
        <v>138.3</v>
      </c>
      <c r="AW77">
        <v>180</v>
      </c>
      <c r="AX77">
        <v>217.1</v>
      </c>
    </row>
    <row r="78" spans="1:50">
      <c r="A78" t="s">
        <v>105</v>
      </c>
      <c r="B78">
        <v>82</v>
      </c>
      <c r="C78">
        <v>510</v>
      </c>
      <c r="D78" t="s">
        <v>62</v>
      </c>
      <c r="E78" t="s">
        <v>62</v>
      </c>
      <c r="F78">
        <v>0</v>
      </c>
      <c r="G78">
        <v>143.9</v>
      </c>
      <c r="H78">
        <v>61</v>
      </c>
      <c r="I78">
        <v>24.46</v>
      </c>
      <c r="J78">
        <v>194.9</v>
      </c>
      <c r="K78">
        <v>105</v>
      </c>
      <c r="L78">
        <v>16.57</v>
      </c>
      <c r="M78">
        <v>109.6</v>
      </c>
      <c r="N78">
        <v>94</v>
      </c>
      <c r="O78">
        <v>4.93</v>
      </c>
      <c r="P78">
        <v>11.1</v>
      </c>
      <c r="Q78">
        <v>2</v>
      </c>
      <c r="R78">
        <v>3</v>
      </c>
      <c r="S78">
        <v>1</v>
      </c>
      <c r="T78" t="b">
        <v>0</v>
      </c>
      <c r="AK78">
        <v>229.8</v>
      </c>
      <c r="AL78">
        <v>167.7</v>
      </c>
      <c r="AV78">
        <v>160</v>
      </c>
      <c r="AW78">
        <v>250.2</v>
      </c>
      <c r="AX78">
        <v>229.6</v>
      </c>
    </row>
    <row r="79" spans="1:50">
      <c r="A79" t="s">
        <v>92</v>
      </c>
      <c r="B79">
        <v>80</v>
      </c>
      <c r="C79">
        <v>415</v>
      </c>
      <c r="D79" t="s">
        <v>62</v>
      </c>
      <c r="E79" t="s">
        <v>62</v>
      </c>
      <c r="F79">
        <v>0</v>
      </c>
      <c r="G79">
        <v>124.3</v>
      </c>
      <c r="H79">
        <v>100</v>
      </c>
      <c r="I79">
        <v>21.13</v>
      </c>
      <c r="J79">
        <v>173</v>
      </c>
      <c r="K79">
        <v>107</v>
      </c>
      <c r="L79">
        <v>14.71</v>
      </c>
      <c r="M79">
        <v>253.2</v>
      </c>
      <c r="N79">
        <v>62</v>
      </c>
      <c r="O79">
        <v>11.39</v>
      </c>
      <c r="P79">
        <v>7.9</v>
      </c>
      <c r="Q79">
        <v>9</v>
      </c>
      <c r="R79">
        <v>2.13</v>
      </c>
      <c r="S79">
        <v>1</v>
      </c>
      <c r="T79" t="b">
        <v>0</v>
      </c>
      <c r="AK79">
        <v>165</v>
      </c>
      <c r="AV79">
        <v>151.1</v>
      </c>
      <c r="AW79">
        <v>223</v>
      </c>
      <c r="AX79">
        <v>181.5</v>
      </c>
    </row>
    <row r="80" spans="1:50">
      <c r="A80" t="s">
        <v>108</v>
      </c>
      <c r="B80">
        <v>78</v>
      </c>
      <c r="C80">
        <v>415</v>
      </c>
      <c r="D80" t="s">
        <v>62</v>
      </c>
      <c r="E80" t="s">
        <v>62</v>
      </c>
      <c r="F80">
        <v>0</v>
      </c>
      <c r="G80">
        <v>252.9</v>
      </c>
      <c r="H80">
        <v>93</v>
      </c>
      <c r="I80">
        <v>42.99</v>
      </c>
      <c r="J80">
        <v>178.4</v>
      </c>
      <c r="K80">
        <v>112</v>
      </c>
      <c r="L80">
        <v>15.16</v>
      </c>
      <c r="M80">
        <v>263.9</v>
      </c>
      <c r="N80">
        <v>105</v>
      </c>
      <c r="O80">
        <v>11.88</v>
      </c>
      <c r="P80">
        <v>9.5</v>
      </c>
      <c r="Q80">
        <v>7</v>
      </c>
      <c r="R80">
        <v>2.57</v>
      </c>
      <c r="S80">
        <v>3</v>
      </c>
      <c r="T80" t="b">
        <v>0</v>
      </c>
      <c r="AK80">
        <v>185</v>
      </c>
      <c r="AV80">
        <v>205.9</v>
      </c>
      <c r="AW80">
        <v>183.6</v>
      </c>
      <c r="AX80">
        <v>222.8</v>
      </c>
    </row>
    <row r="81" spans="1:50">
      <c r="A81" t="s">
        <v>83</v>
      </c>
      <c r="B81">
        <v>90</v>
      </c>
      <c r="C81">
        <v>415</v>
      </c>
      <c r="D81" t="s">
        <v>62</v>
      </c>
      <c r="E81" t="s">
        <v>62</v>
      </c>
      <c r="F81">
        <v>0</v>
      </c>
      <c r="G81">
        <v>179.1</v>
      </c>
      <c r="H81">
        <v>71</v>
      </c>
      <c r="I81">
        <v>30.45</v>
      </c>
      <c r="J81">
        <v>190.6</v>
      </c>
      <c r="K81">
        <v>81</v>
      </c>
      <c r="L81">
        <v>16.2</v>
      </c>
      <c r="M81">
        <v>127.7</v>
      </c>
      <c r="N81">
        <v>91</v>
      </c>
      <c r="O81">
        <v>5.75</v>
      </c>
      <c r="P81">
        <v>10.6</v>
      </c>
      <c r="Q81">
        <v>7</v>
      </c>
      <c r="R81">
        <v>2.86</v>
      </c>
      <c r="S81">
        <v>3</v>
      </c>
      <c r="T81" t="b">
        <v>0</v>
      </c>
      <c r="AK81">
        <v>161</v>
      </c>
      <c r="AV81">
        <v>94.1</v>
      </c>
      <c r="AW81">
        <v>206.9</v>
      </c>
      <c r="AX81">
        <v>157.1</v>
      </c>
    </row>
    <row r="82" spans="1:50">
      <c r="A82" t="s">
        <v>90</v>
      </c>
      <c r="B82">
        <v>104</v>
      </c>
      <c r="C82">
        <v>408</v>
      </c>
      <c r="D82" t="s">
        <v>62</v>
      </c>
      <c r="E82" t="s">
        <v>62</v>
      </c>
      <c r="F82">
        <v>0</v>
      </c>
      <c r="G82">
        <v>278.4</v>
      </c>
      <c r="H82">
        <v>106</v>
      </c>
      <c r="I82">
        <v>47.33</v>
      </c>
      <c r="J82">
        <v>81</v>
      </c>
      <c r="K82">
        <v>113</v>
      </c>
      <c r="L82">
        <v>6.89</v>
      </c>
      <c r="M82">
        <v>163.2</v>
      </c>
      <c r="N82">
        <v>137</v>
      </c>
      <c r="O82">
        <v>7.34</v>
      </c>
      <c r="P82">
        <v>9.8</v>
      </c>
      <c r="Q82">
        <v>5</v>
      </c>
      <c r="R82">
        <v>2.65</v>
      </c>
      <c r="S82">
        <v>1</v>
      </c>
      <c r="T82" t="b">
        <v>0</v>
      </c>
      <c r="AK82">
        <v>126.7</v>
      </c>
      <c r="AV82">
        <v>125.2</v>
      </c>
      <c r="AW82">
        <v>280.2</v>
      </c>
      <c r="AX82">
        <v>127.3</v>
      </c>
    </row>
    <row r="83" spans="1:50">
      <c r="A83" t="s">
        <v>83</v>
      </c>
      <c r="B83">
        <v>99</v>
      </c>
      <c r="C83">
        <v>415</v>
      </c>
      <c r="D83" t="s">
        <v>62</v>
      </c>
      <c r="E83" t="s">
        <v>62</v>
      </c>
      <c r="F83">
        <v>0</v>
      </c>
      <c r="G83">
        <v>198.2</v>
      </c>
      <c r="H83">
        <v>87</v>
      </c>
      <c r="I83">
        <v>33.69</v>
      </c>
      <c r="J83">
        <v>207.3</v>
      </c>
      <c r="K83">
        <v>76</v>
      </c>
      <c r="L83">
        <v>17.62</v>
      </c>
      <c r="M83">
        <v>190.9</v>
      </c>
      <c r="N83">
        <v>113</v>
      </c>
      <c r="O83">
        <v>8.59</v>
      </c>
      <c r="P83">
        <v>8.7</v>
      </c>
      <c r="Q83">
        <v>3</v>
      </c>
      <c r="R83">
        <v>2.35</v>
      </c>
      <c r="S83">
        <v>4</v>
      </c>
      <c r="T83" t="b">
        <v>0</v>
      </c>
      <c r="AK83">
        <v>162.6</v>
      </c>
      <c r="AV83">
        <v>60.4</v>
      </c>
      <c r="AW83">
        <v>199</v>
      </c>
      <c r="AX83">
        <v>171.5</v>
      </c>
    </row>
    <row r="84" spans="1:50">
      <c r="A84" t="s">
        <v>109</v>
      </c>
      <c r="B84">
        <v>120</v>
      </c>
      <c r="C84">
        <v>408</v>
      </c>
      <c r="D84" t="s">
        <v>62</v>
      </c>
      <c r="E84" t="s">
        <v>62</v>
      </c>
      <c r="F84">
        <v>0</v>
      </c>
      <c r="G84">
        <v>212.1</v>
      </c>
      <c r="H84">
        <v>131</v>
      </c>
      <c r="I84">
        <v>36.06</v>
      </c>
      <c r="J84">
        <v>209.4</v>
      </c>
      <c r="K84">
        <v>104</v>
      </c>
      <c r="L84">
        <v>17.8</v>
      </c>
      <c r="M84">
        <v>167.2</v>
      </c>
      <c r="N84">
        <v>96</v>
      </c>
      <c r="O84">
        <v>7.52</v>
      </c>
      <c r="P84">
        <v>5.3</v>
      </c>
      <c r="Q84">
        <v>5</v>
      </c>
      <c r="R84">
        <v>1.43</v>
      </c>
      <c r="S84">
        <v>1</v>
      </c>
      <c r="T84" t="b">
        <v>1</v>
      </c>
      <c r="AK84">
        <v>113.7</v>
      </c>
      <c r="AV84">
        <v>138.7</v>
      </c>
      <c r="AW84">
        <v>203.1</v>
      </c>
      <c r="AX84">
        <v>259.9</v>
      </c>
    </row>
    <row r="85" spans="1:50">
      <c r="A85" t="s">
        <v>75</v>
      </c>
      <c r="B85">
        <v>98</v>
      </c>
      <c r="C85">
        <v>510</v>
      </c>
      <c r="D85" t="s">
        <v>62</v>
      </c>
      <c r="E85" t="s">
        <v>63</v>
      </c>
      <c r="F85">
        <v>21</v>
      </c>
      <c r="G85">
        <v>161.2</v>
      </c>
      <c r="H85">
        <v>114</v>
      </c>
      <c r="I85">
        <v>27.4</v>
      </c>
      <c r="J85">
        <v>252.2</v>
      </c>
      <c r="K85">
        <v>83</v>
      </c>
      <c r="L85">
        <v>21.44</v>
      </c>
      <c r="M85">
        <v>160.2</v>
      </c>
      <c r="N85">
        <v>92</v>
      </c>
      <c r="O85">
        <v>7.21</v>
      </c>
      <c r="P85">
        <v>4.4</v>
      </c>
      <c r="Q85">
        <v>8</v>
      </c>
      <c r="R85">
        <v>1.19</v>
      </c>
      <c r="S85">
        <v>4</v>
      </c>
      <c r="T85" t="b">
        <v>0</v>
      </c>
      <c r="AK85">
        <v>210.2</v>
      </c>
      <c r="AV85">
        <v>207</v>
      </c>
      <c r="AW85">
        <v>168.8</v>
      </c>
      <c r="AX85">
        <v>119.4</v>
      </c>
    </row>
    <row r="86" spans="1:50">
      <c r="A86" t="s">
        <v>78</v>
      </c>
      <c r="B86">
        <v>135</v>
      </c>
      <c r="C86">
        <v>415</v>
      </c>
      <c r="D86" t="s">
        <v>62</v>
      </c>
      <c r="E86" t="s">
        <v>62</v>
      </c>
      <c r="F86">
        <v>0</v>
      </c>
      <c r="G86">
        <v>151.7</v>
      </c>
      <c r="H86">
        <v>82</v>
      </c>
      <c r="I86">
        <v>25.79</v>
      </c>
      <c r="J86">
        <v>119</v>
      </c>
      <c r="K86">
        <v>105</v>
      </c>
      <c r="L86">
        <v>10.12</v>
      </c>
      <c r="M86">
        <v>180</v>
      </c>
      <c r="N86">
        <v>100</v>
      </c>
      <c r="O86">
        <v>8.1</v>
      </c>
      <c r="P86">
        <v>10.5</v>
      </c>
      <c r="Q86">
        <v>6</v>
      </c>
      <c r="R86">
        <v>2.84</v>
      </c>
      <c r="S86">
        <v>0</v>
      </c>
      <c r="T86" t="b">
        <v>0</v>
      </c>
      <c r="AK86">
        <v>213.8</v>
      </c>
      <c r="AV86">
        <v>239.2</v>
      </c>
      <c r="AW86">
        <v>173.1</v>
      </c>
      <c r="AX86">
        <v>250.3</v>
      </c>
    </row>
    <row r="87" spans="1:50">
      <c r="A87" t="s">
        <v>96</v>
      </c>
      <c r="B87">
        <v>122</v>
      </c>
      <c r="C87">
        <v>408</v>
      </c>
      <c r="D87" t="s">
        <v>62</v>
      </c>
      <c r="E87" t="s">
        <v>62</v>
      </c>
      <c r="F87">
        <v>0</v>
      </c>
      <c r="G87">
        <v>170.5</v>
      </c>
      <c r="H87">
        <v>94</v>
      </c>
      <c r="I87">
        <v>28.99</v>
      </c>
      <c r="J87">
        <v>173.7</v>
      </c>
      <c r="K87">
        <v>109</v>
      </c>
      <c r="L87">
        <v>14.76</v>
      </c>
      <c r="M87">
        <v>248.6</v>
      </c>
      <c r="N87">
        <v>75</v>
      </c>
      <c r="O87">
        <v>11.19</v>
      </c>
      <c r="P87">
        <v>11.3</v>
      </c>
      <c r="Q87">
        <v>2</v>
      </c>
      <c r="R87">
        <v>3.05</v>
      </c>
      <c r="S87">
        <v>1</v>
      </c>
      <c r="T87" t="b">
        <v>0</v>
      </c>
      <c r="AK87">
        <v>190.7</v>
      </c>
      <c r="AV87">
        <v>214.7</v>
      </c>
      <c r="AW87">
        <v>192.2</v>
      </c>
      <c r="AX87">
        <v>243.4</v>
      </c>
    </row>
    <row r="88" spans="1:50">
      <c r="A88" t="s">
        <v>83</v>
      </c>
      <c r="B88">
        <v>95</v>
      </c>
      <c r="C88">
        <v>408</v>
      </c>
      <c r="D88" t="s">
        <v>62</v>
      </c>
      <c r="E88" t="s">
        <v>62</v>
      </c>
      <c r="F88">
        <v>0</v>
      </c>
      <c r="G88">
        <v>238.1</v>
      </c>
      <c r="H88">
        <v>65</v>
      </c>
      <c r="I88">
        <v>40.48</v>
      </c>
      <c r="J88">
        <v>187.2</v>
      </c>
      <c r="K88">
        <v>98</v>
      </c>
      <c r="L88">
        <v>15.91</v>
      </c>
      <c r="M88">
        <v>190</v>
      </c>
      <c r="N88">
        <v>115</v>
      </c>
      <c r="O88">
        <v>8.55</v>
      </c>
      <c r="P88">
        <v>11.8</v>
      </c>
      <c r="Q88">
        <v>4</v>
      </c>
      <c r="R88">
        <v>3.19</v>
      </c>
      <c r="S88">
        <v>4</v>
      </c>
      <c r="T88" t="b">
        <v>0</v>
      </c>
      <c r="AK88">
        <v>170.9</v>
      </c>
      <c r="AV88">
        <v>225.1</v>
      </c>
      <c r="AW88">
        <v>135.1</v>
      </c>
      <c r="AX88">
        <v>240.4</v>
      </c>
    </row>
    <row r="89" spans="1:50">
      <c r="A89" t="s">
        <v>103</v>
      </c>
      <c r="B89">
        <v>93</v>
      </c>
      <c r="C89">
        <v>510</v>
      </c>
      <c r="D89" t="s">
        <v>62</v>
      </c>
      <c r="E89" t="s">
        <v>63</v>
      </c>
      <c r="F89">
        <v>21</v>
      </c>
      <c r="G89">
        <v>117.9</v>
      </c>
      <c r="H89">
        <v>131</v>
      </c>
      <c r="I89">
        <v>20.04</v>
      </c>
      <c r="J89">
        <v>164.5</v>
      </c>
      <c r="K89">
        <v>115</v>
      </c>
      <c r="L89">
        <v>13.98</v>
      </c>
      <c r="M89">
        <v>217</v>
      </c>
      <c r="N89">
        <v>86</v>
      </c>
      <c r="O89">
        <v>9.76</v>
      </c>
      <c r="P89">
        <v>9.8</v>
      </c>
      <c r="Q89">
        <v>3</v>
      </c>
      <c r="R89">
        <v>2.65</v>
      </c>
      <c r="S89">
        <v>1</v>
      </c>
      <c r="T89" t="b">
        <v>0</v>
      </c>
      <c r="AK89">
        <v>154.2</v>
      </c>
      <c r="AV89">
        <v>64.6</v>
      </c>
      <c r="AW89">
        <v>253.4</v>
      </c>
      <c r="AX89">
        <v>278</v>
      </c>
    </row>
    <row r="90" spans="1:50">
      <c r="A90" t="s">
        <v>97</v>
      </c>
      <c r="B90">
        <v>157</v>
      </c>
      <c r="C90">
        <v>408</v>
      </c>
      <c r="D90" t="s">
        <v>62</v>
      </c>
      <c r="E90" t="s">
        <v>62</v>
      </c>
      <c r="F90">
        <v>0</v>
      </c>
      <c r="G90">
        <v>229.8</v>
      </c>
      <c r="H90">
        <v>90</v>
      </c>
      <c r="I90">
        <v>39.07</v>
      </c>
      <c r="J90">
        <v>147.9</v>
      </c>
      <c r="K90">
        <v>121</v>
      </c>
      <c r="L90">
        <v>12.57</v>
      </c>
      <c r="M90">
        <v>241.4</v>
      </c>
      <c r="N90">
        <v>108</v>
      </c>
      <c r="O90">
        <v>10.86</v>
      </c>
      <c r="P90">
        <v>9.6</v>
      </c>
      <c r="Q90">
        <v>7</v>
      </c>
      <c r="R90">
        <v>2.59</v>
      </c>
      <c r="S90">
        <v>3</v>
      </c>
      <c r="T90" t="b">
        <v>0</v>
      </c>
      <c r="AK90">
        <v>201.4</v>
      </c>
      <c r="AV90">
        <v>152.2</v>
      </c>
      <c r="AW90">
        <v>60</v>
      </c>
      <c r="AX90">
        <v>155</v>
      </c>
    </row>
    <row r="91" spans="1:50">
      <c r="A91" t="s">
        <v>110</v>
      </c>
      <c r="B91">
        <v>120</v>
      </c>
      <c r="C91">
        <v>408</v>
      </c>
      <c r="D91" t="s">
        <v>62</v>
      </c>
      <c r="E91" t="s">
        <v>62</v>
      </c>
      <c r="F91">
        <v>0</v>
      </c>
      <c r="G91">
        <v>165</v>
      </c>
      <c r="H91">
        <v>100</v>
      </c>
      <c r="I91">
        <v>28.05</v>
      </c>
      <c r="J91">
        <v>317.2</v>
      </c>
      <c r="K91">
        <v>83</v>
      </c>
      <c r="L91">
        <v>26.96</v>
      </c>
      <c r="M91">
        <v>119.2</v>
      </c>
      <c r="N91">
        <v>86</v>
      </c>
      <c r="O91">
        <v>5.36</v>
      </c>
      <c r="P91">
        <v>8.3</v>
      </c>
      <c r="Q91">
        <v>8</v>
      </c>
      <c r="R91">
        <v>2.24</v>
      </c>
      <c r="S91">
        <v>1</v>
      </c>
      <c r="T91" t="b">
        <v>0</v>
      </c>
      <c r="AK91">
        <v>91.7</v>
      </c>
      <c r="AV91">
        <v>134.2</v>
      </c>
      <c r="AW91">
        <v>157.4</v>
      </c>
      <c r="AX91">
        <v>273.4</v>
      </c>
    </row>
    <row r="92" spans="1:50">
      <c r="A92" t="s">
        <v>68</v>
      </c>
      <c r="B92">
        <v>103</v>
      </c>
      <c r="C92">
        <v>415</v>
      </c>
      <c r="D92" t="s">
        <v>62</v>
      </c>
      <c r="E92" t="s">
        <v>62</v>
      </c>
      <c r="F92">
        <v>0</v>
      </c>
      <c r="G92">
        <v>185</v>
      </c>
      <c r="H92">
        <v>117</v>
      </c>
      <c r="I92">
        <v>31.45</v>
      </c>
      <c r="J92">
        <v>223.3</v>
      </c>
      <c r="K92">
        <v>94</v>
      </c>
      <c r="L92">
        <v>18.98</v>
      </c>
      <c r="M92">
        <v>222.8</v>
      </c>
      <c r="N92">
        <v>91</v>
      </c>
      <c r="O92">
        <v>10.03</v>
      </c>
      <c r="P92">
        <v>12.6</v>
      </c>
      <c r="Q92">
        <v>2</v>
      </c>
      <c r="R92">
        <v>3.4</v>
      </c>
      <c r="S92">
        <v>2</v>
      </c>
      <c r="T92" t="b">
        <v>0</v>
      </c>
      <c r="AK92">
        <v>214.2</v>
      </c>
      <c r="AV92">
        <v>149.7</v>
      </c>
      <c r="AW92">
        <v>207.9</v>
      </c>
      <c r="AX92">
        <v>133.1</v>
      </c>
    </row>
    <row r="93" spans="1:50">
      <c r="A93" t="s">
        <v>67</v>
      </c>
      <c r="B93">
        <v>98</v>
      </c>
      <c r="C93">
        <v>408</v>
      </c>
      <c r="D93" t="s">
        <v>62</v>
      </c>
      <c r="E93" t="s">
        <v>62</v>
      </c>
      <c r="F93">
        <v>0</v>
      </c>
      <c r="G93">
        <v>161</v>
      </c>
      <c r="H93">
        <v>117</v>
      </c>
      <c r="I93">
        <v>27.37</v>
      </c>
      <c r="J93">
        <v>190.9</v>
      </c>
      <c r="K93">
        <v>113</v>
      </c>
      <c r="L93">
        <v>16.23</v>
      </c>
      <c r="M93">
        <v>227.7</v>
      </c>
      <c r="N93">
        <v>113</v>
      </c>
      <c r="O93">
        <v>10.25</v>
      </c>
      <c r="P93">
        <v>12.1</v>
      </c>
      <c r="Q93">
        <v>4</v>
      </c>
      <c r="R93">
        <v>3.27</v>
      </c>
      <c r="S93">
        <v>4</v>
      </c>
      <c r="T93" t="b">
        <v>0</v>
      </c>
      <c r="AK93">
        <v>145.5</v>
      </c>
      <c r="AV93">
        <v>150.1</v>
      </c>
      <c r="AW93">
        <v>143.7</v>
      </c>
      <c r="AX93">
        <v>246.8</v>
      </c>
    </row>
    <row r="94" spans="1:50">
      <c r="A94" t="s">
        <v>95</v>
      </c>
      <c r="B94">
        <v>125</v>
      </c>
      <c r="C94">
        <v>408</v>
      </c>
      <c r="D94" t="s">
        <v>62</v>
      </c>
      <c r="E94" t="s">
        <v>62</v>
      </c>
      <c r="F94">
        <v>0</v>
      </c>
      <c r="G94">
        <v>126.7</v>
      </c>
      <c r="H94">
        <v>108</v>
      </c>
      <c r="I94">
        <v>21.54</v>
      </c>
      <c r="J94">
        <v>206</v>
      </c>
      <c r="K94">
        <v>90</v>
      </c>
      <c r="L94">
        <v>17.51</v>
      </c>
      <c r="M94">
        <v>247.8</v>
      </c>
      <c r="N94">
        <v>114</v>
      </c>
      <c r="O94">
        <v>11.15</v>
      </c>
      <c r="P94">
        <v>13.3</v>
      </c>
      <c r="Q94">
        <v>7</v>
      </c>
      <c r="R94">
        <v>3.59</v>
      </c>
      <c r="S94">
        <v>1</v>
      </c>
      <c r="T94" t="b">
        <v>0</v>
      </c>
      <c r="AK94">
        <v>231</v>
      </c>
      <c r="AV94">
        <v>257.1</v>
      </c>
      <c r="AW94">
        <v>84.7</v>
      </c>
      <c r="AX94">
        <v>138.3</v>
      </c>
    </row>
    <row r="95" spans="1:50">
      <c r="A95" t="s">
        <v>108</v>
      </c>
      <c r="B95">
        <v>36</v>
      </c>
      <c r="C95">
        <v>510</v>
      </c>
      <c r="D95" t="s">
        <v>63</v>
      </c>
      <c r="E95" t="s">
        <v>63</v>
      </c>
      <c r="F95">
        <v>42</v>
      </c>
      <c r="G95">
        <v>196.8</v>
      </c>
      <c r="H95">
        <v>89</v>
      </c>
      <c r="I95">
        <v>33.46</v>
      </c>
      <c r="J95">
        <v>254.9</v>
      </c>
      <c r="K95">
        <v>122</v>
      </c>
      <c r="L95">
        <v>21.67</v>
      </c>
      <c r="M95">
        <v>138.3</v>
      </c>
      <c r="N95">
        <v>126</v>
      </c>
      <c r="O95">
        <v>6.22</v>
      </c>
      <c r="P95">
        <v>20</v>
      </c>
      <c r="Q95">
        <v>6</v>
      </c>
      <c r="R95">
        <v>5.4</v>
      </c>
      <c r="S95">
        <v>0</v>
      </c>
      <c r="T95" t="b">
        <v>1</v>
      </c>
      <c r="AK95">
        <v>200.3</v>
      </c>
      <c r="AV95">
        <v>162.3</v>
      </c>
      <c r="AW95">
        <v>143.3</v>
      </c>
      <c r="AX95">
        <v>286.7</v>
      </c>
    </row>
    <row r="96" spans="1:50">
      <c r="A96" t="s">
        <v>65</v>
      </c>
      <c r="B96">
        <v>64</v>
      </c>
      <c r="C96">
        <v>510</v>
      </c>
      <c r="D96" t="s">
        <v>62</v>
      </c>
      <c r="E96" t="s">
        <v>62</v>
      </c>
      <c r="F96">
        <v>0</v>
      </c>
      <c r="G96">
        <v>162.6</v>
      </c>
      <c r="H96">
        <v>83</v>
      </c>
      <c r="I96">
        <v>27.64</v>
      </c>
      <c r="J96">
        <v>152.3</v>
      </c>
      <c r="K96">
        <v>109</v>
      </c>
      <c r="L96">
        <v>12.95</v>
      </c>
      <c r="M96">
        <v>57.5</v>
      </c>
      <c r="N96">
        <v>122</v>
      </c>
      <c r="O96">
        <v>2.59</v>
      </c>
      <c r="P96">
        <v>14.2</v>
      </c>
      <c r="Q96">
        <v>3</v>
      </c>
      <c r="R96">
        <v>3.83</v>
      </c>
      <c r="S96">
        <v>1</v>
      </c>
      <c r="T96" t="b">
        <v>0</v>
      </c>
      <c r="AK96">
        <v>197</v>
      </c>
      <c r="AV96">
        <v>197</v>
      </c>
      <c r="AW96">
        <v>206.6</v>
      </c>
      <c r="AX96">
        <v>226.2</v>
      </c>
    </row>
    <row r="97" spans="1:50">
      <c r="A97" t="s">
        <v>104</v>
      </c>
      <c r="B97">
        <v>74</v>
      </c>
      <c r="C97">
        <v>415</v>
      </c>
      <c r="D97" t="s">
        <v>62</v>
      </c>
      <c r="E97" t="s">
        <v>62</v>
      </c>
      <c r="F97">
        <v>0</v>
      </c>
      <c r="G97">
        <v>282.5</v>
      </c>
      <c r="H97">
        <v>114</v>
      </c>
      <c r="I97">
        <v>48.03</v>
      </c>
      <c r="J97">
        <v>219.9</v>
      </c>
      <c r="K97">
        <v>48</v>
      </c>
      <c r="L97">
        <v>18.69</v>
      </c>
      <c r="M97">
        <v>170</v>
      </c>
      <c r="N97">
        <v>115</v>
      </c>
      <c r="O97">
        <v>7.65</v>
      </c>
      <c r="P97">
        <v>9.4</v>
      </c>
      <c r="Q97">
        <v>4</v>
      </c>
      <c r="R97">
        <v>2.54</v>
      </c>
      <c r="S97">
        <v>1</v>
      </c>
      <c r="T97" t="b">
        <v>1</v>
      </c>
      <c r="AK97">
        <v>129.9</v>
      </c>
      <c r="AV97">
        <v>205.7</v>
      </c>
      <c r="AW97">
        <v>134.7</v>
      </c>
      <c r="AX97">
        <v>194.4</v>
      </c>
    </row>
    <row r="98" spans="1:50">
      <c r="A98" t="s">
        <v>69</v>
      </c>
      <c r="B98">
        <v>112</v>
      </c>
      <c r="C98">
        <v>510</v>
      </c>
      <c r="D98" t="s">
        <v>62</v>
      </c>
      <c r="E98" t="s">
        <v>63</v>
      </c>
      <c r="F98">
        <v>36</v>
      </c>
      <c r="G98">
        <v>113.7</v>
      </c>
      <c r="H98">
        <v>117</v>
      </c>
      <c r="I98">
        <v>19.33</v>
      </c>
      <c r="J98">
        <v>157.5</v>
      </c>
      <c r="K98">
        <v>82</v>
      </c>
      <c r="L98">
        <v>13.39</v>
      </c>
      <c r="M98">
        <v>177.6</v>
      </c>
      <c r="N98">
        <v>118</v>
      </c>
      <c r="O98">
        <v>7.99</v>
      </c>
      <c r="P98">
        <v>10</v>
      </c>
      <c r="Q98">
        <v>3</v>
      </c>
      <c r="R98">
        <v>2.7</v>
      </c>
      <c r="S98">
        <v>2</v>
      </c>
      <c r="T98" t="b">
        <v>0</v>
      </c>
      <c r="AK98">
        <v>175.8</v>
      </c>
      <c r="AV98">
        <v>159.5</v>
      </c>
      <c r="AW98">
        <v>214.4</v>
      </c>
      <c r="AX98">
        <v>96.6</v>
      </c>
    </row>
    <row r="99" spans="1:50">
      <c r="A99" t="s">
        <v>84</v>
      </c>
      <c r="B99">
        <v>46</v>
      </c>
      <c r="C99">
        <v>408</v>
      </c>
      <c r="D99" t="s">
        <v>62</v>
      </c>
      <c r="E99" t="s">
        <v>62</v>
      </c>
      <c r="F99">
        <v>0</v>
      </c>
      <c r="G99">
        <v>210.2</v>
      </c>
      <c r="H99">
        <v>92</v>
      </c>
      <c r="I99">
        <v>35.73</v>
      </c>
      <c r="J99">
        <v>227.3</v>
      </c>
      <c r="K99">
        <v>77</v>
      </c>
      <c r="L99">
        <v>19.32</v>
      </c>
      <c r="M99">
        <v>200.1</v>
      </c>
      <c r="N99">
        <v>116</v>
      </c>
      <c r="O99">
        <v>9</v>
      </c>
      <c r="P99">
        <v>13.1</v>
      </c>
      <c r="Q99">
        <v>7</v>
      </c>
      <c r="R99">
        <v>3.54</v>
      </c>
      <c r="S99">
        <v>1</v>
      </c>
      <c r="T99" t="b">
        <v>0</v>
      </c>
      <c r="AK99">
        <v>203.1</v>
      </c>
      <c r="AV99">
        <v>178.8</v>
      </c>
      <c r="AW99">
        <v>192.8</v>
      </c>
      <c r="AX99">
        <v>148.5</v>
      </c>
    </row>
    <row r="100" spans="1:50">
      <c r="A100" t="s">
        <v>80</v>
      </c>
      <c r="B100">
        <v>41</v>
      </c>
      <c r="C100">
        <v>408</v>
      </c>
      <c r="D100" t="s">
        <v>62</v>
      </c>
      <c r="E100" t="s">
        <v>63</v>
      </c>
      <c r="F100">
        <v>22</v>
      </c>
      <c r="G100">
        <v>213.8</v>
      </c>
      <c r="H100">
        <v>102</v>
      </c>
      <c r="I100">
        <v>36.35</v>
      </c>
      <c r="J100">
        <v>141.8</v>
      </c>
      <c r="K100">
        <v>86</v>
      </c>
      <c r="L100">
        <v>12.05</v>
      </c>
      <c r="M100">
        <v>142.2</v>
      </c>
      <c r="N100">
        <v>123</v>
      </c>
      <c r="O100">
        <v>6.4</v>
      </c>
      <c r="P100">
        <v>7.2</v>
      </c>
      <c r="Q100">
        <v>3</v>
      </c>
      <c r="R100">
        <v>1.94</v>
      </c>
      <c r="S100">
        <v>0</v>
      </c>
      <c r="T100" t="b">
        <v>0</v>
      </c>
      <c r="AK100">
        <v>183.2</v>
      </c>
      <c r="AV100">
        <v>142.3</v>
      </c>
      <c r="AW100">
        <v>192.7</v>
      </c>
      <c r="AX100">
        <v>258.1</v>
      </c>
    </row>
    <row r="101" spans="1:50">
      <c r="A101" t="s">
        <v>91</v>
      </c>
      <c r="B101">
        <v>121</v>
      </c>
      <c r="C101">
        <v>510</v>
      </c>
      <c r="D101" t="s">
        <v>62</v>
      </c>
      <c r="E101" t="s">
        <v>62</v>
      </c>
      <c r="F101">
        <v>0</v>
      </c>
      <c r="G101">
        <v>190.7</v>
      </c>
      <c r="H101">
        <v>103</v>
      </c>
      <c r="I101">
        <v>32.42</v>
      </c>
      <c r="J101">
        <v>183.5</v>
      </c>
      <c r="K101">
        <v>117</v>
      </c>
      <c r="L101">
        <v>15.6</v>
      </c>
      <c r="M101">
        <v>220.8</v>
      </c>
      <c r="N101">
        <v>103</v>
      </c>
      <c r="O101">
        <v>9.94</v>
      </c>
      <c r="P101">
        <v>9.8</v>
      </c>
      <c r="Q101">
        <v>4</v>
      </c>
      <c r="R101">
        <v>2.65</v>
      </c>
      <c r="S101">
        <v>3</v>
      </c>
      <c r="T101" t="b">
        <v>0</v>
      </c>
      <c r="AK101">
        <v>205</v>
      </c>
      <c r="AV101">
        <v>288.7</v>
      </c>
      <c r="AW101">
        <v>211.7</v>
      </c>
      <c r="AX101">
        <v>149.7</v>
      </c>
    </row>
    <row r="102" spans="1:50">
      <c r="A102" t="s">
        <v>109</v>
      </c>
      <c r="B102">
        <v>193</v>
      </c>
      <c r="C102">
        <v>415</v>
      </c>
      <c r="D102" t="s">
        <v>62</v>
      </c>
      <c r="E102" t="s">
        <v>62</v>
      </c>
      <c r="F102">
        <v>0</v>
      </c>
      <c r="G102">
        <v>170.9</v>
      </c>
      <c r="H102">
        <v>124</v>
      </c>
      <c r="I102">
        <v>29.05</v>
      </c>
      <c r="J102">
        <v>132.3</v>
      </c>
      <c r="K102">
        <v>95</v>
      </c>
      <c r="L102">
        <v>11.25</v>
      </c>
      <c r="M102">
        <v>112.9</v>
      </c>
      <c r="N102">
        <v>89</v>
      </c>
      <c r="O102">
        <v>5.08</v>
      </c>
      <c r="P102">
        <v>11.6</v>
      </c>
      <c r="Q102">
        <v>3</v>
      </c>
      <c r="R102">
        <v>3.13</v>
      </c>
      <c r="S102">
        <v>1</v>
      </c>
      <c r="T102" t="b">
        <v>0</v>
      </c>
      <c r="AK102">
        <v>148.5</v>
      </c>
      <c r="AV102">
        <v>155.3</v>
      </c>
      <c r="AW102">
        <v>221.6</v>
      </c>
      <c r="AX102">
        <v>149.9</v>
      </c>
    </row>
    <row r="103" spans="1:50">
      <c r="A103" t="s">
        <v>104</v>
      </c>
      <c r="B103">
        <v>130</v>
      </c>
      <c r="C103">
        <v>510</v>
      </c>
      <c r="D103" t="s">
        <v>62</v>
      </c>
      <c r="E103" t="s">
        <v>62</v>
      </c>
      <c r="F103">
        <v>0</v>
      </c>
      <c r="G103">
        <v>154.2</v>
      </c>
      <c r="H103">
        <v>119</v>
      </c>
      <c r="I103">
        <v>26.21</v>
      </c>
      <c r="J103">
        <v>110.2</v>
      </c>
      <c r="K103">
        <v>98</v>
      </c>
      <c r="L103">
        <v>9.37</v>
      </c>
      <c r="M103">
        <v>227.4</v>
      </c>
      <c r="N103">
        <v>117</v>
      </c>
      <c r="O103">
        <v>10.23</v>
      </c>
      <c r="P103">
        <v>9.2</v>
      </c>
      <c r="Q103">
        <v>5</v>
      </c>
      <c r="R103">
        <v>2.48</v>
      </c>
      <c r="S103">
        <v>2</v>
      </c>
      <c r="T103" t="b">
        <v>0</v>
      </c>
      <c r="AK103">
        <v>200.3</v>
      </c>
      <c r="AV103">
        <v>165.4</v>
      </c>
      <c r="AW103">
        <v>197.9</v>
      </c>
      <c r="AX103">
        <v>222.3</v>
      </c>
    </row>
    <row r="104" spans="1:50">
      <c r="A104" t="s">
        <v>83</v>
      </c>
      <c r="B104">
        <v>85</v>
      </c>
      <c r="C104">
        <v>408</v>
      </c>
      <c r="D104" t="s">
        <v>62</v>
      </c>
      <c r="E104" t="s">
        <v>62</v>
      </c>
      <c r="F104">
        <v>0</v>
      </c>
      <c r="G104">
        <v>201.4</v>
      </c>
      <c r="H104">
        <v>52</v>
      </c>
      <c r="I104">
        <v>34.24</v>
      </c>
      <c r="J104">
        <v>229.4</v>
      </c>
      <c r="K104">
        <v>104</v>
      </c>
      <c r="L104">
        <v>19.5</v>
      </c>
      <c r="M104">
        <v>252.5</v>
      </c>
      <c r="N104">
        <v>106</v>
      </c>
      <c r="O104">
        <v>11.36</v>
      </c>
      <c r="P104">
        <v>12</v>
      </c>
      <c r="Q104">
        <v>3</v>
      </c>
      <c r="R104">
        <v>3.24</v>
      </c>
      <c r="S104">
        <v>1</v>
      </c>
      <c r="T104" t="b">
        <v>0</v>
      </c>
      <c r="AK104">
        <v>192.6</v>
      </c>
      <c r="AV104">
        <v>225.5</v>
      </c>
      <c r="AW104">
        <v>85.7</v>
      </c>
      <c r="AX104">
        <v>242.9</v>
      </c>
    </row>
    <row r="105" spans="1:50">
      <c r="A105" t="s">
        <v>109</v>
      </c>
      <c r="B105">
        <v>162</v>
      </c>
      <c r="C105">
        <v>415</v>
      </c>
      <c r="D105" t="s">
        <v>62</v>
      </c>
      <c r="E105" t="s">
        <v>62</v>
      </c>
      <c r="F105">
        <v>0</v>
      </c>
      <c r="G105">
        <v>70.7</v>
      </c>
      <c r="H105">
        <v>108</v>
      </c>
      <c r="I105">
        <v>12.02</v>
      </c>
      <c r="J105">
        <v>157.5</v>
      </c>
      <c r="K105">
        <v>87</v>
      </c>
      <c r="L105">
        <v>13.39</v>
      </c>
      <c r="M105">
        <v>154.8</v>
      </c>
      <c r="N105">
        <v>82</v>
      </c>
      <c r="O105">
        <v>6.97</v>
      </c>
      <c r="P105">
        <v>9.1</v>
      </c>
      <c r="Q105">
        <v>3</v>
      </c>
      <c r="R105">
        <v>2.46</v>
      </c>
      <c r="S105">
        <v>4</v>
      </c>
      <c r="T105" t="b">
        <v>1</v>
      </c>
      <c r="AK105">
        <v>246.5</v>
      </c>
      <c r="AV105">
        <v>256.4</v>
      </c>
      <c r="AW105">
        <v>157.6</v>
      </c>
      <c r="AX105">
        <v>206.3</v>
      </c>
    </row>
    <row r="106" spans="1:50">
      <c r="A106" t="s">
        <v>109</v>
      </c>
      <c r="B106">
        <v>61</v>
      </c>
      <c r="C106">
        <v>510</v>
      </c>
      <c r="D106" t="s">
        <v>62</v>
      </c>
      <c r="E106" t="s">
        <v>63</v>
      </c>
      <c r="F106">
        <v>27</v>
      </c>
      <c r="G106">
        <v>187.5</v>
      </c>
      <c r="H106">
        <v>124</v>
      </c>
      <c r="I106">
        <v>31.88</v>
      </c>
      <c r="J106">
        <v>146.6</v>
      </c>
      <c r="K106">
        <v>103</v>
      </c>
      <c r="L106">
        <v>12.46</v>
      </c>
      <c r="M106">
        <v>225.7</v>
      </c>
      <c r="N106">
        <v>129</v>
      </c>
      <c r="O106">
        <v>10.16</v>
      </c>
      <c r="P106">
        <v>6.4</v>
      </c>
      <c r="Q106">
        <v>6</v>
      </c>
      <c r="R106">
        <v>1.73</v>
      </c>
      <c r="S106">
        <v>4</v>
      </c>
      <c r="T106" t="b">
        <v>1</v>
      </c>
      <c r="AK106">
        <v>231.9</v>
      </c>
      <c r="AV106">
        <v>159.8</v>
      </c>
      <c r="AW106">
        <v>215.5</v>
      </c>
      <c r="AX106">
        <v>93.6</v>
      </c>
    </row>
    <row r="107" spans="1:50">
      <c r="A107" t="s">
        <v>80</v>
      </c>
      <c r="B107">
        <v>92</v>
      </c>
      <c r="C107">
        <v>408</v>
      </c>
      <c r="D107" t="s">
        <v>62</v>
      </c>
      <c r="E107" t="s">
        <v>62</v>
      </c>
      <c r="F107">
        <v>0</v>
      </c>
      <c r="G107">
        <v>91.7</v>
      </c>
      <c r="H107">
        <v>90</v>
      </c>
      <c r="I107">
        <v>15.59</v>
      </c>
      <c r="J107">
        <v>193.7</v>
      </c>
      <c r="K107">
        <v>123</v>
      </c>
      <c r="L107">
        <v>16.46</v>
      </c>
      <c r="M107">
        <v>175</v>
      </c>
      <c r="N107">
        <v>86</v>
      </c>
      <c r="O107">
        <v>7.88</v>
      </c>
      <c r="P107">
        <v>9.2</v>
      </c>
      <c r="Q107">
        <v>4</v>
      </c>
      <c r="R107">
        <v>2.48</v>
      </c>
      <c r="S107">
        <v>2</v>
      </c>
      <c r="T107" t="b">
        <v>0</v>
      </c>
      <c r="AK107">
        <v>271.5</v>
      </c>
      <c r="AV107">
        <v>133.7</v>
      </c>
      <c r="AW107">
        <v>171.7</v>
      </c>
      <c r="AX107">
        <v>98.2</v>
      </c>
    </row>
    <row r="108" spans="1:50">
      <c r="A108" t="s">
        <v>84</v>
      </c>
      <c r="B108">
        <v>131</v>
      </c>
      <c r="C108">
        <v>408</v>
      </c>
      <c r="D108" t="s">
        <v>62</v>
      </c>
      <c r="E108" t="s">
        <v>63</v>
      </c>
      <c r="F108">
        <v>36</v>
      </c>
      <c r="G108">
        <v>214.2</v>
      </c>
      <c r="H108">
        <v>115</v>
      </c>
      <c r="I108">
        <v>36.41</v>
      </c>
      <c r="J108">
        <v>161.7</v>
      </c>
      <c r="K108">
        <v>117</v>
      </c>
      <c r="L108">
        <v>13.74</v>
      </c>
      <c r="M108">
        <v>264.7</v>
      </c>
      <c r="N108">
        <v>102</v>
      </c>
      <c r="O108">
        <v>11.91</v>
      </c>
      <c r="P108">
        <v>9.5</v>
      </c>
      <c r="Q108">
        <v>4</v>
      </c>
      <c r="R108">
        <v>2.57</v>
      </c>
      <c r="S108">
        <v>3</v>
      </c>
      <c r="T108" t="b">
        <v>0</v>
      </c>
      <c r="AK108">
        <v>257.7</v>
      </c>
      <c r="AV108">
        <v>75</v>
      </c>
      <c r="AW108">
        <v>158</v>
      </c>
      <c r="AX108">
        <v>73.3</v>
      </c>
    </row>
    <row r="109" spans="1:50">
      <c r="A109" t="s">
        <v>84</v>
      </c>
      <c r="B109">
        <v>90</v>
      </c>
      <c r="C109">
        <v>415</v>
      </c>
      <c r="D109" t="s">
        <v>62</v>
      </c>
      <c r="E109" t="s">
        <v>62</v>
      </c>
      <c r="F109">
        <v>0</v>
      </c>
      <c r="G109">
        <v>145.5</v>
      </c>
      <c r="H109">
        <v>92</v>
      </c>
      <c r="I109">
        <v>24.74</v>
      </c>
      <c r="J109">
        <v>217.7</v>
      </c>
      <c r="K109">
        <v>114</v>
      </c>
      <c r="L109">
        <v>18.5</v>
      </c>
      <c r="M109">
        <v>146.9</v>
      </c>
      <c r="N109">
        <v>123</v>
      </c>
      <c r="O109">
        <v>6.61</v>
      </c>
      <c r="P109">
        <v>10.9</v>
      </c>
      <c r="Q109">
        <v>2</v>
      </c>
      <c r="R109">
        <v>2.94</v>
      </c>
      <c r="S109">
        <v>3</v>
      </c>
      <c r="T109" t="b">
        <v>0</v>
      </c>
      <c r="AK109">
        <v>193.8</v>
      </c>
      <c r="AV109">
        <v>69.1</v>
      </c>
      <c r="AW109">
        <v>234</v>
      </c>
      <c r="AX109">
        <v>227.4</v>
      </c>
    </row>
    <row r="110" spans="1:50">
      <c r="A110" t="s">
        <v>65</v>
      </c>
      <c r="B110">
        <v>78</v>
      </c>
      <c r="C110">
        <v>415</v>
      </c>
      <c r="D110" t="s">
        <v>62</v>
      </c>
      <c r="E110" t="s">
        <v>62</v>
      </c>
      <c r="F110">
        <v>0</v>
      </c>
      <c r="G110">
        <v>231</v>
      </c>
      <c r="H110">
        <v>115</v>
      </c>
      <c r="I110">
        <v>39.27</v>
      </c>
      <c r="J110">
        <v>230.4</v>
      </c>
      <c r="K110">
        <v>140</v>
      </c>
      <c r="L110">
        <v>19.58</v>
      </c>
      <c r="M110">
        <v>261.4</v>
      </c>
      <c r="N110">
        <v>120</v>
      </c>
      <c r="O110">
        <v>11.76</v>
      </c>
      <c r="P110">
        <v>9.5</v>
      </c>
      <c r="Q110">
        <v>3</v>
      </c>
      <c r="R110">
        <v>2.57</v>
      </c>
      <c r="S110">
        <v>1</v>
      </c>
      <c r="T110" t="b">
        <v>0</v>
      </c>
      <c r="AK110">
        <v>226</v>
      </c>
      <c r="AV110">
        <v>149.8</v>
      </c>
      <c r="AW110">
        <v>272.1</v>
      </c>
      <c r="AX110">
        <v>68.5</v>
      </c>
    </row>
    <row r="111" spans="1:50">
      <c r="A111" t="s">
        <v>80</v>
      </c>
      <c r="B111">
        <v>82</v>
      </c>
      <c r="C111">
        <v>408</v>
      </c>
      <c r="D111" t="s">
        <v>62</v>
      </c>
      <c r="E111" t="s">
        <v>62</v>
      </c>
      <c r="F111">
        <v>0</v>
      </c>
      <c r="G111">
        <v>200.3</v>
      </c>
      <c r="H111">
        <v>96</v>
      </c>
      <c r="I111">
        <v>34.05</v>
      </c>
      <c r="J111">
        <v>201.2</v>
      </c>
      <c r="K111">
        <v>102</v>
      </c>
      <c r="L111">
        <v>17.1</v>
      </c>
      <c r="M111">
        <v>206.1</v>
      </c>
      <c r="N111">
        <v>60</v>
      </c>
      <c r="O111">
        <v>9.27</v>
      </c>
      <c r="P111">
        <v>7.1</v>
      </c>
      <c r="Q111">
        <v>1</v>
      </c>
      <c r="R111">
        <v>1.92</v>
      </c>
      <c r="S111">
        <v>4</v>
      </c>
      <c r="T111" t="b">
        <v>0</v>
      </c>
      <c r="AK111">
        <v>260.4</v>
      </c>
      <c r="AV111">
        <v>190.4</v>
      </c>
      <c r="AW111">
        <v>227.2</v>
      </c>
      <c r="AX111">
        <v>129.5</v>
      </c>
    </row>
    <row r="112" spans="1:50">
      <c r="A112" t="s">
        <v>92</v>
      </c>
      <c r="B112">
        <v>163</v>
      </c>
      <c r="C112">
        <v>408</v>
      </c>
      <c r="D112" t="s">
        <v>62</v>
      </c>
      <c r="E112" t="s">
        <v>62</v>
      </c>
      <c r="F112">
        <v>0</v>
      </c>
      <c r="G112">
        <v>197</v>
      </c>
      <c r="H112">
        <v>109</v>
      </c>
      <c r="I112">
        <v>33.49</v>
      </c>
      <c r="J112">
        <v>202.6</v>
      </c>
      <c r="K112">
        <v>128</v>
      </c>
      <c r="L112">
        <v>17.22</v>
      </c>
      <c r="M112">
        <v>206.4</v>
      </c>
      <c r="N112">
        <v>80</v>
      </c>
      <c r="O112">
        <v>9.29</v>
      </c>
      <c r="P112">
        <v>9.1</v>
      </c>
      <c r="Q112">
        <v>10</v>
      </c>
      <c r="R112">
        <v>2.46</v>
      </c>
      <c r="S112">
        <v>1</v>
      </c>
      <c r="T112" t="b">
        <v>0</v>
      </c>
      <c r="AK112">
        <v>178.7</v>
      </c>
      <c r="AV112">
        <v>181.4</v>
      </c>
      <c r="AW112">
        <v>248.7</v>
      </c>
      <c r="AX112">
        <v>288.1</v>
      </c>
    </row>
    <row r="113" spans="1:50">
      <c r="A113" t="s">
        <v>67</v>
      </c>
      <c r="B113">
        <v>91</v>
      </c>
      <c r="C113">
        <v>510</v>
      </c>
      <c r="D113" t="s">
        <v>63</v>
      </c>
      <c r="E113" t="s">
        <v>62</v>
      </c>
      <c r="F113">
        <v>0</v>
      </c>
      <c r="G113">
        <v>129.9</v>
      </c>
      <c r="H113">
        <v>112</v>
      </c>
      <c r="I113">
        <v>22.08</v>
      </c>
      <c r="J113">
        <v>173.3</v>
      </c>
      <c r="K113">
        <v>83</v>
      </c>
      <c r="L113">
        <v>14.73</v>
      </c>
      <c r="M113">
        <v>247.2</v>
      </c>
      <c r="N113">
        <v>130</v>
      </c>
      <c r="O113">
        <v>11.12</v>
      </c>
      <c r="P113">
        <v>11.2</v>
      </c>
      <c r="Q113">
        <v>3</v>
      </c>
      <c r="R113">
        <v>3.02</v>
      </c>
      <c r="S113">
        <v>3</v>
      </c>
      <c r="T113" t="b">
        <v>0</v>
      </c>
      <c r="AK113">
        <v>157.6</v>
      </c>
      <c r="AV113">
        <v>273.6</v>
      </c>
      <c r="AW113">
        <v>236.3</v>
      </c>
      <c r="AX113">
        <v>78.2</v>
      </c>
    </row>
    <row r="114" spans="1:50">
      <c r="A114" t="s">
        <v>106</v>
      </c>
      <c r="B114">
        <v>75</v>
      </c>
      <c r="C114">
        <v>415</v>
      </c>
      <c r="D114" t="s">
        <v>62</v>
      </c>
      <c r="E114" t="s">
        <v>63</v>
      </c>
      <c r="F114">
        <v>21</v>
      </c>
      <c r="G114">
        <v>175.8</v>
      </c>
      <c r="H114">
        <v>97</v>
      </c>
      <c r="I114">
        <v>29.89</v>
      </c>
      <c r="J114">
        <v>217.5</v>
      </c>
      <c r="K114">
        <v>106</v>
      </c>
      <c r="L114">
        <v>18.49</v>
      </c>
      <c r="M114">
        <v>237.5</v>
      </c>
      <c r="N114">
        <v>134</v>
      </c>
      <c r="O114">
        <v>10.69</v>
      </c>
      <c r="P114">
        <v>5.3</v>
      </c>
      <c r="Q114">
        <v>4</v>
      </c>
      <c r="R114">
        <v>1.43</v>
      </c>
      <c r="S114">
        <v>5</v>
      </c>
      <c r="T114" t="b">
        <v>0</v>
      </c>
      <c r="AK114">
        <v>142.1</v>
      </c>
      <c r="AV114">
        <v>186.6</v>
      </c>
      <c r="AW114">
        <v>121</v>
      </c>
      <c r="AX114">
        <v>211</v>
      </c>
    </row>
    <row r="115" spans="1:50">
      <c r="A115" t="s">
        <v>81</v>
      </c>
      <c r="B115">
        <v>91</v>
      </c>
      <c r="C115">
        <v>510</v>
      </c>
      <c r="D115" t="s">
        <v>62</v>
      </c>
      <c r="E115" t="s">
        <v>62</v>
      </c>
      <c r="F115">
        <v>0</v>
      </c>
      <c r="G115">
        <v>203.1</v>
      </c>
      <c r="H115">
        <v>106</v>
      </c>
      <c r="I115">
        <v>34.53</v>
      </c>
      <c r="J115">
        <v>210.1</v>
      </c>
      <c r="K115">
        <v>113</v>
      </c>
      <c r="L115">
        <v>17.86</v>
      </c>
      <c r="M115">
        <v>195.6</v>
      </c>
      <c r="N115">
        <v>129</v>
      </c>
      <c r="O115">
        <v>8.8</v>
      </c>
      <c r="P115">
        <v>12</v>
      </c>
      <c r="Q115">
        <v>3</v>
      </c>
      <c r="R115">
        <v>3.24</v>
      </c>
      <c r="S115">
        <v>3</v>
      </c>
      <c r="T115" t="b">
        <v>0</v>
      </c>
      <c r="AK115">
        <v>136.3</v>
      </c>
      <c r="AV115">
        <v>124</v>
      </c>
      <c r="AW115">
        <v>117.8</v>
      </c>
      <c r="AX115">
        <v>216</v>
      </c>
    </row>
    <row r="116" spans="1:50">
      <c r="A116" t="s">
        <v>90</v>
      </c>
      <c r="B116">
        <v>127</v>
      </c>
      <c r="C116">
        <v>510</v>
      </c>
      <c r="D116" t="s">
        <v>62</v>
      </c>
      <c r="E116" t="s">
        <v>63</v>
      </c>
      <c r="F116">
        <v>36</v>
      </c>
      <c r="G116">
        <v>183.2</v>
      </c>
      <c r="H116">
        <v>117</v>
      </c>
      <c r="I116">
        <v>31.14</v>
      </c>
      <c r="J116">
        <v>126.8</v>
      </c>
      <c r="K116">
        <v>76</v>
      </c>
      <c r="L116">
        <v>10.78</v>
      </c>
      <c r="M116">
        <v>263.3</v>
      </c>
      <c r="N116">
        <v>71</v>
      </c>
      <c r="O116">
        <v>11.85</v>
      </c>
      <c r="P116">
        <v>11.2</v>
      </c>
      <c r="Q116">
        <v>8</v>
      </c>
      <c r="R116">
        <v>3.02</v>
      </c>
      <c r="S116">
        <v>1</v>
      </c>
      <c r="T116" t="b">
        <v>0</v>
      </c>
      <c r="AK116">
        <v>217.1</v>
      </c>
      <c r="AV116">
        <v>172.8</v>
      </c>
      <c r="AW116">
        <v>125.2</v>
      </c>
      <c r="AX116">
        <v>293</v>
      </c>
    </row>
    <row r="117" spans="1:50">
      <c r="A117" t="s">
        <v>104</v>
      </c>
      <c r="B117">
        <v>113</v>
      </c>
      <c r="C117">
        <v>415</v>
      </c>
      <c r="D117" t="s">
        <v>62</v>
      </c>
      <c r="E117" t="s">
        <v>63</v>
      </c>
      <c r="F117">
        <v>23</v>
      </c>
      <c r="G117">
        <v>205</v>
      </c>
      <c r="H117">
        <v>101</v>
      </c>
      <c r="I117">
        <v>34.85</v>
      </c>
      <c r="J117">
        <v>152</v>
      </c>
      <c r="K117">
        <v>60</v>
      </c>
      <c r="L117">
        <v>12.92</v>
      </c>
      <c r="M117">
        <v>158.6</v>
      </c>
      <c r="N117">
        <v>59</v>
      </c>
      <c r="O117">
        <v>7.14</v>
      </c>
      <c r="P117">
        <v>10.2</v>
      </c>
      <c r="Q117">
        <v>5</v>
      </c>
      <c r="R117">
        <v>2.75</v>
      </c>
      <c r="S117">
        <v>2</v>
      </c>
      <c r="T117" t="b">
        <v>0</v>
      </c>
      <c r="AK117">
        <v>187.5</v>
      </c>
      <c r="AV117">
        <v>265.9</v>
      </c>
      <c r="AW117">
        <v>86.3</v>
      </c>
      <c r="AX117">
        <v>181.5</v>
      </c>
    </row>
    <row r="118" spans="1:50">
      <c r="A118" t="s">
        <v>95</v>
      </c>
      <c r="B118">
        <v>110</v>
      </c>
      <c r="C118">
        <v>510</v>
      </c>
      <c r="D118" t="s">
        <v>62</v>
      </c>
      <c r="E118" t="s">
        <v>62</v>
      </c>
      <c r="F118">
        <v>0</v>
      </c>
      <c r="G118">
        <v>148.5</v>
      </c>
      <c r="H118">
        <v>115</v>
      </c>
      <c r="I118">
        <v>25.25</v>
      </c>
      <c r="J118">
        <v>276.4</v>
      </c>
      <c r="K118">
        <v>84</v>
      </c>
      <c r="L118">
        <v>23.49</v>
      </c>
      <c r="M118">
        <v>193.6</v>
      </c>
      <c r="N118">
        <v>112</v>
      </c>
      <c r="O118">
        <v>8.71</v>
      </c>
      <c r="P118">
        <v>12.4</v>
      </c>
      <c r="Q118">
        <v>3</v>
      </c>
      <c r="R118">
        <v>3.35</v>
      </c>
      <c r="S118">
        <v>1</v>
      </c>
      <c r="T118" t="b">
        <v>0</v>
      </c>
      <c r="AK118">
        <v>98.9</v>
      </c>
      <c r="AV118">
        <v>202.9</v>
      </c>
      <c r="AW118">
        <v>272.6</v>
      </c>
      <c r="AX118">
        <v>234.2</v>
      </c>
    </row>
    <row r="119" spans="1:50">
      <c r="A119" t="s">
        <v>91</v>
      </c>
      <c r="B119">
        <v>120</v>
      </c>
      <c r="C119">
        <v>415</v>
      </c>
      <c r="D119" t="s">
        <v>62</v>
      </c>
      <c r="E119" t="s">
        <v>63</v>
      </c>
      <c r="F119">
        <v>39</v>
      </c>
      <c r="G119">
        <v>200.3</v>
      </c>
      <c r="H119">
        <v>68</v>
      </c>
      <c r="I119">
        <v>34.05</v>
      </c>
      <c r="J119">
        <v>220.4</v>
      </c>
      <c r="K119">
        <v>97</v>
      </c>
      <c r="L119">
        <v>18.73</v>
      </c>
      <c r="M119">
        <v>253.8</v>
      </c>
      <c r="N119">
        <v>116</v>
      </c>
      <c r="O119">
        <v>11.42</v>
      </c>
      <c r="P119">
        <v>10.5</v>
      </c>
      <c r="Q119">
        <v>4</v>
      </c>
      <c r="R119">
        <v>2.84</v>
      </c>
      <c r="S119">
        <v>0</v>
      </c>
      <c r="T119" t="b">
        <v>0</v>
      </c>
      <c r="AK119">
        <v>206.3</v>
      </c>
      <c r="AV119">
        <v>253.7</v>
      </c>
      <c r="AW119">
        <v>128.3</v>
      </c>
      <c r="AX119">
        <v>176.3</v>
      </c>
    </row>
    <row r="120" spans="1:50">
      <c r="A120" t="s">
        <v>110</v>
      </c>
      <c r="B120">
        <v>157</v>
      </c>
      <c r="C120">
        <v>415</v>
      </c>
      <c r="D120" t="s">
        <v>62</v>
      </c>
      <c r="E120" t="s">
        <v>63</v>
      </c>
      <c r="F120">
        <v>28</v>
      </c>
      <c r="G120">
        <v>192.6</v>
      </c>
      <c r="H120">
        <v>107</v>
      </c>
      <c r="I120">
        <v>32.74</v>
      </c>
      <c r="J120">
        <v>195.5</v>
      </c>
      <c r="K120">
        <v>74</v>
      </c>
      <c r="L120">
        <v>16.62</v>
      </c>
      <c r="M120">
        <v>109.7</v>
      </c>
      <c r="N120">
        <v>139</v>
      </c>
      <c r="O120">
        <v>4.94</v>
      </c>
      <c r="P120">
        <v>6.8</v>
      </c>
      <c r="Q120">
        <v>5</v>
      </c>
      <c r="R120">
        <v>1.84</v>
      </c>
      <c r="S120">
        <v>3</v>
      </c>
      <c r="T120" t="b">
        <v>0</v>
      </c>
      <c r="AK120">
        <v>243.1</v>
      </c>
      <c r="AV120">
        <v>45</v>
      </c>
      <c r="AW120">
        <v>194.1</v>
      </c>
      <c r="AX120">
        <v>207.2</v>
      </c>
    </row>
    <row r="121" spans="1:50">
      <c r="A121" t="s">
        <v>78</v>
      </c>
      <c r="B121">
        <v>103</v>
      </c>
      <c r="C121">
        <v>510</v>
      </c>
      <c r="D121" t="s">
        <v>62</v>
      </c>
      <c r="E121" t="s">
        <v>62</v>
      </c>
      <c r="F121">
        <v>0</v>
      </c>
      <c r="G121">
        <v>246.5</v>
      </c>
      <c r="H121">
        <v>47</v>
      </c>
      <c r="I121">
        <v>41.91</v>
      </c>
      <c r="J121">
        <v>195.5</v>
      </c>
      <c r="K121">
        <v>84</v>
      </c>
      <c r="L121">
        <v>16.62</v>
      </c>
      <c r="M121">
        <v>200.5</v>
      </c>
      <c r="N121">
        <v>96</v>
      </c>
      <c r="O121">
        <v>9.02</v>
      </c>
      <c r="P121">
        <v>11.7</v>
      </c>
      <c r="Q121">
        <v>4</v>
      </c>
      <c r="R121">
        <v>3.16</v>
      </c>
      <c r="S121">
        <v>1</v>
      </c>
      <c r="T121" t="b">
        <v>0</v>
      </c>
      <c r="AK121">
        <v>189.8</v>
      </c>
      <c r="AV121">
        <v>47.4</v>
      </c>
      <c r="AW121">
        <v>213</v>
      </c>
      <c r="AX121">
        <v>157.5</v>
      </c>
    </row>
    <row r="122" spans="1:50">
      <c r="A122" t="s">
        <v>78</v>
      </c>
      <c r="B122">
        <v>117</v>
      </c>
      <c r="C122">
        <v>408</v>
      </c>
      <c r="D122" t="s">
        <v>63</v>
      </c>
      <c r="E122" t="s">
        <v>62</v>
      </c>
      <c r="F122">
        <v>0</v>
      </c>
      <c r="G122">
        <v>167.1</v>
      </c>
      <c r="H122">
        <v>86</v>
      </c>
      <c r="I122">
        <v>28.41</v>
      </c>
      <c r="J122">
        <v>177.5</v>
      </c>
      <c r="K122">
        <v>87</v>
      </c>
      <c r="L122">
        <v>15.09</v>
      </c>
      <c r="M122">
        <v>249.4</v>
      </c>
      <c r="N122">
        <v>132</v>
      </c>
      <c r="O122">
        <v>11.22</v>
      </c>
      <c r="P122">
        <v>14.1</v>
      </c>
      <c r="Q122">
        <v>7</v>
      </c>
      <c r="R122">
        <v>3.81</v>
      </c>
      <c r="S122">
        <v>2</v>
      </c>
      <c r="T122" t="b">
        <v>1</v>
      </c>
      <c r="AK122">
        <v>202</v>
      </c>
      <c r="AV122">
        <v>48.4</v>
      </c>
      <c r="AW122">
        <v>183.9</v>
      </c>
      <c r="AX122">
        <v>214.1</v>
      </c>
    </row>
    <row r="123" spans="1:50">
      <c r="A123" t="s">
        <v>110</v>
      </c>
      <c r="B123">
        <v>140</v>
      </c>
      <c r="C123">
        <v>415</v>
      </c>
      <c r="D123" t="s">
        <v>62</v>
      </c>
      <c r="E123" t="s">
        <v>62</v>
      </c>
      <c r="F123">
        <v>0</v>
      </c>
      <c r="G123">
        <v>231.9</v>
      </c>
      <c r="H123">
        <v>101</v>
      </c>
      <c r="I123">
        <v>39.42</v>
      </c>
      <c r="J123">
        <v>160.1</v>
      </c>
      <c r="K123">
        <v>94</v>
      </c>
      <c r="L123">
        <v>13.61</v>
      </c>
      <c r="M123">
        <v>110.4</v>
      </c>
      <c r="N123">
        <v>98</v>
      </c>
      <c r="O123">
        <v>4.97</v>
      </c>
      <c r="P123">
        <v>14.3</v>
      </c>
      <c r="Q123">
        <v>6</v>
      </c>
      <c r="R123">
        <v>3.86</v>
      </c>
      <c r="S123">
        <v>3</v>
      </c>
      <c r="T123" t="b">
        <v>0</v>
      </c>
      <c r="AK123">
        <v>170.1</v>
      </c>
      <c r="AV123">
        <v>107.8</v>
      </c>
      <c r="AW123">
        <v>221.8</v>
      </c>
      <c r="AX123">
        <v>102.6</v>
      </c>
    </row>
    <row r="124" spans="1:50">
      <c r="A124" t="s">
        <v>97</v>
      </c>
      <c r="B124">
        <v>83</v>
      </c>
      <c r="C124">
        <v>408</v>
      </c>
      <c r="D124" t="s">
        <v>63</v>
      </c>
      <c r="E124" t="s">
        <v>62</v>
      </c>
      <c r="F124">
        <v>0</v>
      </c>
      <c r="G124">
        <v>271.5</v>
      </c>
      <c r="H124">
        <v>87</v>
      </c>
      <c r="I124">
        <v>46.16</v>
      </c>
      <c r="J124">
        <v>216.3</v>
      </c>
      <c r="K124">
        <v>126</v>
      </c>
      <c r="L124">
        <v>18.39</v>
      </c>
      <c r="M124">
        <v>121.1</v>
      </c>
      <c r="N124">
        <v>105</v>
      </c>
      <c r="O124">
        <v>5.45</v>
      </c>
      <c r="P124">
        <v>11.7</v>
      </c>
      <c r="Q124">
        <v>4</v>
      </c>
      <c r="R124">
        <v>3.16</v>
      </c>
      <c r="S124">
        <v>1</v>
      </c>
      <c r="T124" t="b">
        <v>0</v>
      </c>
      <c r="AK124">
        <v>237.1</v>
      </c>
      <c r="AV124">
        <v>141.3</v>
      </c>
      <c r="AW124">
        <v>260.2</v>
      </c>
      <c r="AX124">
        <v>202.8</v>
      </c>
    </row>
    <row r="125" spans="1:50">
      <c r="A125" t="s">
        <v>73</v>
      </c>
      <c r="B125">
        <v>145</v>
      </c>
      <c r="C125">
        <v>408</v>
      </c>
      <c r="D125" t="s">
        <v>62</v>
      </c>
      <c r="E125" t="s">
        <v>63</v>
      </c>
      <c r="F125">
        <v>43</v>
      </c>
      <c r="G125">
        <v>257.7</v>
      </c>
      <c r="H125">
        <v>97</v>
      </c>
      <c r="I125">
        <v>43.81</v>
      </c>
      <c r="J125">
        <v>162.1</v>
      </c>
      <c r="K125">
        <v>95</v>
      </c>
      <c r="L125">
        <v>13.78</v>
      </c>
      <c r="M125">
        <v>286.9</v>
      </c>
      <c r="N125">
        <v>86</v>
      </c>
      <c r="O125">
        <v>12.91</v>
      </c>
      <c r="P125">
        <v>11.1</v>
      </c>
      <c r="Q125">
        <v>4</v>
      </c>
      <c r="R125">
        <v>3</v>
      </c>
      <c r="S125">
        <v>2</v>
      </c>
      <c r="T125" t="b">
        <v>0</v>
      </c>
      <c r="AK125">
        <v>219.2</v>
      </c>
      <c r="AV125">
        <v>237.1</v>
      </c>
      <c r="AW125">
        <v>161.6</v>
      </c>
      <c r="AX125">
        <v>156.4</v>
      </c>
    </row>
    <row r="126" spans="1:50">
      <c r="A126" t="s">
        <v>75</v>
      </c>
      <c r="B126">
        <v>113</v>
      </c>
      <c r="C126">
        <v>408</v>
      </c>
      <c r="D126" t="s">
        <v>62</v>
      </c>
      <c r="E126" t="s">
        <v>62</v>
      </c>
      <c r="F126">
        <v>0</v>
      </c>
      <c r="G126">
        <v>193.8</v>
      </c>
      <c r="H126">
        <v>99</v>
      </c>
      <c r="I126">
        <v>32.95</v>
      </c>
      <c r="J126">
        <v>221.4</v>
      </c>
      <c r="K126">
        <v>125</v>
      </c>
      <c r="L126">
        <v>18.82</v>
      </c>
      <c r="M126">
        <v>172.3</v>
      </c>
      <c r="N126">
        <v>67</v>
      </c>
      <c r="O126">
        <v>7.75</v>
      </c>
      <c r="P126">
        <v>10.6</v>
      </c>
      <c r="Q126">
        <v>6</v>
      </c>
      <c r="R126">
        <v>2.86</v>
      </c>
      <c r="S126">
        <v>1</v>
      </c>
      <c r="T126" t="b">
        <v>0</v>
      </c>
      <c r="AK126">
        <v>252.6</v>
      </c>
      <c r="AV126">
        <v>159.5</v>
      </c>
      <c r="AW126">
        <v>155.9</v>
      </c>
      <c r="AX126">
        <v>172</v>
      </c>
    </row>
    <row r="127" spans="1:50">
      <c r="A127" t="s">
        <v>73</v>
      </c>
      <c r="B127">
        <v>56</v>
      </c>
      <c r="C127">
        <v>415</v>
      </c>
      <c r="D127" t="s">
        <v>62</v>
      </c>
      <c r="E127" t="s">
        <v>62</v>
      </c>
      <c r="F127">
        <v>0</v>
      </c>
      <c r="G127">
        <v>226</v>
      </c>
      <c r="H127">
        <v>112</v>
      </c>
      <c r="I127">
        <v>38.42</v>
      </c>
      <c r="J127">
        <v>248.5</v>
      </c>
      <c r="K127">
        <v>118</v>
      </c>
      <c r="L127">
        <v>21.12</v>
      </c>
      <c r="M127">
        <v>140.5</v>
      </c>
      <c r="N127">
        <v>142</v>
      </c>
      <c r="O127">
        <v>6.32</v>
      </c>
      <c r="P127">
        <v>6.9</v>
      </c>
      <c r="Q127">
        <v>11</v>
      </c>
      <c r="R127">
        <v>1.86</v>
      </c>
      <c r="S127">
        <v>1</v>
      </c>
      <c r="T127" t="b">
        <v>0</v>
      </c>
      <c r="AK127">
        <v>147.1</v>
      </c>
      <c r="AV127">
        <v>194.5</v>
      </c>
      <c r="AW127">
        <v>220.1</v>
      </c>
      <c r="AX127">
        <v>195.4</v>
      </c>
    </row>
    <row r="128" spans="1:50">
      <c r="A128" t="s">
        <v>66</v>
      </c>
      <c r="B128">
        <v>96</v>
      </c>
      <c r="C128">
        <v>415</v>
      </c>
      <c r="D128" t="s">
        <v>62</v>
      </c>
      <c r="E128" t="s">
        <v>62</v>
      </c>
      <c r="F128">
        <v>0</v>
      </c>
      <c r="G128">
        <v>260.4</v>
      </c>
      <c r="H128">
        <v>115</v>
      </c>
      <c r="I128">
        <v>44.27</v>
      </c>
      <c r="J128">
        <v>146</v>
      </c>
      <c r="K128">
        <v>46</v>
      </c>
      <c r="L128">
        <v>12.41</v>
      </c>
      <c r="M128">
        <v>269.5</v>
      </c>
      <c r="N128">
        <v>87</v>
      </c>
      <c r="O128">
        <v>12.13</v>
      </c>
      <c r="P128">
        <v>11.5</v>
      </c>
      <c r="Q128">
        <v>4</v>
      </c>
      <c r="R128">
        <v>3.11</v>
      </c>
      <c r="S128">
        <v>5</v>
      </c>
      <c r="T128" t="b">
        <v>0</v>
      </c>
      <c r="AK128">
        <v>173.5</v>
      </c>
      <c r="AV128">
        <v>174.1</v>
      </c>
      <c r="AW128">
        <v>181.5</v>
      </c>
      <c r="AX128">
        <v>122.4</v>
      </c>
    </row>
    <row r="129" spans="1:50">
      <c r="A129" t="s">
        <v>88</v>
      </c>
      <c r="B129">
        <v>151</v>
      </c>
      <c r="C129">
        <v>408</v>
      </c>
      <c r="D129" t="s">
        <v>62</v>
      </c>
      <c r="E129" t="s">
        <v>62</v>
      </c>
      <c r="F129">
        <v>0</v>
      </c>
      <c r="G129">
        <v>178.7</v>
      </c>
      <c r="H129">
        <v>116</v>
      </c>
      <c r="I129">
        <v>30.38</v>
      </c>
      <c r="J129">
        <v>292.1</v>
      </c>
      <c r="K129">
        <v>138</v>
      </c>
      <c r="L129">
        <v>24.83</v>
      </c>
      <c r="M129">
        <v>265.9</v>
      </c>
      <c r="N129">
        <v>101</v>
      </c>
      <c r="O129">
        <v>11.97</v>
      </c>
      <c r="P129">
        <v>9.8</v>
      </c>
      <c r="Q129">
        <v>4</v>
      </c>
      <c r="R129">
        <v>2.65</v>
      </c>
      <c r="S129">
        <v>0</v>
      </c>
      <c r="T129" t="b">
        <v>0</v>
      </c>
      <c r="AK129">
        <v>232.1</v>
      </c>
      <c r="AV129">
        <v>146.8</v>
      </c>
      <c r="AW129">
        <v>166.1</v>
      </c>
      <c r="AX129">
        <v>144.2</v>
      </c>
    </row>
    <row r="130" spans="1:50">
      <c r="A130" t="s">
        <v>64</v>
      </c>
      <c r="B130">
        <v>83</v>
      </c>
      <c r="C130">
        <v>415</v>
      </c>
      <c r="D130" t="s">
        <v>62</v>
      </c>
      <c r="E130" t="s">
        <v>62</v>
      </c>
      <c r="F130">
        <v>0</v>
      </c>
      <c r="G130">
        <v>337.4</v>
      </c>
      <c r="H130">
        <v>120</v>
      </c>
      <c r="I130">
        <v>57.36</v>
      </c>
      <c r="J130">
        <v>227.4</v>
      </c>
      <c r="K130">
        <v>116</v>
      </c>
      <c r="L130">
        <v>19.33</v>
      </c>
      <c r="M130">
        <v>153.9</v>
      </c>
      <c r="N130">
        <v>114</v>
      </c>
      <c r="O130">
        <v>6.93</v>
      </c>
      <c r="P130">
        <v>15.8</v>
      </c>
      <c r="Q130">
        <v>7</v>
      </c>
      <c r="R130">
        <v>4.27</v>
      </c>
      <c r="S130">
        <v>0</v>
      </c>
      <c r="T130" t="b">
        <v>1</v>
      </c>
      <c r="AK130">
        <v>197.1</v>
      </c>
      <c r="AV130">
        <v>200.7</v>
      </c>
      <c r="AW130">
        <v>141.7</v>
      </c>
      <c r="AX130">
        <v>256.2</v>
      </c>
    </row>
    <row r="131" spans="1:50">
      <c r="A131" t="s">
        <v>79</v>
      </c>
      <c r="B131">
        <v>139</v>
      </c>
      <c r="C131">
        <v>510</v>
      </c>
      <c r="D131" t="s">
        <v>62</v>
      </c>
      <c r="E131" t="s">
        <v>63</v>
      </c>
      <c r="F131">
        <v>23</v>
      </c>
      <c r="G131">
        <v>157.6</v>
      </c>
      <c r="H131">
        <v>129</v>
      </c>
      <c r="I131">
        <v>26.79</v>
      </c>
      <c r="J131">
        <v>247</v>
      </c>
      <c r="K131">
        <v>96</v>
      </c>
      <c r="L131">
        <v>21</v>
      </c>
      <c r="M131">
        <v>259.2</v>
      </c>
      <c r="N131">
        <v>112</v>
      </c>
      <c r="O131">
        <v>11.66</v>
      </c>
      <c r="P131">
        <v>13.7</v>
      </c>
      <c r="Q131">
        <v>2</v>
      </c>
      <c r="R131">
        <v>3.7</v>
      </c>
      <c r="S131">
        <v>0</v>
      </c>
      <c r="T131" t="b">
        <v>0</v>
      </c>
      <c r="AK131">
        <v>115.6</v>
      </c>
      <c r="AV131">
        <v>221.1</v>
      </c>
      <c r="AW131">
        <v>350.8</v>
      </c>
      <c r="AX131">
        <v>153.5</v>
      </c>
    </row>
    <row r="132" spans="1:50">
      <c r="A132" t="s">
        <v>81</v>
      </c>
      <c r="B132">
        <v>115</v>
      </c>
      <c r="C132">
        <v>510</v>
      </c>
      <c r="D132" t="s">
        <v>62</v>
      </c>
      <c r="E132" t="s">
        <v>63</v>
      </c>
      <c r="F132">
        <v>24</v>
      </c>
      <c r="G132">
        <v>142.1</v>
      </c>
      <c r="H132">
        <v>124</v>
      </c>
      <c r="I132">
        <v>24.16</v>
      </c>
      <c r="J132">
        <v>183.4</v>
      </c>
      <c r="K132">
        <v>129</v>
      </c>
      <c r="L132">
        <v>15.59</v>
      </c>
      <c r="M132">
        <v>164.8</v>
      </c>
      <c r="N132">
        <v>114</v>
      </c>
      <c r="O132">
        <v>7.42</v>
      </c>
      <c r="P132">
        <v>9.6</v>
      </c>
      <c r="Q132">
        <v>4</v>
      </c>
      <c r="R132">
        <v>2.59</v>
      </c>
      <c r="S132">
        <v>1</v>
      </c>
      <c r="T132" t="b">
        <v>0</v>
      </c>
      <c r="AK132">
        <v>186.1</v>
      </c>
      <c r="AV132">
        <v>228.6</v>
      </c>
      <c r="AW132">
        <v>193.3</v>
      </c>
      <c r="AX132">
        <v>205.5</v>
      </c>
    </row>
    <row r="133" spans="1:50">
      <c r="A133" t="s">
        <v>111</v>
      </c>
      <c r="B133">
        <v>87</v>
      </c>
      <c r="C133">
        <v>415</v>
      </c>
      <c r="D133" t="s">
        <v>62</v>
      </c>
      <c r="E133" t="s">
        <v>62</v>
      </c>
      <c r="F133">
        <v>0</v>
      </c>
      <c r="G133">
        <v>136.3</v>
      </c>
      <c r="H133">
        <v>97</v>
      </c>
      <c r="I133">
        <v>23.17</v>
      </c>
      <c r="J133">
        <v>172.2</v>
      </c>
      <c r="K133">
        <v>108</v>
      </c>
      <c r="L133">
        <v>14.64</v>
      </c>
      <c r="M133">
        <v>137.5</v>
      </c>
      <c r="N133">
        <v>101</v>
      </c>
      <c r="O133">
        <v>6.19</v>
      </c>
      <c r="P133">
        <v>7.1</v>
      </c>
      <c r="Q133">
        <v>5</v>
      </c>
      <c r="R133">
        <v>1.92</v>
      </c>
      <c r="S133">
        <v>0</v>
      </c>
      <c r="T133" t="b">
        <v>0</v>
      </c>
      <c r="AK133">
        <v>259.9</v>
      </c>
      <c r="AV133">
        <v>149.8</v>
      </c>
      <c r="AW133">
        <v>78.2</v>
      </c>
      <c r="AX133">
        <v>183.4</v>
      </c>
    </row>
    <row r="134" spans="1:50">
      <c r="A134" t="s">
        <v>79</v>
      </c>
      <c r="B134">
        <v>141</v>
      </c>
      <c r="C134">
        <v>415</v>
      </c>
      <c r="D134" t="s">
        <v>62</v>
      </c>
      <c r="E134" t="s">
        <v>62</v>
      </c>
      <c r="F134">
        <v>0</v>
      </c>
      <c r="G134">
        <v>217.1</v>
      </c>
      <c r="H134">
        <v>110</v>
      </c>
      <c r="I134">
        <v>36.91</v>
      </c>
      <c r="J134">
        <v>241.5</v>
      </c>
      <c r="K134">
        <v>111</v>
      </c>
      <c r="L134">
        <v>20.53</v>
      </c>
      <c r="M134">
        <v>253.5</v>
      </c>
      <c r="N134">
        <v>103</v>
      </c>
      <c r="O134">
        <v>11.41</v>
      </c>
      <c r="P134">
        <v>12</v>
      </c>
      <c r="Q134">
        <v>6</v>
      </c>
      <c r="R134">
        <v>3.24</v>
      </c>
      <c r="S134">
        <v>0</v>
      </c>
      <c r="T134" t="b">
        <v>0</v>
      </c>
      <c r="AK134">
        <v>214.3</v>
      </c>
      <c r="AV134">
        <v>183.8</v>
      </c>
      <c r="AW134">
        <v>83.4</v>
      </c>
      <c r="AX134">
        <v>195.4</v>
      </c>
    </row>
    <row r="135" spans="1:50">
      <c r="A135" t="s">
        <v>75</v>
      </c>
      <c r="B135">
        <v>141</v>
      </c>
      <c r="C135">
        <v>510</v>
      </c>
      <c r="D135" t="s">
        <v>62</v>
      </c>
      <c r="E135" t="s">
        <v>63</v>
      </c>
      <c r="F135">
        <v>36</v>
      </c>
      <c r="G135">
        <v>187.5</v>
      </c>
      <c r="H135">
        <v>99</v>
      </c>
      <c r="I135">
        <v>31.88</v>
      </c>
      <c r="J135">
        <v>241.4</v>
      </c>
      <c r="K135">
        <v>116</v>
      </c>
      <c r="L135">
        <v>20.52</v>
      </c>
      <c r="M135">
        <v>229.5</v>
      </c>
      <c r="N135">
        <v>105</v>
      </c>
      <c r="O135">
        <v>10.33</v>
      </c>
      <c r="P135">
        <v>10.5</v>
      </c>
      <c r="Q135">
        <v>5</v>
      </c>
      <c r="R135">
        <v>2.84</v>
      </c>
      <c r="S135">
        <v>3</v>
      </c>
      <c r="T135" t="b">
        <v>0</v>
      </c>
      <c r="AK135">
        <v>158.7</v>
      </c>
      <c r="AV135">
        <v>186.7</v>
      </c>
      <c r="AW135">
        <v>195.6</v>
      </c>
      <c r="AX135">
        <v>187.4</v>
      </c>
    </row>
    <row r="136" spans="1:50">
      <c r="A136" t="s">
        <v>110</v>
      </c>
      <c r="B136">
        <v>62</v>
      </c>
      <c r="C136">
        <v>415</v>
      </c>
      <c r="D136" t="s">
        <v>62</v>
      </c>
      <c r="E136" t="s">
        <v>62</v>
      </c>
      <c r="F136">
        <v>0</v>
      </c>
      <c r="G136">
        <v>98.9</v>
      </c>
      <c r="H136">
        <v>103</v>
      </c>
      <c r="I136">
        <v>16.81</v>
      </c>
      <c r="J136">
        <v>135.4</v>
      </c>
      <c r="K136">
        <v>122</v>
      </c>
      <c r="L136">
        <v>11.51</v>
      </c>
      <c r="M136">
        <v>236.6</v>
      </c>
      <c r="N136">
        <v>82</v>
      </c>
      <c r="O136">
        <v>10.65</v>
      </c>
      <c r="P136">
        <v>12.2</v>
      </c>
      <c r="Q136">
        <v>1</v>
      </c>
      <c r="R136">
        <v>3.29</v>
      </c>
      <c r="S136">
        <v>1</v>
      </c>
      <c r="T136" t="b">
        <v>0</v>
      </c>
      <c r="AK136">
        <v>160.6</v>
      </c>
      <c r="AV136">
        <v>150.5</v>
      </c>
      <c r="AW136">
        <v>218</v>
      </c>
      <c r="AX136">
        <v>147.2</v>
      </c>
    </row>
    <row r="137" spans="1:50">
      <c r="A137" t="s">
        <v>66</v>
      </c>
      <c r="B137">
        <v>146</v>
      </c>
      <c r="C137">
        <v>415</v>
      </c>
      <c r="D137" t="s">
        <v>62</v>
      </c>
      <c r="E137" t="s">
        <v>62</v>
      </c>
      <c r="F137">
        <v>0</v>
      </c>
      <c r="G137">
        <v>206.3</v>
      </c>
      <c r="H137">
        <v>151</v>
      </c>
      <c r="I137">
        <v>35.07</v>
      </c>
      <c r="J137">
        <v>148.6</v>
      </c>
      <c r="K137">
        <v>89</v>
      </c>
      <c r="L137">
        <v>12.63</v>
      </c>
      <c r="M137">
        <v>167.2</v>
      </c>
      <c r="N137">
        <v>91</v>
      </c>
      <c r="O137">
        <v>7.52</v>
      </c>
      <c r="P137">
        <v>6.1</v>
      </c>
      <c r="Q137">
        <v>3</v>
      </c>
      <c r="R137">
        <v>1.65</v>
      </c>
      <c r="S137">
        <v>1</v>
      </c>
      <c r="T137" t="b">
        <v>0</v>
      </c>
      <c r="AK137">
        <v>232.4</v>
      </c>
      <c r="AV137">
        <v>55.3</v>
      </c>
      <c r="AW137">
        <v>164.8</v>
      </c>
      <c r="AX137">
        <v>160</v>
      </c>
    </row>
    <row r="138" spans="1:50">
      <c r="A138" t="s">
        <v>95</v>
      </c>
      <c r="B138">
        <v>92</v>
      </c>
      <c r="C138">
        <v>415</v>
      </c>
      <c r="D138" t="s">
        <v>62</v>
      </c>
      <c r="E138" t="s">
        <v>63</v>
      </c>
      <c r="F138">
        <v>33</v>
      </c>
      <c r="G138">
        <v>243.1</v>
      </c>
      <c r="H138">
        <v>92</v>
      </c>
      <c r="I138">
        <v>41.33</v>
      </c>
      <c r="J138">
        <v>213.8</v>
      </c>
      <c r="K138">
        <v>92</v>
      </c>
      <c r="L138">
        <v>18.17</v>
      </c>
      <c r="M138">
        <v>228.7</v>
      </c>
      <c r="N138">
        <v>104</v>
      </c>
      <c r="O138">
        <v>10.29</v>
      </c>
      <c r="P138">
        <v>12.1</v>
      </c>
      <c r="Q138">
        <v>2</v>
      </c>
      <c r="R138">
        <v>3.27</v>
      </c>
      <c r="S138">
        <v>2</v>
      </c>
      <c r="T138" t="b">
        <v>0</v>
      </c>
      <c r="AK138">
        <v>133.8</v>
      </c>
      <c r="AV138">
        <v>221.8</v>
      </c>
      <c r="AW138">
        <v>179.2</v>
      </c>
      <c r="AX138">
        <v>221.7</v>
      </c>
    </row>
    <row r="139" spans="1:50">
      <c r="A139" t="s">
        <v>89</v>
      </c>
      <c r="B139">
        <v>185</v>
      </c>
      <c r="C139">
        <v>510</v>
      </c>
      <c r="D139" t="s">
        <v>62</v>
      </c>
      <c r="E139" t="s">
        <v>63</v>
      </c>
      <c r="F139">
        <v>31</v>
      </c>
      <c r="G139">
        <v>189.8</v>
      </c>
      <c r="H139">
        <v>126</v>
      </c>
      <c r="I139">
        <v>32.27</v>
      </c>
      <c r="J139">
        <v>163.3</v>
      </c>
      <c r="K139">
        <v>133</v>
      </c>
      <c r="L139">
        <v>13.88</v>
      </c>
      <c r="M139">
        <v>264.8</v>
      </c>
      <c r="N139">
        <v>126</v>
      </c>
      <c r="O139">
        <v>11.92</v>
      </c>
      <c r="P139">
        <v>7.5</v>
      </c>
      <c r="Q139">
        <v>3</v>
      </c>
      <c r="R139">
        <v>2.03</v>
      </c>
      <c r="S139">
        <v>1</v>
      </c>
      <c r="T139" t="b">
        <v>0</v>
      </c>
      <c r="AK139">
        <v>176.9</v>
      </c>
      <c r="AV139">
        <v>218.9</v>
      </c>
      <c r="AW139">
        <v>170.5</v>
      </c>
      <c r="AX139">
        <v>165.3</v>
      </c>
    </row>
    <row r="140" spans="1:50">
      <c r="A140" t="s">
        <v>105</v>
      </c>
      <c r="B140">
        <v>148</v>
      </c>
      <c r="C140">
        <v>415</v>
      </c>
      <c r="D140" t="s">
        <v>62</v>
      </c>
      <c r="E140" t="s">
        <v>62</v>
      </c>
      <c r="F140">
        <v>0</v>
      </c>
      <c r="G140">
        <v>202</v>
      </c>
      <c r="H140">
        <v>102</v>
      </c>
      <c r="I140">
        <v>34.34</v>
      </c>
      <c r="J140">
        <v>243.2</v>
      </c>
      <c r="K140">
        <v>128</v>
      </c>
      <c r="L140">
        <v>20.67</v>
      </c>
      <c r="M140">
        <v>261.3</v>
      </c>
      <c r="N140">
        <v>90</v>
      </c>
      <c r="O140">
        <v>11.76</v>
      </c>
      <c r="P140">
        <v>10.9</v>
      </c>
      <c r="Q140">
        <v>3</v>
      </c>
      <c r="R140">
        <v>2.94</v>
      </c>
      <c r="S140">
        <v>1</v>
      </c>
      <c r="T140" t="b">
        <v>0</v>
      </c>
      <c r="AK140">
        <v>209.9</v>
      </c>
      <c r="AV140">
        <v>151.4</v>
      </c>
      <c r="AW140">
        <v>165.5</v>
      </c>
      <c r="AX140">
        <v>203.2</v>
      </c>
    </row>
    <row r="141" spans="1:50">
      <c r="A141" t="s">
        <v>83</v>
      </c>
      <c r="B141">
        <v>94</v>
      </c>
      <c r="C141">
        <v>408</v>
      </c>
      <c r="D141" t="s">
        <v>62</v>
      </c>
      <c r="E141" t="s">
        <v>63</v>
      </c>
      <c r="F141">
        <v>38</v>
      </c>
      <c r="G141">
        <v>170.1</v>
      </c>
      <c r="H141">
        <v>124</v>
      </c>
      <c r="I141">
        <v>28.92</v>
      </c>
      <c r="J141">
        <v>193.3</v>
      </c>
      <c r="K141">
        <v>116</v>
      </c>
      <c r="L141">
        <v>16.43</v>
      </c>
      <c r="M141">
        <v>105.9</v>
      </c>
      <c r="N141">
        <v>73</v>
      </c>
      <c r="O141">
        <v>4.77</v>
      </c>
      <c r="P141">
        <v>12.8</v>
      </c>
      <c r="Q141">
        <v>4</v>
      </c>
      <c r="R141">
        <v>3.46</v>
      </c>
      <c r="S141">
        <v>1</v>
      </c>
      <c r="T141" t="b">
        <v>0</v>
      </c>
      <c r="AK141">
        <v>137.5</v>
      </c>
      <c r="AV141">
        <v>239.8</v>
      </c>
      <c r="AW141">
        <v>221</v>
      </c>
      <c r="AX141">
        <v>195.3</v>
      </c>
    </row>
    <row r="142" spans="1:50">
      <c r="A142" t="s">
        <v>82</v>
      </c>
      <c r="B142">
        <v>68</v>
      </c>
      <c r="C142">
        <v>408</v>
      </c>
      <c r="D142" t="s">
        <v>62</v>
      </c>
      <c r="E142" t="s">
        <v>62</v>
      </c>
      <c r="F142">
        <v>0</v>
      </c>
      <c r="G142">
        <v>237.1</v>
      </c>
      <c r="H142">
        <v>105</v>
      </c>
      <c r="I142">
        <v>40.31</v>
      </c>
      <c r="J142">
        <v>223.5</v>
      </c>
      <c r="K142">
        <v>105</v>
      </c>
      <c r="L142">
        <v>19</v>
      </c>
      <c r="M142">
        <v>97.4</v>
      </c>
      <c r="N142">
        <v>79</v>
      </c>
      <c r="O142">
        <v>4.38</v>
      </c>
      <c r="P142">
        <v>13.2</v>
      </c>
      <c r="Q142">
        <v>2</v>
      </c>
      <c r="R142">
        <v>3.56</v>
      </c>
      <c r="S142">
        <v>1</v>
      </c>
      <c r="T142" t="b">
        <v>0</v>
      </c>
      <c r="AK142">
        <v>289.5</v>
      </c>
      <c r="AV142">
        <v>220.2</v>
      </c>
      <c r="AW142">
        <v>151.6</v>
      </c>
      <c r="AX142">
        <v>143.7</v>
      </c>
    </row>
    <row r="143" spans="1:50">
      <c r="A143" t="s">
        <v>88</v>
      </c>
      <c r="B143">
        <v>179</v>
      </c>
      <c r="C143">
        <v>408</v>
      </c>
      <c r="D143" t="s">
        <v>62</v>
      </c>
      <c r="E143" t="s">
        <v>62</v>
      </c>
      <c r="F143">
        <v>0</v>
      </c>
      <c r="G143">
        <v>219.2</v>
      </c>
      <c r="H143">
        <v>92</v>
      </c>
      <c r="I143">
        <v>37.26</v>
      </c>
      <c r="J143">
        <v>149.4</v>
      </c>
      <c r="K143">
        <v>125</v>
      </c>
      <c r="L143">
        <v>12.7</v>
      </c>
      <c r="M143">
        <v>244.7</v>
      </c>
      <c r="N143">
        <v>104</v>
      </c>
      <c r="O143">
        <v>11.01</v>
      </c>
      <c r="P143">
        <v>6.1</v>
      </c>
      <c r="Q143">
        <v>5</v>
      </c>
      <c r="R143">
        <v>1.65</v>
      </c>
      <c r="S143">
        <v>0</v>
      </c>
      <c r="T143" t="b">
        <v>0</v>
      </c>
      <c r="AK143">
        <v>198.1</v>
      </c>
      <c r="AV143">
        <v>194.8</v>
      </c>
      <c r="AW143">
        <v>176.2</v>
      </c>
      <c r="AX143">
        <v>190.3</v>
      </c>
    </row>
    <row r="144" spans="1:50">
      <c r="A144" t="s">
        <v>84</v>
      </c>
      <c r="B144">
        <v>94</v>
      </c>
      <c r="C144">
        <v>415</v>
      </c>
      <c r="D144" t="s">
        <v>62</v>
      </c>
      <c r="E144" t="s">
        <v>62</v>
      </c>
      <c r="F144">
        <v>0</v>
      </c>
      <c r="G144">
        <v>252.6</v>
      </c>
      <c r="H144">
        <v>104</v>
      </c>
      <c r="I144">
        <v>42.94</v>
      </c>
      <c r="J144">
        <v>169</v>
      </c>
      <c r="K144">
        <v>125</v>
      </c>
      <c r="L144">
        <v>14.37</v>
      </c>
      <c r="M144">
        <v>170.9</v>
      </c>
      <c r="N144">
        <v>106</v>
      </c>
      <c r="O144">
        <v>7.69</v>
      </c>
      <c r="P144">
        <v>11.1</v>
      </c>
      <c r="Q144">
        <v>7</v>
      </c>
      <c r="R144">
        <v>3</v>
      </c>
      <c r="S144">
        <v>2</v>
      </c>
      <c r="T144" t="b">
        <v>0</v>
      </c>
      <c r="AK144">
        <v>149.7</v>
      </c>
      <c r="AV144">
        <v>82.5</v>
      </c>
      <c r="AW144">
        <v>196</v>
      </c>
      <c r="AX144">
        <v>137.4</v>
      </c>
    </row>
    <row r="145" spans="1:50">
      <c r="A145" t="s">
        <v>102</v>
      </c>
      <c r="B145">
        <v>62</v>
      </c>
      <c r="C145">
        <v>415</v>
      </c>
      <c r="D145" t="s">
        <v>62</v>
      </c>
      <c r="E145" t="s">
        <v>62</v>
      </c>
      <c r="F145">
        <v>0</v>
      </c>
      <c r="G145">
        <v>147.1</v>
      </c>
      <c r="H145">
        <v>91</v>
      </c>
      <c r="I145">
        <v>25.01</v>
      </c>
      <c r="J145">
        <v>190.4</v>
      </c>
      <c r="K145">
        <v>107</v>
      </c>
      <c r="L145">
        <v>16.18</v>
      </c>
      <c r="M145">
        <v>195.2</v>
      </c>
      <c r="N145">
        <v>115</v>
      </c>
      <c r="O145">
        <v>8.78</v>
      </c>
      <c r="P145">
        <v>12.2</v>
      </c>
      <c r="Q145">
        <v>3</v>
      </c>
      <c r="R145">
        <v>3.29</v>
      </c>
      <c r="S145">
        <v>0</v>
      </c>
      <c r="T145" t="b">
        <v>0</v>
      </c>
      <c r="AK145">
        <v>83</v>
      </c>
      <c r="AV145">
        <v>177.9</v>
      </c>
      <c r="AW145">
        <v>230.2</v>
      </c>
      <c r="AX145">
        <v>192.8</v>
      </c>
    </row>
    <row r="146" spans="1:50">
      <c r="A146" t="s">
        <v>92</v>
      </c>
      <c r="B146">
        <v>116</v>
      </c>
      <c r="C146">
        <v>408</v>
      </c>
      <c r="D146" t="s">
        <v>62</v>
      </c>
      <c r="E146" t="s">
        <v>62</v>
      </c>
      <c r="F146">
        <v>0</v>
      </c>
      <c r="G146">
        <v>173.5</v>
      </c>
      <c r="H146">
        <v>93</v>
      </c>
      <c r="I146">
        <v>29.5</v>
      </c>
      <c r="J146">
        <v>194.1</v>
      </c>
      <c r="K146">
        <v>76</v>
      </c>
      <c r="L146">
        <v>16.5</v>
      </c>
      <c r="M146">
        <v>208</v>
      </c>
      <c r="N146">
        <v>112</v>
      </c>
      <c r="O146">
        <v>9.36</v>
      </c>
      <c r="P146">
        <v>16.2</v>
      </c>
      <c r="Q146">
        <v>10</v>
      </c>
      <c r="R146">
        <v>4.37</v>
      </c>
      <c r="S146">
        <v>3</v>
      </c>
      <c r="T146" t="b">
        <v>0</v>
      </c>
      <c r="AK146">
        <v>145.7</v>
      </c>
      <c r="AV146">
        <v>180.1</v>
      </c>
      <c r="AW146">
        <v>146.7</v>
      </c>
      <c r="AX146">
        <v>149.3</v>
      </c>
    </row>
    <row r="147" spans="1:50">
      <c r="A147" t="s">
        <v>61</v>
      </c>
      <c r="B147">
        <v>70</v>
      </c>
      <c r="C147">
        <v>408</v>
      </c>
      <c r="D147" t="s">
        <v>62</v>
      </c>
      <c r="E147" t="s">
        <v>62</v>
      </c>
      <c r="F147">
        <v>0</v>
      </c>
      <c r="G147">
        <v>232.1</v>
      </c>
      <c r="H147">
        <v>122</v>
      </c>
      <c r="I147">
        <v>39.46</v>
      </c>
      <c r="J147">
        <v>292.3</v>
      </c>
      <c r="K147">
        <v>112</v>
      </c>
      <c r="L147">
        <v>24.85</v>
      </c>
      <c r="M147">
        <v>201.2</v>
      </c>
      <c r="N147">
        <v>112</v>
      </c>
      <c r="O147">
        <v>9.05</v>
      </c>
      <c r="P147">
        <v>0</v>
      </c>
      <c r="Q147">
        <v>0</v>
      </c>
      <c r="R147">
        <v>0</v>
      </c>
      <c r="S147">
        <v>3</v>
      </c>
      <c r="T147" t="b">
        <v>0</v>
      </c>
      <c r="AK147">
        <v>182.3</v>
      </c>
      <c r="AV147">
        <v>165.3</v>
      </c>
      <c r="AW147">
        <v>102</v>
      </c>
      <c r="AX147">
        <v>271.2</v>
      </c>
    </row>
    <row r="148" spans="1:50">
      <c r="A148" t="s">
        <v>71</v>
      </c>
      <c r="B148">
        <v>94</v>
      </c>
      <c r="C148">
        <v>510</v>
      </c>
      <c r="D148" t="s">
        <v>63</v>
      </c>
      <c r="E148" t="s">
        <v>63</v>
      </c>
      <c r="F148">
        <v>23</v>
      </c>
      <c r="G148">
        <v>197.1</v>
      </c>
      <c r="H148">
        <v>125</v>
      </c>
      <c r="I148">
        <v>33.51</v>
      </c>
      <c r="J148">
        <v>214.5</v>
      </c>
      <c r="K148">
        <v>136</v>
      </c>
      <c r="L148">
        <v>18.23</v>
      </c>
      <c r="M148">
        <v>282.2</v>
      </c>
      <c r="N148">
        <v>103</v>
      </c>
      <c r="O148">
        <v>12.7</v>
      </c>
      <c r="P148">
        <v>9.5</v>
      </c>
      <c r="Q148">
        <v>5</v>
      </c>
      <c r="R148">
        <v>2.57</v>
      </c>
      <c r="S148">
        <v>4</v>
      </c>
      <c r="T148" t="b">
        <v>0</v>
      </c>
      <c r="AK148">
        <v>218</v>
      </c>
      <c r="AV148">
        <v>261.7</v>
      </c>
      <c r="AW148">
        <v>168.4</v>
      </c>
      <c r="AX148">
        <v>300.4</v>
      </c>
    </row>
    <row r="149" spans="1:50">
      <c r="A149" t="s">
        <v>90</v>
      </c>
      <c r="B149">
        <v>126</v>
      </c>
      <c r="C149">
        <v>415</v>
      </c>
      <c r="D149" t="s">
        <v>62</v>
      </c>
      <c r="E149" t="s">
        <v>62</v>
      </c>
      <c r="F149">
        <v>0</v>
      </c>
      <c r="G149">
        <v>58.2</v>
      </c>
      <c r="H149">
        <v>94</v>
      </c>
      <c r="I149">
        <v>9.89</v>
      </c>
      <c r="J149">
        <v>138.7</v>
      </c>
      <c r="K149">
        <v>118</v>
      </c>
      <c r="L149">
        <v>11.79</v>
      </c>
      <c r="M149">
        <v>136.8</v>
      </c>
      <c r="N149">
        <v>91</v>
      </c>
      <c r="O149">
        <v>6.16</v>
      </c>
      <c r="P149">
        <v>11.9</v>
      </c>
      <c r="Q149">
        <v>1</v>
      </c>
      <c r="R149">
        <v>3.21</v>
      </c>
      <c r="S149">
        <v>5</v>
      </c>
      <c r="T149" t="b">
        <v>1</v>
      </c>
      <c r="AK149">
        <v>140.6</v>
      </c>
      <c r="AV149">
        <v>213.4</v>
      </c>
      <c r="AW149">
        <v>206.5</v>
      </c>
      <c r="AX149">
        <v>159.5</v>
      </c>
    </row>
    <row r="150" spans="1:50">
      <c r="A150" t="s">
        <v>106</v>
      </c>
      <c r="B150">
        <v>67</v>
      </c>
      <c r="C150">
        <v>408</v>
      </c>
      <c r="D150" t="s">
        <v>62</v>
      </c>
      <c r="E150" t="s">
        <v>63</v>
      </c>
      <c r="F150">
        <v>36</v>
      </c>
      <c r="G150">
        <v>115.6</v>
      </c>
      <c r="H150">
        <v>111</v>
      </c>
      <c r="I150">
        <v>19.65</v>
      </c>
      <c r="J150">
        <v>237.7</v>
      </c>
      <c r="K150">
        <v>94</v>
      </c>
      <c r="L150">
        <v>20.2</v>
      </c>
      <c r="M150">
        <v>169.9</v>
      </c>
      <c r="N150">
        <v>103</v>
      </c>
      <c r="O150">
        <v>7.65</v>
      </c>
      <c r="P150">
        <v>9.9</v>
      </c>
      <c r="Q150">
        <v>12</v>
      </c>
      <c r="R150">
        <v>2.67</v>
      </c>
      <c r="S150">
        <v>2</v>
      </c>
      <c r="T150" t="b">
        <v>0</v>
      </c>
      <c r="AK150">
        <v>152.7</v>
      </c>
      <c r="AV150">
        <v>205.3</v>
      </c>
      <c r="AW150">
        <v>278.3</v>
      </c>
      <c r="AX150">
        <v>190.7</v>
      </c>
    </row>
    <row r="151" spans="1:50">
      <c r="A151" t="s">
        <v>87</v>
      </c>
      <c r="B151">
        <v>19</v>
      </c>
      <c r="C151">
        <v>408</v>
      </c>
      <c r="D151" t="s">
        <v>62</v>
      </c>
      <c r="E151" t="s">
        <v>62</v>
      </c>
      <c r="F151">
        <v>0</v>
      </c>
      <c r="G151">
        <v>186.1</v>
      </c>
      <c r="H151">
        <v>98</v>
      </c>
      <c r="I151">
        <v>31.64</v>
      </c>
      <c r="J151">
        <v>254.3</v>
      </c>
      <c r="K151">
        <v>57</v>
      </c>
      <c r="L151">
        <v>21.62</v>
      </c>
      <c r="M151">
        <v>214</v>
      </c>
      <c r="N151">
        <v>127</v>
      </c>
      <c r="O151">
        <v>9.63</v>
      </c>
      <c r="P151">
        <v>14.6</v>
      </c>
      <c r="Q151">
        <v>7</v>
      </c>
      <c r="R151">
        <v>3.94</v>
      </c>
      <c r="S151">
        <v>2</v>
      </c>
      <c r="T151" t="b">
        <v>0</v>
      </c>
      <c r="AK151">
        <v>106.7</v>
      </c>
      <c r="AV151">
        <v>175.3</v>
      </c>
      <c r="AW151">
        <v>167.3</v>
      </c>
      <c r="AX151">
        <v>230.6</v>
      </c>
    </row>
    <row r="152" spans="1:50">
      <c r="A152" t="s">
        <v>79</v>
      </c>
      <c r="B152">
        <v>170</v>
      </c>
      <c r="C152">
        <v>510</v>
      </c>
      <c r="D152" t="s">
        <v>63</v>
      </c>
      <c r="E152" t="s">
        <v>62</v>
      </c>
      <c r="F152">
        <v>0</v>
      </c>
      <c r="G152">
        <v>259.9</v>
      </c>
      <c r="H152">
        <v>68</v>
      </c>
      <c r="I152">
        <v>44.18</v>
      </c>
      <c r="J152">
        <v>245</v>
      </c>
      <c r="K152">
        <v>122</v>
      </c>
      <c r="L152">
        <v>20.83</v>
      </c>
      <c r="M152">
        <v>134.4</v>
      </c>
      <c r="N152">
        <v>121</v>
      </c>
      <c r="O152">
        <v>6.05</v>
      </c>
      <c r="P152">
        <v>8.4</v>
      </c>
      <c r="Q152">
        <v>3</v>
      </c>
      <c r="R152">
        <v>2.27</v>
      </c>
      <c r="S152">
        <v>3</v>
      </c>
      <c r="T152" t="b">
        <v>0</v>
      </c>
      <c r="AK152">
        <v>194.4</v>
      </c>
      <c r="AV152">
        <v>125.1</v>
      </c>
      <c r="AW152">
        <v>121</v>
      </c>
      <c r="AX152">
        <v>184.6</v>
      </c>
    </row>
    <row r="153" spans="1:50">
      <c r="A153" t="s">
        <v>103</v>
      </c>
      <c r="B153">
        <v>73</v>
      </c>
      <c r="C153">
        <v>415</v>
      </c>
      <c r="D153" t="s">
        <v>62</v>
      </c>
      <c r="E153" t="s">
        <v>62</v>
      </c>
      <c r="F153">
        <v>0</v>
      </c>
      <c r="G153">
        <v>214.3</v>
      </c>
      <c r="H153">
        <v>145</v>
      </c>
      <c r="I153">
        <v>36.43</v>
      </c>
      <c r="J153">
        <v>268.5</v>
      </c>
      <c r="K153">
        <v>135</v>
      </c>
      <c r="L153">
        <v>22.82</v>
      </c>
      <c r="M153">
        <v>241.2</v>
      </c>
      <c r="N153">
        <v>92</v>
      </c>
      <c r="O153">
        <v>10.85</v>
      </c>
      <c r="P153">
        <v>10.8</v>
      </c>
      <c r="Q153">
        <v>13</v>
      </c>
      <c r="R153">
        <v>2.92</v>
      </c>
      <c r="S153">
        <v>1</v>
      </c>
      <c r="T153" t="b">
        <v>0</v>
      </c>
      <c r="AK153">
        <v>213.9</v>
      </c>
      <c r="AV153">
        <v>241.2</v>
      </c>
      <c r="AW153">
        <v>221.1</v>
      </c>
      <c r="AX153">
        <v>182.1</v>
      </c>
    </row>
    <row r="154" spans="1:50">
      <c r="A154" t="s">
        <v>106</v>
      </c>
      <c r="B154">
        <v>106</v>
      </c>
      <c r="C154">
        <v>408</v>
      </c>
      <c r="D154" t="s">
        <v>62</v>
      </c>
      <c r="E154" t="s">
        <v>62</v>
      </c>
      <c r="F154">
        <v>0</v>
      </c>
      <c r="G154">
        <v>158.7</v>
      </c>
      <c r="H154">
        <v>74</v>
      </c>
      <c r="I154">
        <v>26.98</v>
      </c>
      <c r="J154">
        <v>64.3</v>
      </c>
      <c r="K154">
        <v>139</v>
      </c>
      <c r="L154">
        <v>5.47</v>
      </c>
      <c r="M154">
        <v>198.5</v>
      </c>
      <c r="N154">
        <v>103</v>
      </c>
      <c r="O154">
        <v>8.93</v>
      </c>
      <c r="P154">
        <v>10.2</v>
      </c>
      <c r="Q154">
        <v>4</v>
      </c>
      <c r="R154">
        <v>2.75</v>
      </c>
      <c r="S154">
        <v>1</v>
      </c>
      <c r="T154" t="b">
        <v>0</v>
      </c>
      <c r="AK154">
        <v>217.2</v>
      </c>
      <c r="AV154">
        <v>217.1</v>
      </c>
      <c r="AW154">
        <v>183.4</v>
      </c>
      <c r="AX154">
        <v>187.3</v>
      </c>
    </row>
    <row r="155" spans="1:50">
      <c r="A155" t="s">
        <v>85</v>
      </c>
      <c r="B155">
        <v>164</v>
      </c>
      <c r="C155">
        <v>510</v>
      </c>
      <c r="D155" t="s">
        <v>62</v>
      </c>
      <c r="E155" t="s">
        <v>62</v>
      </c>
      <c r="F155">
        <v>0</v>
      </c>
      <c r="G155">
        <v>160.6</v>
      </c>
      <c r="H155">
        <v>111</v>
      </c>
      <c r="I155">
        <v>27.3</v>
      </c>
      <c r="J155">
        <v>163.2</v>
      </c>
      <c r="K155">
        <v>126</v>
      </c>
      <c r="L155">
        <v>13.87</v>
      </c>
      <c r="M155">
        <v>187.1</v>
      </c>
      <c r="N155">
        <v>112</v>
      </c>
      <c r="O155">
        <v>8.42</v>
      </c>
      <c r="P155">
        <v>9</v>
      </c>
      <c r="Q155">
        <v>3</v>
      </c>
      <c r="R155">
        <v>2.43</v>
      </c>
      <c r="S155">
        <v>1</v>
      </c>
      <c r="T155" t="b">
        <v>0</v>
      </c>
      <c r="AK155">
        <v>203.5</v>
      </c>
      <c r="AV155">
        <v>185.8</v>
      </c>
      <c r="AW155">
        <v>264.3</v>
      </c>
      <c r="AX155">
        <v>189.5</v>
      </c>
    </row>
    <row r="156" spans="1:50">
      <c r="A156" t="s">
        <v>101</v>
      </c>
      <c r="B156">
        <v>51</v>
      </c>
      <c r="C156">
        <v>408</v>
      </c>
      <c r="D156" t="s">
        <v>62</v>
      </c>
      <c r="E156" t="s">
        <v>62</v>
      </c>
      <c r="F156">
        <v>0</v>
      </c>
      <c r="G156">
        <v>232.4</v>
      </c>
      <c r="H156">
        <v>109</v>
      </c>
      <c r="I156">
        <v>39.51</v>
      </c>
      <c r="J156">
        <v>187.4</v>
      </c>
      <c r="K156">
        <v>95</v>
      </c>
      <c r="L156">
        <v>15.93</v>
      </c>
      <c r="M156">
        <v>231.2</v>
      </c>
      <c r="N156">
        <v>107</v>
      </c>
      <c r="O156">
        <v>10.4</v>
      </c>
      <c r="P156">
        <v>9.1</v>
      </c>
      <c r="Q156">
        <v>3</v>
      </c>
      <c r="R156">
        <v>2.46</v>
      </c>
      <c r="S156">
        <v>1</v>
      </c>
      <c r="T156" t="b">
        <v>0</v>
      </c>
      <c r="AK156">
        <v>155.2</v>
      </c>
      <c r="AV156">
        <v>234.5</v>
      </c>
      <c r="AW156">
        <v>146</v>
      </c>
      <c r="AX156">
        <v>127.7</v>
      </c>
    </row>
    <row r="157" spans="1:50">
      <c r="A157" t="s">
        <v>82</v>
      </c>
      <c r="B157">
        <v>107</v>
      </c>
      <c r="C157">
        <v>415</v>
      </c>
      <c r="D157" t="s">
        <v>62</v>
      </c>
      <c r="E157" t="s">
        <v>62</v>
      </c>
      <c r="F157">
        <v>0</v>
      </c>
      <c r="G157">
        <v>133.8</v>
      </c>
      <c r="H157">
        <v>85</v>
      </c>
      <c r="I157">
        <v>22.75</v>
      </c>
      <c r="J157">
        <v>180.5</v>
      </c>
      <c r="K157">
        <v>94</v>
      </c>
      <c r="L157">
        <v>15.34</v>
      </c>
      <c r="M157">
        <v>112.2</v>
      </c>
      <c r="N157">
        <v>115</v>
      </c>
      <c r="O157">
        <v>5.05</v>
      </c>
      <c r="P157">
        <v>8.9</v>
      </c>
      <c r="Q157">
        <v>4</v>
      </c>
      <c r="R157">
        <v>2.4</v>
      </c>
      <c r="S157">
        <v>0</v>
      </c>
      <c r="T157" t="b">
        <v>0</v>
      </c>
      <c r="AK157">
        <v>167.6</v>
      </c>
      <c r="AV157">
        <v>182.3</v>
      </c>
      <c r="AW157">
        <v>187.9</v>
      </c>
      <c r="AX157">
        <v>273.5</v>
      </c>
    </row>
    <row r="158" spans="1:50">
      <c r="A158" t="s">
        <v>80</v>
      </c>
      <c r="B158">
        <v>130</v>
      </c>
      <c r="C158">
        <v>415</v>
      </c>
      <c r="D158" t="s">
        <v>62</v>
      </c>
      <c r="E158" t="s">
        <v>62</v>
      </c>
      <c r="F158">
        <v>0</v>
      </c>
      <c r="G158">
        <v>176.9</v>
      </c>
      <c r="H158">
        <v>109</v>
      </c>
      <c r="I158">
        <v>30.07</v>
      </c>
      <c r="J158">
        <v>90.7</v>
      </c>
      <c r="K158">
        <v>104</v>
      </c>
      <c r="L158">
        <v>7.71</v>
      </c>
      <c r="M158">
        <v>238</v>
      </c>
      <c r="N158">
        <v>69</v>
      </c>
      <c r="O158">
        <v>10.71</v>
      </c>
      <c r="P158">
        <v>9.5</v>
      </c>
      <c r="Q158">
        <v>2</v>
      </c>
      <c r="R158">
        <v>2.57</v>
      </c>
      <c r="S158">
        <v>1</v>
      </c>
      <c r="T158" t="b">
        <v>0</v>
      </c>
      <c r="AK158">
        <v>179.3</v>
      </c>
      <c r="AV158">
        <v>143.7</v>
      </c>
      <c r="AW158">
        <v>256.5</v>
      </c>
      <c r="AX158">
        <v>110.5</v>
      </c>
    </row>
    <row r="159" spans="1:50">
      <c r="A159" t="s">
        <v>107</v>
      </c>
      <c r="B159">
        <v>80</v>
      </c>
      <c r="C159">
        <v>408</v>
      </c>
      <c r="D159" t="s">
        <v>62</v>
      </c>
      <c r="E159" t="s">
        <v>62</v>
      </c>
      <c r="F159">
        <v>0</v>
      </c>
      <c r="G159">
        <v>209.9</v>
      </c>
      <c r="H159">
        <v>74</v>
      </c>
      <c r="I159">
        <v>35.68</v>
      </c>
      <c r="J159">
        <v>195.1</v>
      </c>
      <c r="K159">
        <v>77</v>
      </c>
      <c r="L159">
        <v>16.58</v>
      </c>
      <c r="M159">
        <v>208.2</v>
      </c>
      <c r="N159">
        <v>119</v>
      </c>
      <c r="O159">
        <v>9.37</v>
      </c>
      <c r="P159">
        <v>8.8</v>
      </c>
      <c r="Q159">
        <v>4</v>
      </c>
      <c r="R159">
        <v>2.38</v>
      </c>
      <c r="S159">
        <v>2</v>
      </c>
      <c r="T159" t="b">
        <v>0</v>
      </c>
      <c r="AK159">
        <v>151.4</v>
      </c>
      <c r="AV159">
        <v>229.6</v>
      </c>
      <c r="AW159">
        <v>169.5</v>
      </c>
      <c r="AX159">
        <v>271.5</v>
      </c>
    </row>
    <row r="160" spans="1:50">
      <c r="A160" t="s">
        <v>76</v>
      </c>
      <c r="B160">
        <v>94</v>
      </c>
      <c r="C160">
        <v>415</v>
      </c>
      <c r="D160" t="s">
        <v>62</v>
      </c>
      <c r="E160" t="s">
        <v>62</v>
      </c>
      <c r="F160">
        <v>0</v>
      </c>
      <c r="G160">
        <v>137.5</v>
      </c>
      <c r="H160">
        <v>118</v>
      </c>
      <c r="I160">
        <v>23.38</v>
      </c>
      <c r="J160">
        <v>203.2</v>
      </c>
      <c r="K160">
        <v>88</v>
      </c>
      <c r="L160">
        <v>17.27</v>
      </c>
      <c r="M160">
        <v>150</v>
      </c>
      <c r="N160">
        <v>131</v>
      </c>
      <c r="O160">
        <v>6.75</v>
      </c>
      <c r="P160">
        <v>13.4</v>
      </c>
      <c r="Q160">
        <v>2</v>
      </c>
      <c r="R160">
        <v>3.62</v>
      </c>
      <c r="S160">
        <v>0</v>
      </c>
      <c r="T160" t="b">
        <v>0</v>
      </c>
      <c r="AK160">
        <v>180</v>
      </c>
      <c r="AV160">
        <v>202</v>
      </c>
      <c r="AW160">
        <v>239.7</v>
      </c>
      <c r="AX160">
        <v>246.2</v>
      </c>
    </row>
    <row r="161" spans="1:50">
      <c r="A161" t="s">
        <v>66</v>
      </c>
      <c r="B161">
        <v>118</v>
      </c>
      <c r="C161">
        <v>408</v>
      </c>
      <c r="D161" t="s">
        <v>62</v>
      </c>
      <c r="E161" t="s">
        <v>63</v>
      </c>
      <c r="F161">
        <v>23</v>
      </c>
      <c r="G161">
        <v>289.5</v>
      </c>
      <c r="H161">
        <v>52</v>
      </c>
      <c r="I161">
        <v>49.22</v>
      </c>
      <c r="J161">
        <v>166.6</v>
      </c>
      <c r="K161">
        <v>111</v>
      </c>
      <c r="L161">
        <v>14.16</v>
      </c>
      <c r="M161">
        <v>119.1</v>
      </c>
      <c r="N161">
        <v>88</v>
      </c>
      <c r="O161">
        <v>5.36</v>
      </c>
      <c r="P161">
        <v>9.5</v>
      </c>
      <c r="Q161">
        <v>4</v>
      </c>
      <c r="R161">
        <v>2.57</v>
      </c>
      <c r="S161">
        <v>1</v>
      </c>
      <c r="T161" t="b">
        <v>0</v>
      </c>
      <c r="AK161">
        <v>223</v>
      </c>
      <c r="AV161">
        <v>220.7</v>
      </c>
      <c r="AW161">
        <v>184.1</v>
      </c>
      <c r="AX161">
        <v>191</v>
      </c>
    </row>
    <row r="162" spans="1:50">
      <c r="A162" t="s">
        <v>91</v>
      </c>
      <c r="B162">
        <v>117</v>
      </c>
      <c r="C162">
        <v>415</v>
      </c>
      <c r="D162" t="s">
        <v>62</v>
      </c>
      <c r="E162" t="s">
        <v>63</v>
      </c>
      <c r="F162">
        <v>23</v>
      </c>
      <c r="G162">
        <v>198.1</v>
      </c>
      <c r="H162">
        <v>86</v>
      </c>
      <c r="I162">
        <v>33.68</v>
      </c>
      <c r="J162">
        <v>177</v>
      </c>
      <c r="K162">
        <v>86</v>
      </c>
      <c r="L162">
        <v>15.05</v>
      </c>
      <c r="M162">
        <v>180.5</v>
      </c>
      <c r="N162">
        <v>92</v>
      </c>
      <c r="O162">
        <v>8.12</v>
      </c>
      <c r="P162">
        <v>6.8</v>
      </c>
      <c r="Q162">
        <v>6</v>
      </c>
      <c r="R162">
        <v>1.84</v>
      </c>
      <c r="S162">
        <v>1</v>
      </c>
      <c r="T162" t="b">
        <v>0</v>
      </c>
      <c r="AK162">
        <v>183.6</v>
      </c>
      <c r="AV162">
        <v>201.2</v>
      </c>
      <c r="AW162">
        <v>206.9</v>
      </c>
      <c r="AX162">
        <v>143.5</v>
      </c>
    </row>
    <row r="163" spans="1:50">
      <c r="A163" t="s">
        <v>112</v>
      </c>
      <c r="B163">
        <v>78</v>
      </c>
      <c r="C163">
        <v>415</v>
      </c>
      <c r="D163" t="s">
        <v>62</v>
      </c>
      <c r="E163" t="s">
        <v>62</v>
      </c>
      <c r="F163">
        <v>0</v>
      </c>
      <c r="G163">
        <v>149.7</v>
      </c>
      <c r="H163">
        <v>119</v>
      </c>
      <c r="I163">
        <v>25.45</v>
      </c>
      <c r="J163">
        <v>182.2</v>
      </c>
      <c r="K163">
        <v>115</v>
      </c>
      <c r="L163">
        <v>15.49</v>
      </c>
      <c r="M163">
        <v>261.5</v>
      </c>
      <c r="N163">
        <v>126</v>
      </c>
      <c r="O163">
        <v>11.77</v>
      </c>
      <c r="P163">
        <v>9.7</v>
      </c>
      <c r="Q163">
        <v>8</v>
      </c>
      <c r="R163">
        <v>2.62</v>
      </c>
      <c r="S163">
        <v>0</v>
      </c>
      <c r="T163" t="b">
        <v>0</v>
      </c>
      <c r="AK163">
        <v>166</v>
      </c>
      <c r="AV163">
        <v>176.9</v>
      </c>
      <c r="AW163">
        <v>203.8</v>
      </c>
      <c r="AX163">
        <v>186.9</v>
      </c>
    </row>
    <row r="164" spans="1:50">
      <c r="A164" t="s">
        <v>108</v>
      </c>
      <c r="B164">
        <v>131</v>
      </c>
      <c r="C164">
        <v>510</v>
      </c>
      <c r="D164" t="s">
        <v>63</v>
      </c>
      <c r="E164" t="s">
        <v>63</v>
      </c>
      <c r="F164">
        <v>26</v>
      </c>
      <c r="G164">
        <v>292.9</v>
      </c>
      <c r="H164">
        <v>101</v>
      </c>
      <c r="I164">
        <v>49.79</v>
      </c>
      <c r="J164">
        <v>199.7</v>
      </c>
      <c r="K164">
        <v>97</v>
      </c>
      <c r="L164">
        <v>16.97</v>
      </c>
      <c r="M164">
        <v>255.3</v>
      </c>
      <c r="N164">
        <v>127</v>
      </c>
      <c r="O164">
        <v>11.49</v>
      </c>
      <c r="P164">
        <v>13.8</v>
      </c>
      <c r="Q164">
        <v>7</v>
      </c>
      <c r="R164">
        <v>3.73</v>
      </c>
      <c r="S164">
        <v>4</v>
      </c>
      <c r="T164" t="b">
        <v>1</v>
      </c>
      <c r="AK164">
        <v>149.3</v>
      </c>
      <c r="AV164">
        <v>62.8</v>
      </c>
      <c r="AW164">
        <v>248.8</v>
      </c>
      <c r="AX164">
        <v>234.8</v>
      </c>
    </row>
    <row r="165" spans="1:50">
      <c r="A165" t="s">
        <v>105</v>
      </c>
      <c r="B165">
        <v>63</v>
      </c>
      <c r="C165">
        <v>408</v>
      </c>
      <c r="D165" t="s">
        <v>62</v>
      </c>
      <c r="E165" t="s">
        <v>62</v>
      </c>
      <c r="F165">
        <v>0</v>
      </c>
      <c r="G165">
        <v>83</v>
      </c>
      <c r="H165">
        <v>64</v>
      </c>
      <c r="I165">
        <v>14.11</v>
      </c>
      <c r="J165">
        <v>177</v>
      </c>
      <c r="K165">
        <v>106</v>
      </c>
      <c r="L165">
        <v>15.05</v>
      </c>
      <c r="M165">
        <v>245.7</v>
      </c>
      <c r="N165">
        <v>89</v>
      </c>
      <c r="O165">
        <v>11.06</v>
      </c>
      <c r="P165">
        <v>13</v>
      </c>
      <c r="Q165">
        <v>3</v>
      </c>
      <c r="R165">
        <v>3.51</v>
      </c>
      <c r="S165">
        <v>0</v>
      </c>
      <c r="T165" t="b">
        <v>0</v>
      </c>
      <c r="AK165">
        <v>65.4</v>
      </c>
      <c r="AV165">
        <v>209.8</v>
      </c>
      <c r="AW165">
        <v>122.4</v>
      </c>
      <c r="AX165">
        <v>123.7</v>
      </c>
    </row>
    <row r="166" spans="1:50">
      <c r="A166" t="s">
        <v>102</v>
      </c>
      <c r="B166">
        <v>53</v>
      </c>
      <c r="C166">
        <v>415</v>
      </c>
      <c r="D166" t="s">
        <v>62</v>
      </c>
      <c r="E166" t="s">
        <v>63</v>
      </c>
      <c r="F166">
        <v>24</v>
      </c>
      <c r="G166">
        <v>145.7</v>
      </c>
      <c r="H166">
        <v>146</v>
      </c>
      <c r="I166">
        <v>24.77</v>
      </c>
      <c r="J166">
        <v>220.5</v>
      </c>
      <c r="K166">
        <v>136</v>
      </c>
      <c r="L166">
        <v>18.74</v>
      </c>
      <c r="M166">
        <v>249.9</v>
      </c>
      <c r="N166">
        <v>96</v>
      </c>
      <c r="O166">
        <v>11.25</v>
      </c>
      <c r="P166">
        <v>13.1</v>
      </c>
      <c r="Q166">
        <v>5</v>
      </c>
      <c r="R166">
        <v>3.54</v>
      </c>
      <c r="S166">
        <v>3</v>
      </c>
      <c r="T166" t="b">
        <v>0</v>
      </c>
      <c r="AK166">
        <v>206.9</v>
      </c>
      <c r="AV166">
        <v>265.6</v>
      </c>
      <c r="AW166">
        <v>104.9</v>
      </c>
      <c r="AX166">
        <v>173.9</v>
      </c>
    </row>
    <row r="167" spans="1:50">
      <c r="A167" t="s">
        <v>95</v>
      </c>
      <c r="B167">
        <v>62</v>
      </c>
      <c r="C167">
        <v>408</v>
      </c>
      <c r="D167" t="s">
        <v>62</v>
      </c>
      <c r="E167" t="s">
        <v>62</v>
      </c>
      <c r="F167">
        <v>0</v>
      </c>
      <c r="G167">
        <v>182.3</v>
      </c>
      <c r="H167">
        <v>101</v>
      </c>
      <c r="I167">
        <v>30.99</v>
      </c>
      <c r="J167">
        <v>328.2</v>
      </c>
      <c r="K167">
        <v>93</v>
      </c>
      <c r="L167">
        <v>27.9</v>
      </c>
      <c r="M167">
        <v>245</v>
      </c>
      <c r="N167">
        <v>131</v>
      </c>
      <c r="O167">
        <v>11.03</v>
      </c>
      <c r="P167">
        <v>11.2</v>
      </c>
      <c r="Q167">
        <v>1</v>
      </c>
      <c r="R167">
        <v>3.02</v>
      </c>
      <c r="S167">
        <v>2</v>
      </c>
      <c r="T167" t="b">
        <v>0</v>
      </c>
      <c r="AK167">
        <v>186.2</v>
      </c>
      <c r="AV167">
        <v>112.8</v>
      </c>
      <c r="AW167">
        <v>178.3</v>
      </c>
      <c r="AX167">
        <v>227.9</v>
      </c>
    </row>
    <row r="168" spans="1:50">
      <c r="A168" t="s">
        <v>91</v>
      </c>
      <c r="B168">
        <v>97</v>
      </c>
      <c r="C168">
        <v>415</v>
      </c>
      <c r="D168" t="s">
        <v>62</v>
      </c>
      <c r="E168" t="s">
        <v>62</v>
      </c>
      <c r="F168">
        <v>0</v>
      </c>
      <c r="G168">
        <v>218</v>
      </c>
      <c r="H168">
        <v>86</v>
      </c>
      <c r="I168">
        <v>37.06</v>
      </c>
      <c r="J168">
        <v>184</v>
      </c>
      <c r="K168">
        <v>94</v>
      </c>
      <c r="L168">
        <v>15.64</v>
      </c>
      <c r="M168">
        <v>240.5</v>
      </c>
      <c r="N168">
        <v>110</v>
      </c>
      <c r="O168">
        <v>10.82</v>
      </c>
      <c r="P168">
        <v>6.4</v>
      </c>
      <c r="Q168">
        <v>8</v>
      </c>
      <c r="R168">
        <v>1.73</v>
      </c>
      <c r="S168">
        <v>3</v>
      </c>
      <c r="T168" t="b">
        <v>0</v>
      </c>
      <c r="AK168">
        <v>280.2</v>
      </c>
      <c r="AV168">
        <v>187.3</v>
      </c>
      <c r="AW168">
        <v>155</v>
      </c>
      <c r="AX168">
        <v>95.5</v>
      </c>
    </row>
    <row r="169" spans="1:50">
      <c r="A169" t="s">
        <v>110</v>
      </c>
      <c r="B169">
        <v>105</v>
      </c>
      <c r="C169">
        <v>510</v>
      </c>
      <c r="D169" t="s">
        <v>62</v>
      </c>
      <c r="E169" t="s">
        <v>62</v>
      </c>
      <c r="F169">
        <v>0</v>
      </c>
      <c r="G169">
        <v>140.6</v>
      </c>
      <c r="H169">
        <v>109</v>
      </c>
      <c r="I169">
        <v>23.9</v>
      </c>
      <c r="J169">
        <v>178.6</v>
      </c>
      <c r="K169">
        <v>51</v>
      </c>
      <c r="L169">
        <v>15.18</v>
      </c>
      <c r="M169">
        <v>217</v>
      </c>
      <c r="N169">
        <v>83</v>
      </c>
      <c r="O169">
        <v>9.76</v>
      </c>
      <c r="P169">
        <v>6.8</v>
      </c>
      <c r="Q169">
        <v>3</v>
      </c>
      <c r="R169">
        <v>1.84</v>
      </c>
      <c r="S169">
        <v>2</v>
      </c>
      <c r="T169" t="b">
        <v>0</v>
      </c>
      <c r="AK169">
        <v>199</v>
      </c>
      <c r="AV169">
        <v>208.3</v>
      </c>
      <c r="AW169">
        <v>190.3</v>
      </c>
      <c r="AX169">
        <v>184</v>
      </c>
    </row>
    <row r="170" spans="1:50">
      <c r="A170" t="s">
        <v>101</v>
      </c>
      <c r="B170">
        <v>157</v>
      </c>
      <c r="C170">
        <v>415</v>
      </c>
      <c r="D170" t="s">
        <v>62</v>
      </c>
      <c r="E170" t="s">
        <v>62</v>
      </c>
      <c r="F170">
        <v>0</v>
      </c>
      <c r="G170">
        <v>152.7</v>
      </c>
      <c r="H170">
        <v>105</v>
      </c>
      <c r="I170">
        <v>25.96</v>
      </c>
      <c r="J170">
        <v>257.5</v>
      </c>
      <c r="K170">
        <v>80</v>
      </c>
      <c r="L170">
        <v>21.89</v>
      </c>
      <c r="M170">
        <v>198.1</v>
      </c>
      <c r="N170">
        <v>93</v>
      </c>
      <c r="O170">
        <v>8.91</v>
      </c>
      <c r="P170">
        <v>9.4</v>
      </c>
      <c r="Q170">
        <v>4</v>
      </c>
      <c r="R170">
        <v>2.54</v>
      </c>
      <c r="S170">
        <v>1</v>
      </c>
      <c r="T170" t="b">
        <v>0</v>
      </c>
      <c r="AK170">
        <v>203.1</v>
      </c>
      <c r="AV170">
        <v>202.3</v>
      </c>
      <c r="AW170">
        <v>117.3</v>
      </c>
      <c r="AX170">
        <v>149.4</v>
      </c>
    </row>
    <row r="171" spans="1:50">
      <c r="A171" t="s">
        <v>69</v>
      </c>
      <c r="B171">
        <v>66</v>
      </c>
      <c r="C171">
        <v>415</v>
      </c>
      <c r="D171" t="s">
        <v>62</v>
      </c>
      <c r="E171" t="s">
        <v>63</v>
      </c>
      <c r="F171">
        <v>36</v>
      </c>
      <c r="G171">
        <v>106.7</v>
      </c>
      <c r="H171">
        <v>76</v>
      </c>
      <c r="I171">
        <v>18.14</v>
      </c>
      <c r="J171">
        <v>209.8</v>
      </c>
      <c r="K171">
        <v>77</v>
      </c>
      <c r="L171">
        <v>17.83</v>
      </c>
      <c r="M171">
        <v>190.4</v>
      </c>
      <c r="N171">
        <v>117</v>
      </c>
      <c r="O171">
        <v>8.57</v>
      </c>
      <c r="P171">
        <v>12.1</v>
      </c>
      <c r="Q171">
        <v>2</v>
      </c>
      <c r="R171">
        <v>3.27</v>
      </c>
      <c r="S171">
        <v>1</v>
      </c>
      <c r="T171" t="b">
        <v>0</v>
      </c>
      <c r="AK171">
        <v>168.8</v>
      </c>
      <c r="AV171">
        <v>174.4</v>
      </c>
      <c r="AW171">
        <v>264.8</v>
      </c>
      <c r="AX171">
        <v>209.4</v>
      </c>
    </row>
    <row r="172" spans="1:50">
      <c r="A172" t="s">
        <v>94</v>
      </c>
      <c r="B172">
        <v>38</v>
      </c>
      <c r="C172">
        <v>415</v>
      </c>
      <c r="D172" t="s">
        <v>62</v>
      </c>
      <c r="E172" t="s">
        <v>62</v>
      </c>
      <c r="F172">
        <v>0</v>
      </c>
      <c r="G172">
        <v>194.4</v>
      </c>
      <c r="H172">
        <v>94</v>
      </c>
      <c r="I172">
        <v>33.05</v>
      </c>
      <c r="J172">
        <v>186.7</v>
      </c>
      <c r="K172">
        <v>95</v>
      </c>
      <c r="L172">
        <v>15.87</v>
      </c>
      <c r="M172">
        <v>223.3</v>
      </c>
      <c r="N172">
        <v>90</v>
      </c>
      <c r="O172">
        <v>10.05</v>
      </c>
      <c r="P172">
        <v>10.8</v>
      </c>
      <c r="Q172">
        <v>5</v>
      </c>
      <c r="R172">
        <v>2.92</v>
      </c>
      <c r="S172">
        <v>3</v>
      </c>
      <c r="T172" t="b">
        <v>0</v>
      </c>
      <c r="AK172">
        <v>173.1</v>
      </c>
      <c r="AV172">
        <v>167.7</v>
      </c>
      <c r="AW172">
        <v>190.6</v>
      </c>
      <c r="AX172">
        <v>169.3</v>
      </c>
    </row>
    <row r="173" spans="1:50">
      <c r="A173" t="s">
        <v>91</v>
      </c>
      <c r="B173">
        <v>106</v>
      </c>
      <c r="C173">
        <v>510</v>
      </c>
      <c r="D173" t="s">
        <v>62</v>
      </c>
      <c r="E173" t="s">
        <v>62</v>
      </c>
      <c r="F173">
        <v>0</v>
      </c>
      <c r="G173">
        <v>213.9</v>
      </c>
      <c r="H173">
        <v>95</v>
      </c>
      <c r="I173">
        <v>36.36</v>
      </c>
      <c r="J173">
        <v>151.9</v>
      </c>
      <c r="K173">
        <v>70</v>
      </c>
      <c r="L173">
        <v>12.91</v>
      </c>
      <c r="M173">
        <v>260.1</v>
      </c>
      <c r="N173">
        <v>124</v>
      </c>
      <c r="O173">
        <v>11.7</v>
      </c>
      <c r="P173">
        <v>12.2</v>
      </c>
      <c r="Q173">
        <v>5</v>
      </c>
      <c r="R173">
        <v>3.29</v>
      </c>
      <c r="S173">
        <v>3</v>
      </c>
      <c r="T173" t="b">
        <v>0</v>
      </c>
      <c r="AK173">
        <v>202.6</v>
      </c>
      <c r="AV173">
        <v>99.3</v>
      </c>
      <c r="AW173">
        <v>184</v>
      </c>
      <c r="AX173">
        <v>198.8</v>
      </c>
    </row>
    <row r="174" spans="1:50">
      <c r="A174" t="s">
        <v>73</v>
      </c>
      <c r="B174">
        <v>99</v>
      </c>
      <c r="C174">
        <v>510</v>
      </c>
      <c r="D174" t="s">
        <v>62</v>
      </c>
      <c r="E174" t="s">
        <v>62</v>
      </c>
      <c r="F174">
        <v>0</v>
      </c>
      <c r="G174">
        <v>217.2</v>
      </c>
      <c r="H174">
        <v>112</v>
      </c>
      <c r="I174">
        <v>36.92</v>
      </c>
      <c r="J174">
        <v>246.7</v>
      </c>
      <c r="K174">
        <v>89</v>
      </c>
      <c r="L174">
        <v>20.97</v>
      </c>
      <c r="M174">
        <v>226.1</v>
      </c>
      <c r="N174">
        <v>89</v>
      </c>
      <c r="O174">
        <v>10.17</v>
      </c>
      <c r="P174">
        <v>15.8</v>
      </c>
      <c r="Q174">
        <v>7</v>
      </c>
      <c r="R174">
        <v>4.27</v>
      </c>
      <c r="S174">
        <v>3</v>
      </c>
      <c r="T174" t="b">
        <v>0</v>
      </c>
      <c r="AK174">
        <v>74.5</v>
      </c>
      <c r="AV174">
        <v>224.7</v>
      </c>
      <c r="AW174">
        <v>261.8</v>
      </c>
      <c r="AX174">
        <v>72.7</v>
      </c>
    </row>
    <row r="175" spans="1:50">
      <c r="A175" t="s">
        <v>83</v>
      </c>
      <c r="B175">
        <v>144</v>
      </c>
      <c r="C175">
        <v>510</v>
      </c>
      <c r="D175" t="s">
        <v>63</v>
      </c>
      <c r="E175" t="s">
        <v>62</v>
      </c>
      <c r="F175">
        <v>0</v>
      </c>
      <c r="G175">
        <v>203.5</v>
      </c>
      <c r="H175">
        <v>100</v>
      </c>
      <c r="I175">
        <v>34.6</v>
      </c>
      <c r="J175">
        <v>247.6</v>
      </c>
      <c r="K175">
        <v>103</v>
      </c>
      <c r="L175">
        <v>21.05</v>
      </c>
      <c r="M175">
        <v>194.3</v>
      </c>
      <c r="N175">
        <v>94</v>
      </c>
      <c r="O175">
        <v>8.74</v>
      </c>
      <c r="P175">
        <v>11.9</v>
      </c>
      <c r="Q175">
        <v>11</v>
      </c>
      <c r="R175">
        <v>3.21</v>
      </c>
      <c r="S175">
        <v>0</v>
      </c>
      <c r="T175" t="b">
        <v>0</v>
      </c>
      <c r="AK175">
        <v>192.2</v>
      </c>
      <c r="AV175">
        <v>176.6</v>
      </c>
      <c r="AW175">
        <v>193.5</v>
      </c>
      <c r="AX175">
        <v>127.2</v>
      </c>
    </row>
    <row r="176" spans="1:50">
      <c r="A176" t="s">
        <v>113</v>
      </c>
      <c r="B176">
        <v>82</v>
      </c>
      <c r="C176">
        <v>415</v>
      </c>
      <c r="D176" t="s">
        <v>62</v>
      </c>
      <c r="E176" t="s">
        <v>63</v>
      </c>
      <c r="F176">
        <v>24</v>
      </c>
      <c r="G176">
        <v>155.2</v>
      </c>
      <c r="H176">
        <v>131</v>
      </c>
      <c r="I176">
        <v>26.38</v>
      </c>
      <c r="J176">
        <v>244.5</v>
      </c>
      <c r="K176">
        <v>106</v>
      </c>
      <c r="L176">
        <v>20.78</v>
      </c>
      <c r="M176">
        <v>122.4</v>
      </c>
      <c r="N176">
        <v>68</v>
      </c>
      <c r="O176">
        <v>5.51</v>
      </c>
      <c r="P176">
        <v>10.7</v>
      </c>
      <c r="Q176">
        <v>3</v>
      </c>
      <c r="R176">
        <v>2.89</v>
      </c>
      <c r="S176">
        <v>1</v>
      </c>
      <c r="T176" t="b">
        <v>0</v>
      </c>
      <c r="AK176">
        <v>220.2</v>
      </c>
      <c r="AW176">
        <v>178.2</v>
      </c>
      <c r="AX176">
        <v>201.8</v>
      </c>
    </row>
    <row r="177" spans="1:49">
      <c r="A177" t="s">
        <v>83</v>
      </c>
      <c r="B177">
        <v>86</v>
      </c>
      <c r="C177">
        <v>408</v>
      </c>
      <c r="D177" t="s">
        <v>62</v>
      </c>
      <c r="E177" t="s">
        <v>63</v>
      </c>
      <c r="F177">
        <v>31</v>
      </c>
      <c r="G177">
        <v>167.6</v>
      </c>
      <c r="H177">
        <v>139</v>
      </c>
      <c r="I177">
        <v>28.49</v>
      </c>
      <c r="J177">
        <v>113</v>
      </c>
      <c r="K177">
        <v>118</v>
      </c>
      <c r="L177">
        <v>9.61</v>
      </c>
      <c r="M177">
        <v>246.9</v>
      </c>
      <c r="N177">
        <v>121</v>
      </c>
      <c r="O177">
        <v>11.11</v>
      </c>
      <c r="P177">
        <v>12.2</v>
      </c>
      <c r="Q177">
        <v>6</v>
      </c>
      <c r="R177">
        <v>3.29</v>
      </c>
      <c r="S177">
        <v>1</v>
      </c>
      <c r="T177" t="b">
        <v>0</v>
      </c>
      <c r="AK177">
        <v>253.4</v>
      </c>
      <c r="AW177">
        <v>170.4</v>
      </c>
    </row>
    <row r="178" spans="1:49">
      <c r="A178" t="s">
        <v>81</v>
      </c>
      <c r="B178">
        <v>70</v>
      </c>
      <c r="C178">
        <v>510</v>
      </c>
      <c r="D178" t="s">
        <v>63</v>
      </c>
      <c r="E178" t="s">
        <v>62</v>
      </c>
      <c r="F178">
        <v>0</v>
      </c>
      <c r="G178">
        <v>226.7</v>
      </c>
      <c r="H178">
        <v>98</v>
      </c>
      <c r="I178">
        <v>38.54</v>
      </c>
      <c r="J178">
        <v>228.1</v>
      </c>
      <c r="K178">
        <v>115</v>
      </c>
      <c r="L178">
        <v>19.39</v>
      </c>
      <c r="M178">
        <v>73.2</v>
      </c>
      <c r="N178">
        <v>93</v>
      </c>
      <c r="O178">
        <v>3.29</v>
      </c>
      <c r="P178">
        <v>17.6</v>
      </c>
      <c r="Q178">
        <v>4</v>
      </c>
      <c r="R178">
        <v>4.75</v>
      </c>
      <c r="S178">
        <v>2</v>
      </c>
      <c r="T178" t="b">
        <v>1</v>
      </c>
      <c r="AK178">
        <v>225</v>
      </c>
      <c r="AW178">
        <v>240.3</v>
      </c>
    </row>
    <row r="179" spans="1:49">
      <c r="A179" t="s">
        <v>88</v>
      </c>
      <c r="B179">
        <v>93</v>
      </c>
      <c r="C179">
        <v>415</v>
      </c>
      <c r="D179" t="s">
        <v>62</v>
      </c>
      <c r="E179" t="s">
        <v>62</v>
      </c>
      <c r="F179">
        <v>0</v>
      </c>
      <c r="G179">
        <v>179.3</v>
      </c>
      <c r="H179">
        <v>93</v>
      </c>
      <c r="I179">
        <v>30.48</v>
      </c>
      <c r="J179">
        <v>178.6</v>
      </c>
      <c r="K179">
        <v>98</v>
      </c>
      <c r="L179">
        <v>15.18</v>
      </c>
      <c r="M179">
        <v>225.2</v>
      </c>
      <c r="N179">
        <v>131</v>
      </c>
      <c r="O179">
        <v>10.13</v>
      </c>
      <c r="P179">
        <v>11.5</v>
      </c>
      <c r="Q179">
        <v>6</v>
      </c>
      <c r="R179">
        <v>3.11</v>
      </c>
      <c r="S179">
        <v>3</v>
      </c>
      <c r="T179" t="b">
        <v>0</v>
      </c>
      <c r="AK179">
        <v>110.3</v>
      </c>
      <c r="AW179">
        <v>155.7</v>
      </c>
    </row>
    <row r="180" spans="1:49">
      <c r="A180" t="s">
        <v>81</v>
      </c>
      <c r="B180">
        <v>93</v>
      </c>
      <c r="C180">
        <v>415</v>
      </c>
      <c r="D180" t="s">
        <v>62</v>
      </c>
      <c r="E180" t="s">
        <v>62</v>
      </c>
      <c r="F180">
        <v>0</v>
      </c>
      <c r="G180">
        <v>151.4</v>
      </c>
      <c r="H180">
        <v>89</v>
      </c>
      <c r="I180">
        <v>25.74</v>
      </c>
      <c r="J180">
        <v>186.4</v>
      </c>
      <c r="K180">
        <v>76</v>
      </c>
      <c r="L180">
        <v>15.84</v>
      </c>
      <c r="M180">
        <v>172.5</v>
      </c>
      <c r="N180">
        <v>120</v>
      </c>
      <c r="O180">
        <v>7.76</v>
      </c>
      <c r="P180">
        <v>10.9</v>
      </c>
      <c r="Q180">
        <v>3</v>
      </c>
      <c r="R180">
        <v>2.94</v>
      </c>
      <c r="S180">
        <v>0</v>
      </c>
      <c r="T180" t="b">
        <v>0</v>
      </c>
      <c r="AK180">
        <v>60</v>
      </c>
      <c r="AW180">
        <v>149.4</v>
      </c>
    </row>
    <row r="181" spans="1:49">
      <c r="A181" t="s">
        <v>81</v>
      </c>
      <c r="B181">
        <v>120</v>
      </c>
      <c r="C181">
        <v>415</v>
      </c>
      <c r="D181" t="s">
        <v>62</v>
      </c>
      <c r="E181" t="s">
        <v>62</v>
      </c>
      <c r="F181">
        <v>0</v>
      </c>
      <c r="G181">
        <v>180</v>
      </c>
      <c r="H181">
        <v>80</v>
      </c>
      <c r="I181">
        <v>30.6</v>
      </c>
      <c r="J181">
        <v>224.2</v>
      </c>
      <c r="K181">
        <v>82</v>
      </c>
      <c r="L181">
        <v>19.06</v>
      </c>
      <c r="M181">
        <v>265.4</v>
      </c>
      <c r="N181">
        <v>91</v>
      </c>
      <c r="O181">
        <v>11.94</v>
      </c>
      <c r="P181">
        <v>4.7</v>
      </c>
      <c r="Q181">
        <v>7</v>
      </c>
      <c r="R181">
        <v>1.27</v>
      </c>
      <c r="S181">
        <v>3</v>
      </c>
      <c r="T181" t="b">
        <v>0</v>
      </c>
      <c r="AK181">
        <v>214.8</v>
      </c>
      <c r="AW181">
        <v>204.2</v>
      </c>
    </row>
    <row r="182" spans="1:49">
      <c r="A182" t="s">
        <v>91</v>
      </c>
      <c r="B182">
        <v>136</v>
      </c>
      <c r="C182">
        <v>415</v>
      </c>
      <c r="D182" t="s">
        <v>62</v>
      </c>
      <c r="E182" t="s">
        <v>62</v>
      </c>
      <c r="F182">
        <v>0</v>
      </c>
      <c r="G182">
        <v>250.2</v>
      </c>
      <c r="H182">
        <v>121</v>
      </c>
      <c r="I182">
        <v>42.53</v>
      </c>
      <c r="J182">
        <v>267.1</v>
      </c>
      <c r="K182">
        <v>118</v>
      </c>
      <c r="L182">
        <v>22.7</v>
      </c>
      <c r="M182">
        <v>151</v>
      </c>
      <c r="N182">
        <v>114</v>
      </c>
      <c r="O182">
        <v>6.8</v>
      </c>
      <c r="P182">
        <v>13</v>
      </c>
      <c r="Q182">
        <v>2</v>
      </c>
      <c r="R182">
        <v>3.51</v>
      </c>
      <c r="S182">
        <v>1</v>
      </c>
      <c r="T182" t="b">
        <v>1</v>
      </c>
      <c r="AK182">
        <v>207.9</v>
      </c>
      <c r="AW182">
        <v>150.4</v>
      </c>
    </row>
    <row r="183" spans="1:49">
      <c r="A183" t="s">
        <v>67</v>
      </c>
      <c r="B183">
        <v>106</v>
      </c>
      <c r="C183">
        <v>415</v>
      </c>
      <c r="D183" t="s">
        <v>62</v>
      </c>
      <c r="E183" t="s">
        <v>62</v>
      </c>
      <c r="F183">
        <v>0</v>
      </c>
      <c r="G183">
        <v>223</v>
      </c>
      <c r="H183">
        <v>121</v>
      </c>
      <c r="I183">
        <v>37.91</v>
      </c>
      <c r="J183">
        <v>110.1</v>
      </c>
      <c r="K183">
        <v>98</v>
      </c>
      <c r="L183">
        <v>9.36</v>
      </c>
      <c r="M183">
        <v>188.7</v>
      </c>
      <c r="N183">
        <v>107</v>
      </c>
      <c r="O183">
        <v>8.49</v>
      </c>
      <c r="P183">
        <v>7.1</v>
      </c>
      <c r="Q183">
        <v>12</v>
      </c>
      <c r="R183">
        <v>1.92</v>
      </c>
      <c r="S183">
        <v>0</v>
      </c>
      <c r="T183" t="b">
        <v>0</v>
      </c>
      <c r="AK183">
        <v>207</v>
      </c>
      <c r="AW183">
        <v>130.7</v>
      </c>
    </row>
    <row r="184" spans="1:49">
      <c r="A184" t="s">
        <v>101</v>
      </c>
      <c r="B184">
        <v>81</v>
      </c>
      <c r="C184">
        <v>415</v>
      </c>
      <c r="D184" t="s">
        <v>62</v>
      </c>
      <c r="E184" t="s">
        <v>62</v>
      </c>
      <c r="F184">
        <v>0</v>
      </c>
      <c r="G184">
        <v>183.6</v>
      </c>
      <c r="H184">
        <v>116</v>
      </c>
      <c r="I184">
        <v>31.21</v>
      </c>
      <c r="J184">
        <v>152.6</v>
      </c>
      <c r="K184">
        <v>98</v>
      </c>
      <c r="L184">
        <v>12.97</v>
      </c>
      <c r="M184">
        <v>212.2</v>
      </c>
      <c r="N184">
        <v>99</v>
      </c>
      <c r="O184">
        <v>9.55</v>
      </c>
      <c r="P184">
        <v>12.2</v>
      </c>
      <c r="Q184">
        <v>6</v>
      </c>
      <c r="R184">
        <v>3.29</v>
      </c>
      <c r="S184">
        <v>3</v>
      </c>
      <c r="T184" t="b">
        <v>0</v>
      </c>
      <c r="AK184">
        <v>143.7</v>
      </c>
      <c r="AW184">
        <v>156.1</v>
      </c>
    </row>
    <row r="185" spans="1:49">
      <c r="A185" t="s">
        <v>112</v>
      </c>
      <c r="B185">
        <v>127</v>
      </c>
      <c r="C185">
        <v>408</v>
      </c>
      <c r="D185" t="s">
        <v>62</v>
      </c>
      <c r="E185" t="s">
        <v>63</v>
      </c>
      <c r="F185">
        <v>22</v>
      </c>
      <c r="G185">
        <v>166</v>
      </c>
      <c r="H185">
        <v>114</v>
      </c>
      <c r="I185">
        <v>28.22</v>
      </c>
      <c r="J185">
        <v>174.5</v>
      </c>
      <c r="K185">
        <v>103</v>
      </c>
      <c r="L185">
        <v>14.83</v>
      </c>
      <c r="M185">
        <v>244.9</v>
      </c>
      <c r="N185">
        <v>68</v>
      </c>
      <c r="O185">
        <v>11.02</v>
      </c>
      <c r="P185">
        <v>10.2</v>
      </c>
      <c r="Q185">
        <v>6</v>
      </c>
      <c r="R185">
        <v>2.75</v>
      </c>
      <c r="S185">
        <v>1</v>
      </c>
      <c r="T185" t="b">
        <v>0</v>
      </c>
      <c r="AK185">
        <v>138.6</v>
      </c>
      <c r="AW185">
        <v>178.7</v>
      </c>
    </row>
    <row r="186" spans="1:49">
      <c r="A186" t="s">
        <v>108</v>
      </c>
      <c r="B186">
        <v>35</v>
      </c>
      <c r="C186">
        <v>408</v>
      </c>
      <c r="D186" t="s">
        <v>62</v>
      </c>
      <c r="E186" t="s">
        <v>62</v>
      </c>
      <c r="F186">
        <v>0</v>
      </c>
      <c r="G186">
        <v>149.3</v>
      </c>
      <c r="H186">
        <v>113</v>
      </c>
      <c r="I186">
        <v>25.38</v>
      </c>
      <c r="J186">
        <v>242.2</v>
      </c>
      <c r="K186">
        <v>122</v>
      </c>
      <c r="L186">
        <v>20.59</v>
      </c>
      <c r="M186">
        <v>174.3</v>
      </c>
      <c r="N186">
        <v>104</v>
      </c>
      <c r="O186">
        <v>7.84</v>
      </c>
      <c r="P186">
        <v>8.9</v>
      </c>
      <c r="Q186">
        <v>6</v>
      </c>
      <c r="R186">
        <v>2.4</v>
      </c>
      <c r="S186">
        <v>2</v>
      </c>
      <c r="T186" t="b">
        <v>0</v>
      </c>
      <c r="AK186">
        <v>84.7</v>
      </c>
      <c r="AW186">
        <v>177.5</v>
      </c>
    </row>
    <row r="187" spans="1:49">
      <c r="A187" t="s">
        <v>66</v>
      </c>
      <c r="B187">
        <v>88</v>
      </c>
      <c r="C187">
        <v>408</v>
      </c>
      <c r="D187" t="s">
        <v>62</v>
      </c>
      <c r="E187" t="s">
        <v>62</v>
      </c>
      <c r="F187">
        <v>0</v>
      </c>
      <c r="G187">
        <v>65.4</v>
      </c>
      <c r="H187">
        <v>97</v>
      </c>
      <c r="I187">
        <v>11.12</v>
      </c>
      <c r="J187">
        <v>168.2</v>
      </c>
      <c r="K187">
        <v>76</v>
      </c>
      <c r="L187">
        <v>14.3</v>
      </c>
      <c r="M187">
        <v>236</v>
      </c>
      <c r="N187">
        <v>113</v>
      </c>
      <c r="O187">
        <v>10.62</v>
      </c>
      <c r="P187">
        <v>13.8</v>
      </c>
      <c r="Q187">
        <v>1</v>
      </c>
      <c r="R187">
        <v>3.73</v>
      </c>
      <c r="S187">
        <v>2</v>
      </c>
      <c r="T187" t="b">
        <v>0</v>
      </c>
      <c r="AK187">
        <v>155.2</v>
      </c>
      <c r="AW187">
        <v>175.2</v>
      </c>
    </row>
    <row r="188" spans="1:49">
      <c r="A188" t="s">
        <v>69</v>
      </c>
      <c r="B188">
        <v>123</v>
      </c>
      <c r="C188">
        <v>415</v>
      </c>
      <c r="D188" t="s">
        <v>62</v>
      </c>
      <c r="E188" t="s">
        <v>62</v>
      </c>
      <c r="F188">
        <v>0</v>
      </c>
      <c r="G188">
        <v>206.9</v>
      </c>
      <c r="H188">
        <v>85</v>
      </c>
      <c r="I188">
        <v>35.17</v>
      </c>
      <c r="J188">
        <v>244.7</v>
      </c>
      <c r="K188">
        <v>78</v>
      </c>
      <c r="L188">
        <v>20.8</v>
      </c>
      <c r="M188">
        <v>221.5</v>
      </c>
      <c r="N188">
        <v>136</v>
      </c>
      <c r="O188">
        <v>9.97</v>
      </c>
      <c r="P188">
        <v>7.7</v>
      </c>
      <c r="Q188">
        <v>2</v>
      </c>
      <c r="R188">
        <v>2.08</v>
      </c>
      <c r="S188">
        <v>3</v>
      </c>
      <c r="T188" t="b">
        <v>0</v>
      </c>
      <c r="AK188">
        <v>164.9</v>
      </c>
      <c r="AW188">
        <v>251.4</v>
      </c>
    </row>
    <row r="189" spans="1:49">
      <c r="A189" t="s">
        <v>75</v>
      </c>
      <c r="B189">
        <v>126</v>
      </c>
      <c r="C189">
        <v>408</v>
      </c>
      <c r="D189" t="s">
        <v>62</v>
      </c>
      <c r="E189" t="s">
        <v>63</v>
      </c>
      <c r="F189">
        <v>27</v>
      </c>
      <c r="G189">
        <v>186.2</v>
      </c>
      <c r="H189">
        <v>78</v>
      </c>
      <c r="I189">
        <v>31.65</v>
      </c>
      <c r="J189">
        <v>189.6</v>
      </c>
      <c r="K189">
        <v>83</v>
      </c>
      <c r="L189">
        <v>16.12</v>
      </c>
      <c r="M189">
        <v>76.5</v>
      </c>
      <c r="N189">
        <v>139</v>
      </c>
      <c r="O189">
        <v>3.44</v>
      </c>
      <c r="P189">
        <v>9.6</v>
      </c>
      <c r="Q189">
        <v>3</v>
      </c>
      <c r="R189">
        <v>2.59</v>
      </c>
      <c r="S189">
        <v>2</v>
      </c>
      <c r="T189" t="b">
        <v>0</v>
      </c>
      <c r="AK189">
        <v>134.5</v>
      </c>
      <c r="AW189">
        <v>216.9</v>
      </c>
    </row>
    <row r="190" spans="1:49">
      <c r="A190" t="s">
        <v>79</v>
      </c>
      <c r="B190">
        <v>104</v>
      </c>
      <c r="C190">
        <v>415</v>
      </c>
      <c r="D190" t="s">
        <v>62</v>
      </c>
      <c r="E190" t="s">
        <v>63</v>
      </c>
      <c r="F190">
        <v>23</v>
      </c>
      <c r="G190">
        <v>280.2</v>
      </c>
      <c r="H190">
        <v>136</v>
      </c>
      <c r="I190">
        <v>47.63</v>
      </c>
      <c r="J190">
        <v>220.5</v>
      </c>
      <c r="K190">
        <v>92</v>
      </c>
      <c r="L190">
        <v>18.74</v>
      </c>
      <c r="M190">
        <v>136.9</v>
      </c>
      <c r="N190">
        <v>102</v>
      </c>
      <c r="O190">
        <v>6.16</v>
      </c>
      <c r="P190">
        <v>13.3</v>
      </c>
      <c r="Q190">
        <v>3</v>
      </c>
      <c r="R190">
        <v>3.59</v>
      </c>
      <c r="S190">
        <v>4</v>
      </c>
      <c r="T190" t="b">
        <v>0</v>
      </c>
      <c r="AK190">
        <v>143.3</v>
      </c>
      <c r="AW190">
        <v>217.2</v>
      </c>
    </row>
    <row r="191" spans="1:49">
      <c r="A191" t="s">
        <v>91</v>
      </c>
      <c r="B191">
        <v>93</v>
      </c>
      <c r="C191">
        <v>408</v>
      </c>
      <c r="D191" t="s">
        <v>63</v>
      </c>
      <c r="E191" t="s">
        <v>62</v>
      </c>
      <c r="F191">
        <v>0</v>
      </c>
      <c r="G191">
        <v>312</v>
      </c>
      <c r="H191">
        <v>109</v>
      </c>
      <c r="I191">
        <v>53.04</v>
      </c>
      <c r="J191">
        <v>129.4</v>
      </c>
      <c r="K191">
        <v>100</v>
      </c>
      <c r="L191">
        <v>11</v>
      </c>
      <c r="M191">
        <v>217.6</v>
      </c>
      <c r="N191">
        <v>74</v>
      </c>
      <c r="O191">
        <v>9.79</v>
      </c>
      <c r="P191">
        <v>10.5</v>
      </c>
      <c r="Q191">
        <v>2</v>
      </c>
      <c r="R191">
        <v>2.84</v>
      </c>
      <c r="S191">
        <v>0</v>
      </c>
      <c r="T191" t="b">
        <v>1</v>
      </c>
      <c r="AK191">
        <v>206.2</v>
      </c>
      <c r="AW191">
        <v>159.3</v>
      </c>
    </row>
    <row r="192" spans="1:49">
      <c r="A192" t="s">
        <v>64</v>
      </c>
      <c r="B192">
        <v>63</v>
      </c>
      <c r="C192">
        <v>415</v>
      </c>
      <c r="D192" t="s">
        <v>63</v>
      </c>
      <c r="E192" t="s">
        <v>63</v>
      </c>
      <c r="F192">
        <v>36</v>
      </c>
      <c r="G192">
        <v>199</v>
      </c>
      <c r="H192">
        <v>110</v>
      </c>
      <c r="I192">
        <v>33.83</v>
      </c>
      <c r="J192">
        <v>291.3</v>
      </c>
      <c r="K192">
        <v>111</v>
      </c>
      <c r="L192">
        <v>24.76</v>
      </c>
      <c r="M192">
        <v>197.6</v>
      </c>
      <c r="N192">
        <v>92</v>
      </c>
      <c r="O192">
        <v>8.89</v>
      </c>
      <c r="P192">
        <v>11</v>
      </c>
      <c r="Q192">
        <v>6</v>
      </c>
      <c r="R192">
        <v>2.97</v>
      </c>
      <c r="S192">
        <v>1</v>
      </c>
      <c r="T192" t="b">
        <v>0</v>
      </c>
      <c r="AK192">
        <v>225.8</v>
      </c>
      <c r="AW192">
        <v>143.1</v>
      </c>
    </row>
    <row r="193" spans="1:49">
      <c r="A193" t="s">
        <v>66</v>
      </c>
      <c r="B193">
        <v>100</v>
      </c>
      <c r="C193">
        <v>415</v>
      </c>
      <c r="D193" t="s">
        <v>62</v>
      </c>
      <c r="E193" t="s">
        <v>62</v>
      </c>
      <c r="F193">
        <v>0</v>
      </c>
      <c r="G193">
        <v>203.1</v>
      </c>
      <c r="H193">
        <v>96</v>
      </c>
      <c r="I193">
        <v>34.53</v>
      </c>
      <c r="J193">
        <v>217</v>
      </c>
      <c r="K193">
        <v>126</v>
      </c>
      <c r="L193">
        <v>18.45</v>
      </c>
      <c r="M193">
        <v>180.9</v>
      </c>
      <c r="N193">
        <v>122</v>
      </c>
      <c r="O193">
        <v>8.14</v>
      </c>
      <c r="P193">
        <v>13.5</v>
      </c>
      <c r="Q193">
        <v>2</v>
      </c>
      <c r="R193">
        <v>3.65</v>
      </c>
      <c r="S193">
        <v>3</v>
      </c>
      <c r="T193" t="b">
        <v>0</v>
      </c>
      <c r="AK193">
        <v>138.3</v>
      </c>
      <c r="AW193">
        <v>170.8</v>
      </c>
    </row>
    <row r="194" spans="1:49">
      <c r="A194" t="s">
        <v>104</v>
      </c>
      <c r="B194">
        <v>53</v>
      </c>
      <c r="C194">
        <v>415</v>
      </c>
      <c r="D194" t="s">
        <v>62</v>
      </c>
      <c r="E194" t="s">
        <v>62</v>
      </c>
      <c r="F194">
        <v>0</v>
      </c>
      <c r="G194">
        <v>168.8</v>
      </c>
      <c r="H194">
        <v>97</v>
      </c>
      <c r="I194">
        <v>28.7</v>
      </c>
      <c r="J194">
        <v>220.3</v>
      </c>
      <c r="K194">
        <v>87</v>
      </c>
      <c r="L194">
        <v>18.73</v>
      </c>
      <c r="M194">
        <v>154.3</v>
      </c>
      <c r="N194">
        <v>113</v>
      </c>
      <c r="O194">
        <v>6.94</v>
      </c>
      <c r="P194">
        <v>10.9</v>
      </c>
      <c r="Q194">
        <v>2</v>
      </c>
      <c r="R194">
        <v>2.94</v>
      </c>
      <c r="S194">
        <v>0</v>
      </c>
      <c r="T194" t="b">
        <v>0</v>
      </c>
      <c r="AK194">
        <v>160</v>
      </c>
      <c r="AW194">
        <v>198.3</v>
      </c>
    </row>
    <row r="195" spans="1:49">
      <c r="A195" t="s">
        <v>77</v>
      </c>
      <c r="B195">
        <v>92</v>
      </c>
      <c r="C195">
        <v>415</v>
      </c>
      <c r="D195" t="s">
        <v>63</v>
      </c>
      <c r="E195" t="s">
        <v>62</v>
      </c>
      <c r="F195">
        <v>0</v>
      </c>
      <c r="G195">
        <v>173.1</v>
      </c>
      <c r="H195">
        <v>140</v>
      </c>
      <c r="I195">
        <v>29.43</v>
      </c>
      <c r="J195">
        <v>240.3</v>
      </c>
      <c r="K195">
        <v>105</v>
      </c>
      <c r="L195">
        <v>20.43</v>
      </c>
      <c r="M195">
        <v>233.2</v>
      </c>
      <c r="N195">
        <v>117</v>
      </c>
      <c r="O195">
        <v>10.49</v>
      </c>
      <c r="P195">
        <v>9</v>
      </c>
      <c r="Q195">
        <v>5</v>
      </c>
      <c r="R195">
        <v>2.43</v>
      </c>
      <c r="S195">
        <v>1</v>
      </c>
      <c r="T195" t="b">
        <v>0</v>
      </c>
      <c r="AK195">
        <v>206.6</v>
      </c>
      <c r="AW195">
        <v>217.4</v>
      </c>
    </row>
    <row r="196" spans="1:49">
      <c r="A196" t="s">
        <v>99</v>
      </c>
      <c r="B196">
        <v>110</v>
      </c>
      <c r="C196">
        <v>408</v>
      </c>
      <c r="D196" t="s">
        <v>62</v>
      </c>
      <c r="E196" t="s">
        <v>63</v>
      </c>
      <c r="F196">
        <v>40</v>
      </c>
      <c r="G196">
        <v>202.6</v>
      </c>
      <c r="H196">
        <v>103</v>
      </c>
      <c r="I196">
        <v>34.44</v>
      </c>
      <c r="J196">
        <v>118.8</v>
      </c>
      <c r="K196">
        <v>128</v>
      </c>
      <c r="L196">
        <v>10.1</v>
      </c>
      <c r="M196">
        <v>234.9</v>
      </c>
      <c r="N196">
        <v>98</v>
      </c>
      <c r="O196">
        <v>10.57</v>
      </c>
      <c r="P196">
        <v>9</v>
      </c>
      <c r="Q196">
        <v>9</v>
      </c>
      <c r="R196">
        <v>2.43</v>
      </c>
      <c r="S196">
        <v>2</v>
      </c>
      <c r="T196" t="b">
        <v>0</v>
      </c>
      <c r="AK196">
        <v>134.7</v>
      </c>
      <c r="AW196">
        <v>168.2</v>
      </c>
    </row>
    <row r="197" spans="1:49">
      <c r="A197" t="s">
        <v>86</v>
      </c>
      <c r="B197">
        <v>110</v>
      </c>
      <c r="C197">
        <v>408</v>
      </c>
      <c r="D197" t="s">
        <v>62</v>
      </c>
      <c r="E197" t="s">
        <v>62</v>
      </c>
      <c r="F197">
        <v>0</v>
      </c>
      <c r="G197">
        <v>74.5</v>
      </c>
      <c r="H197">
        <v>117</v>
      </c>
      <c r="I197">
        <v>12.67</v>
      </c>
      <c r="J197">
        <v>200.8</v>
      </c>
      <c r="K197">
        <v>98</v>
      </c>
      <c r="L197">
        <v>17.07</v>
      </c>
      <c r="M197">
        <v>192.2</v>
      </c>
      <c r="N197">
        <v>101</v>
      </c>
      <c r="O197">
        <v>8.65</v>
      </c>
      <c r="P197">
        <v>9.8</v>
      </c>
      <c r="Q197">
        <v>7</v>
      </c>
      <c r="R197">
        <v>2.65</v>
      </c>
      <c r="S197">
        <v>3</v>
      </c>
      <c r="T197" t="b">
        <v>0</v>
      </c>
      <c r="AK197">
        <v>214.4</v>
      </c>
      <c r="AW197">
        <v>261.4</v>
      </c>
    </row>
    <row r="198" spans="1:49">
      <c r="A198" t="s">
        <v>67</v>
      </c>
      <c r="B198">
        <v>73</v>
      </c>
      <c r="C198">
        <v>415</v>
      </c>
      <c r="D198" t="s">
        <v>62</v>
      </c>
      <c r="E198" t="s">
        <v>62</v>
      </c>
      <c r="F198">
        <v>0</v>
      </c>
      <c r="G198">
        <v>192.2</v>
      </c>
      <c r="H198">
        <v>86</v>
      </c>
      <c r="I198">
        <v>32.67</v>
      </c>
      <c r="J198">
        <v>168.6</v>
      </c>
      <c r="K198">
        <v>116</v>
      </c>
      <c r="L198">
        <v>14.33</v>
      </c>
      <c r="M198">
        <v>139.8</v>
      </c>
      <c r="N198">
        <v>87</v>
      </c>
      <c r="O198">
        <v>6.29</v>
      </c>
      <c r="P198">
        <v>9.4</v>
      </c>
      <c r="Q198">
        <v>6</v>
      </c>
      <c r="R198">
        <v>2.54</v>
      </c>
      <c r="S198">
        <v>1</v>
      </c>
      <c r="T198" t="b">
        <v>0</v>
      </c>
      <c r="AK198">
        <v>192.8</v>
      </c>
      <c r="AW198">
        <v>124.8</v>
      </c>
    </row>
    <row r="199" spans="1:49">
      <c r="A199" t="s">
        <v>65</v>
      </c>
      <c r="B199">
        <v>138</v>
      </c>
      <c r="C199">
        <v>510</v>
      </c>
      <c r="D199" t="s">
        <v>62</v>
      </c>
      <c r="E199" t="s">
        <v>62</v>
      </c>
      <c r="F199">
        <v>0</v>
      </c>
      <c r="G199">
        <v>220.2</v>
      </c>
      <c r="H199">
        <v>89</v>
      </c>
      <c r="I199">
        <v>37.43</v>
      </c>
      <c r="J199">
        <v>88.3</v>
      </c>
      <c r="K199">
        <v>125</v>
      </c>
      <c r="L199">
        <v>7.51</v>
      </c>
      <c r="M199">
        <v>195.3</v>
      </c>
      <c r="N199">
        <v>79</v>
      </c>
      <c r="O199">
        <v>8.79</v>
      </c>
      <c r="P199">
        <v>12.9</v>
      </c>
      <c r="Q199">
        <v>5</v>
      </c>
      <c r="R199">
        <v>3.48</v>
      </c>
      <c r="S199">
        <v>0</v>
      </c>
      <c r="T199" t="b">
        <v>0</v>
      </c>
      <c r="AK199">
        <v>151.1</v>
      </c>
      <c r="AW199">
        <v>163.5</v>
      </c>
    </row>
    <row r="200" spans="1:49">
      <c r="A200" t="s">
        <v>104</v>
      </c>
      <c r="B200">
        <v>137</v>
      </c>
      <c r="C200">
        <v>415</v>
      </c>
      <c r="D200" t="s">
        <v>63</v>
      </c>
      <c r="E200" t="s">
        <v>62</v>
      </c>
      <c r="F200">
        <v>0</v>
      </c>
      <c r="G200">
        <v>135.1</v>
      </c>
      <c r="H200">
        <v>95</v>
      </c>
      <c r="I200">
        <v>22.97</v>
      </c>
      <c r="J200">
        <v>134.1</v>
      </c>
      <c r="K200">
        <v>102</v>
      </c>
      <c r="L200">
        <v>11.4</v>
      </c>
      <c r="M200">
        <v>223.1</v>
      </c>
      <c r="N200">
        <v>81</v>
      </c>
      <c r="O200">
        <v>10.04</v>
      </c>
      <c r="P200">
        <v>12.3</v>
      </c>
      <c r="Q200">
        <v>2</v>
      </c>
      <c r="R200">
        <v>3.32</v>
      </c>
      <c r="S200">
        <v>2</v>
      </c>
      <c r="T200" t="b">
        <v>1</v>
      </c>
      <c r="AK200">
        <v>218.9</v>
      </c>
      <c r="AW200">
        <v>163</v>
      </c>
    </row>
    <row r="201" spans="1:49">
      <c r="A201" t="s">
        <v>96</v>
      </c>
      <c r="B201">
        <v>36</v>
      </c>
      <c r="C201">
        <v>415</v>
      </c>
      <c r="D201" t="s">
        <v>62</v>
      </c>
      <c r="E201" t="s">
        <v>62</v>
      </c>
      <c r="F201">
        <v>0</v>
      </c>
      <c r="G201">
        <v>253.4</v>
      </c>
      <c r="H201">
        <v>77</v>
      </c>
      <c r="I201">
        <v>43.08</v>
      </c>
      <c r="J201">
        <v>182.4</v>
      </c>
      <c r="K201">
        <v>151</v>
      </c>
      <c r="L201">
        <v>15.5</v>
      </c>
      <c r="M201">
        <v>275.8</v>
      </c>
      <c r="N201">
        <v>103</v>
      </c>
      <c r="O201">
        <v>12.41</v>
      </c>
      <c r="P201">
        <v>8.4</v>
      </c>
      <c r="Q201">
        <v>2</v>
      </c>
      <c r="R201">
        <v>2.27</v>
      </c>
      <c r="S201">
        <v>1</v>
      </c>
      <c r="T201" t="b">
        <v>0</v>
      </c>
      <c r="AK201">
        <v>192.7</v>
      </c>
      <c r="AW201">
        <v>213.7</v>
      </c>
    </row>
    <row r="202" spans="1:49">
      <c r="A202" t="s">
        <v>71</v>
      </c>
      <c r="B202">
        <v>85</v>
      </c>
      <c r="C202">
        <v>408</v>
      </c>
      <c r="D202" t="s">
        <v>62</v>
      </c>
      <c r="E202" t="s">
        <v>62</v>
      </c>
      <c r="F202">
        <v>0</v>
      </c>
      <c r="G202">
        <v>225</v>
      </c>
      <c r="H202">
        <v>81</v>
      </c>
      <c r="I202">
        <v>38.25</v>
      </c>
      <c r="J202">
        <v>176.9</v>
      </c>
      <c r="K202">
        <v>63</v>
      </c>
      <c r="L202">
        <v>15.04</v>
      </c>
      <c r="M202">
        <v>194.3</v>
      </c>
      <c r="N202">
        <v>110</v>
      </c>
      <c r="O202">
        <v>8.74</v>
      </c>
      <c r="P202">
        <v>7.1</v>
      </c>
      <c r="Q202">
        <v>2</v>
      </c>
      <c r="R202">
        <v>1.92</v>
      </c>
      <c r="S202">
        <v>3</v>
      </c>
      <c r="T202" t="b">
        <v>0</v>
      </c>
      <c r="AK202">
        <v>204.4</v>
      </c>
      <c r="AW202">
        <v>201.3</v>
      </c>
    </row>
    <row r="203" spans="1:49">
      <c r="A203" t="s">
        <v>79</v>
      </c>
      <c r="B203">
        <v>108</v>
      </c>
      <c r="C203">
        <v>408</v>
      </c>
      <c r="D203" t="s">
        <v>62</v>
      </c>
      <c r="E203" t="s">
        <v>62</v>
      </c>
      <c r="F203">
        <v>0</v>
      </c>
      <c r="G203">
        <v>198.5</v>
      </c>
      <c r="H203">
        <v>99</v>
      </c>
      <c r="I203">
        <v>33.75</v>
      </c>
      <c r="J203">
        <v>267.8</v>
      </c>
      <c r="K203">
        <v>60</v>
      </c>
      <c r="L203">
        <v>22.76</v>
      </c>
      <c r="M203">
        <v>354.9</v>
      </c>
      <c r="N203">
        <v>75</v>
      </c>
      <c r="O203">
        <v>15.97</v>
      </c>
      <c r="P203">
        <v>9.4</v>
      </c>
      <c r="Q203">
        <v>3</v>
      </c>
      <c r="R203">
        <v>2.54</v>
      </c>
      <c r="S203">
        <v>0</v>
      </c>
      <c r="T203" t="b">
        <v>1</v>
      </c>
      <c r="AK203">
        <v>211.7</v>
      </c>
      <c r="AW203">
        <v>171.2</v>
      </c>
    </row>
    <row r="204" spans="1:49">
      <c r="A204" t="s">
        <v>111</v>
      </c>
      <c r="B204">
        <v>22</v>
      </c>
      <c r="C204">
        <v>408</v>
      </c>
      <c r="D204" t="s">
        <v>62</v>
      </c>
      <c r="E204" t="s">
        <v>62</v>
      </c>
      <c r="F204">
        <v>0</v>
      </c>
      <c r="G204">
        <v>110.3</v>
      </c>
      <c r="H204">
        <v>107</v>
      </c>
      <c r="I204">
        <v>18.75</v>
      </c>
      <c r="J204">
        <v>166.5</v>
      </c>
      <c r="K204">
        <v>93</v>
      </c>
      <c r="L204">
        <v>14.15</v>
      </c>
      <c r="M204">
        <v>202.3</v>
      </c>
      <c r="N204">
        <v>96</v>
      </c>
      <c r="O204">
        <v>9.1</v>
      </c>
      <c r="P204">
        <v>9.5</v>
      </c>
      <c r="Q204">
        <v>5</v>
      </c>
      <c r="R204">
        <v>2.57</v>
      </c>
      <c r="S204">
        <v>0</v>
      </c>
      <c r="T204" t="b">
        <v>0</v>
      </c>
      <c r="AK204">
        <v>221.6</v>
      </c>
      <c r="AW204">
        <v>166.5</v>
      </c>
    </row>
    <row r="205" spans="1:49">
      <c r="A205" t="s">
        <v>73</v>
      </c>
      <c r="B205">
        <v>107</v>
      </c>
      <c r="C205">
        <v>415</v>
      </c>
      <c r="D205" t="s">
        <v>62</v>
      </c>
      <c r="E205" t="s">
        <v>63</v>
      </c>
      <c r="F205">
        <v>37</v>
      </c>
      <c r="G205">
        <v>60</v>
      </c>
      <c r="H205">
        <v>102</v>
      </c>
      <c r="I205">
        <v>10.2</v>
      </c>
      <c r="J205">
        <v>102.2</v>
      </c>
      <c r="K205">
        <v>80</v>
      </c>
      <c r="L205">
        <v>8.69</v>
      </c>
      <c r="M205">
        <v>261.8</v>
      </c>
      <c r="N205">
        <v>106</v>
      </c>
      <c r="O205">
        <v>11.78</v>
      </c>
      <c r="P205">
        <v>11.1</v>
      </c>
      <c r="Q205">
        <v>3</v>
      </c>
      <c r="R205">
        <v>3</v>
      </c>
      <c r="S205">
        <v>0</v>
      </c>
      <c r="T205" t="b">
        <v>0</v>
      </c>
      <c r="AK205">
        <v>197.9</v>
      </c>
      <c r="AW205">
        <v>237.5</v>
      </c>
    </row>
    <row r="206" spans="1:49">
      <c r="A206" t="s">
        <v>96</v>
      </c>
      <c r="B206">
        <v>51</v>
      </c>
      <c r="C206">
        <v>510</v>
      </c>
      <c r="D206" t="s">
        <v>62</v>
      </c>
      <c r="E206" t="s">
        <v>62</v>
      </c>
      <c r="F206">
        <v>0</v>
      </c>
      <c r="G206">
        <v>214.8</v>
      </c>
      <c r="H206">
        <v>94</v>
      </c>
      <c r="I206">
        <v>36.52</v>
      </c>
      <c r="J206">
        <v>149.7</v>
      </c>
      <c r="K206">
        <v>58</v>
      </c>
      <c r="L206">
        <v>12.72</v>
      </c>
      <c r="M206">
        <v>283.4</v>
      </c>
      <c r="N206">
        <v>66</v>
      </c>
      <c r="O206">
        <v>12.75</v>
      </c>
      <c r="P206">
        <v>10.2</v>
      </c>
      <c r="Q206">
        <v>5</v>
      </c>
      <c r="R206">
        <v>2.75</v>
      </c>
      <c r="S206">
        <v>0</v>
      </c>
      <c r="T206" t="b">
        <v>0</v>
      </c>
      <c r="AK206">
        <v>206.4</v>
      </c>
      <c r="AW206">
        <v>100.1</v>
      </c>
    </row>
    <row r="207" spans="1:49">
      <c r="A207" t="s">
        <v>94</v>
      </c>
      <c r="B207">
        <v>33</v>
      </c>
      <c r="C207">
        <v>415</v>
      </c>
      <c r="D207" t="s">
        <v>62</v>
      </c>
      <c r="E207" t="s">
        <v>63</v>
      </c>
      <c r="F207">
        <v>29</v>
      </c>
      <c r="G207">
        <v>157.4</v>
      </c>
      <c r="H207">
        <v>99</v>
      </c>
      <c r="I207">
        <v>26.76</v>
      </c>
      <c r="J207">
        <v>117.9</v>
      </c>
      <c r="K207">
        <v>80</v>
      </c>
      <c r="L207">
        <v>10.02</v>
      </c>
      <c r="M207">
        <v>279.2</v>
      </c>
      <c r="N207">
        <v>79</v>
      </c>
      <c r="O207">
        <v>12.56</v>
      </c>
      <c r="P207">
        <v>13.9</v>
      </c>
      <c r="Q207">
        <v>11</v>
      </c>
      <c r="R207">
        <v>3.75</v>
      </c>
      <c r="S207">
        <v>4</v>
      </c>
      <c r="T207" t="b">
        <v>1</v>
      </c>
      <c r="AK207">
        <v>205.9</v>
      </c>
      <c r="AW207">
        <v>172.8</v>
      </c>
    </row>
    <row r="208" spans="1:49">
      <c r="A208" t="s">
        <v>65</v>
      </c>
      <c r="B208">
        <v>106</v>
      </c>
      <c r="C208">
        <v>415</v>
      </c>
      <c r="D208" t="s">
        <v>62</v>
      </c>
      <c r="E208" t="s">
        <v>62</v>
      </c>
      <c r="F208">
        <v>0</v>
      </c>
      <c r="G208">
        <v>207.9</v>
      </c>
      <c r="H208">
        <v>91</v>
      </c>
      <c r="I208">
        <v>35.34</v>
      </c>
      <c r="J208">
        <v>172</v>
      </c>
      <c r="K208">
        <v>109</v>
      </c>
      <c r="L208">
        <v>14.62</v>
      </c>
      <c r="M208">
        <v>191.8</v>
      </c>
      <c r="N208">
        <v>143</v>
      </c>
      <c r="O208">
        <v>8.63</v>
      </c>
      <c r="P208">
        <v>14.4</v>
      </c>
      <c r="Q208">
        <v>7</v>
      </c>
      <c r="R208">
        <v>3.89</v>
      </c>
      <c r="S208">
        <v>4</v>
      </c>
      <c r="T208" t="b">
        <v>0</v>
      </c>
      <c r="AK208">
        <v>207.6</v>
      </c>
      <c r="AW208">
        <v>148.7</v>
      </c>
    </row>
    <row r="209" spans="1:49">
      <c r="A209" t="s">
        <v>109</v>
      </c>
      <c r="B209">
        <v>82</v>
      </c>
      <c r="C209">
        <v>408</v>
      </c>
      <c r="D209" t="s">
        <v>62</v>
      </c>
      <c r="E209" t="s">
        <v>62</v>
      </c>
      <c r="F209">
        <v>0</v>
      </c>
      <c r="G209">
        <v>207</v>
      </c>
      <c r="H209">
        <v>90</v>
      </c>
      <c r="I209">
        <v>35.19</v>
      </c>
      <c r="J209">
        <v>232.9</v>
      </c>
      <c r="K209">
        <v>83</v>
      </c>
      <c r="L209">
        <v>19.8</v>
      </c>
      <c r="M209">
        <v>172.4</v>
      </c>
      <c r="N209">
        <v>108</v>
      </c>
      <c r="O209">
        <v>7.76</v>
      </c>
      <c r="P209">
        <v>9.1</v>
      </c>
      <c r="Q209">
        <v>8</v>
      </c>
      <c r="R209">
        <v>2.46</v>
      </c>
      <c r="S209">
        <v>3</v>
      </c>
      <c r="T209" t="b">
        <v>0</v>
      </c>
      <c r="AK209">
        <v>99.5</v>
      </c>
      <c r="AW209">
        <v>194.6</v>
      </c>
    </row>
    <row r="210" spans="1:49">
      <c r="A210" t="s">
        <v>80</v>
      </c>
      <c r="B210">
        <v>97</v>
      </c>
      <c r="C210">
        <v>415</v>
      </c>
      <c r="D210" t="s">
        <v>63</v>
      </c>
      <c r="E210" t="s">
        <v>62</v>
      </c>
      <c r="F210">
        <v>0</v>
      </c>
      <c r="G210">
        <v>143.7</v>
      </c>
      <c r="H210">
        <v>117</v>
      </c>
      <c r="I210">
        <v>24.43</v>
      </c>
      <c r="J210">
        <v>273</v>
      </c>
      <c r="K210">
        <v>82</v>
      </c>
      <c r="L210">
        <v>23.21</v>
      </c>
      <c r="M210">
        <v>178.3</v>
      </c>
      <c r="N210">
        <v>81</v>
      </c>
      <c r="O210">
        <v>8.02</v>
      </c>
      <c r="P210">
        <v>10.9</v>
      </c>
      <c r="Q210">
        <v>3</v>
      </c>
      <c r="R210">
        <v>2.94</v>
      </c>
      <c r="S210">
        <v>0</v>
      </c>
      <c r="T210" t="b">
        <v>0</v>
      </c>
      <c r="AK210">
        <v>177.1</v>
      </c>
      <c r="AW210">
        <v>131.8</v>
      </c>
    </row>
    <row r="211" spans="1:49">
      <c r="A211" t="s">
        <v>105</v>
      </c>
      <c r="B211">
        <v>108</v>
      </c>
      <c r="C211">
        <v>510</v>
      </c>
      <c r="D211" t="s">
        <v>62</v>
      </c>
      <c r="E211" t="s">
        <v>62</v>
      </c>
      <c r="F211">
        <v>0</v>
      </c>
      <c r="G211">
        <v>138.6</v>
      </c>
      <c r="H211">
        <v>122</v>
      </c>
      <c r="I211">
        <v>23.56</v>
      </c>
      <c r="J211">
        <v>172.3</v>
      </c>
      <c r="K211">
        <v>117</v>
      </c>
      <c r="L211">
        <v>14.65</v>
      </c>
      <c r="M211">
        <v>231.6</v>
      </c>
      <c r="N211">
        <v>92</v>
      </c>
      <c r="O211">
        <v>10.42</v>
      </c>
      <c r="P211">
        <v>9.8</v>
      </c>
      <c r="Q211">
        <v>3</v>
      </c>
      <c r="R211">
        <v>2.65</v>
      </c>
      <c r="S211">
        <v>1</v>
      </c>
      <c r="T211" t="b">
        <v>0</v>
      </c>
      <c r="AK211">
        <v>172.7</v>
      </c>
      <c r="AW211">
        <v>145.6</v>
      </c>
    </row>
    <row r="212" spans="1:49">
      <c r="A212" t="s">
        <v>80</v>
      </c>
      <c r="B212">
        <v>114</v>
      </c>
      <c r="C212">
        <v>415</v>
      </c>
      <c r="D212" t="s">
        <v>62</v>
      </c>
      <c r="E212" t="s">
        <v>62</v>
      </c>
      <c r="F212">
        <v>0</v>
      </c>
      <c r="G212">
        <v>84.7</v>
      </c>
      <c r="H212">
        <v>118</v>
      </c>
      <c r="I212">
        <v>14.4</v>
      </c>
      <c r="J212">
        <v>249.9</v>
      </c>
      <c r="K212">
        <v>86</v>
      </c>
      <c r="L212">
        <v>21.24</v>
      </c>
      <c r="M212">
        <v>193.4</v>
      </c>
      <c r="N212">
        <v>95</v>
      </c>
      <c r="O212">
        <v>8.7</v>
      </c>
      <c r="P212">
        <v>14.5</v>
      </c>
      <c r="Q212">
        <v>8</v>
      </c>
      <c r="R212">
        <v>3.92</v>
      </c>
      <c r="S212">
        <v>1</v>
      </c>
      <c r="T212" t="b">
        <v>0</v>
      </c>
      <c r="AK212">
        <v>204.2</v>
      </c>
      <c r="AW212">
        <v>229.4</v>
      </c>
    </row>
    <row r="213" spans="1:49">
      <c r="A213" t="s">
        <v>97</v>
      </c>
      <c r="B213">
        <v>59</v>
      </c>
      <c r="C213">
        <v>510</v>
      </c>
      <c r="D213" t="s">
        <v>62</v>
      </c>
      <c r="E213" t="s">
        <v>62</v>
      </c>
      <c r="F213">
        <v>0</v>
      </c>
      <c r="G213">
        <v>155.2</v>
      </c>
      <c r="H213">
        <v>79</v>
      </c>
      <c r="I213">
        <v>26.38</v>
      </c>
      <c r="J213">
        <v>235.3</v>
      </c>
      <c r="K213">
        <v>123</v>
      </c>
      <c r="L213">
        <v>20</v>
      </c>
      <c r="M213">
        <v>169.4</v>
      </c>
      <c r="N213">
        <v>80</v>
      </c>
      <c r="O213">
        <v>7.62</v>
      </c>
      <c r="P213">
        <v>8.7</v>
      </c>
      <c r="Q213">
        <v>4</v>
      </c>
      <c r="R213">
        <v>2.35</v>
      </c>
      <c r="S213">
        <v>1</v>
      </c>
      <c r="T213" t="b">
        <v>0</v>
      </c>
      <c r="AK213">
        <v>85.7</v>
      </c>
      <c r="AW213">
        <v>74.3</v>
      </c>
    </row>
    <row r="214" spans="1:49">
      <c r="A214" t="s">
        <v>102</v>
      </c>
      <c r="B214">
        <v>24</v>
      </c>
      <c r="C214">
        <v>510</v>
      </c>
      <c r="D214" t="s">
        <v>62</v>
      </c>
      <c r="E214" t="s">
        <v>63</v>
      </c>
      <c r="F214">
        <v>25</v>
      </c>
      <c r="G214">
        <v>164.9</v>
      </c>
      <c r="H214">
        <v>110</v>
      </c>
      <c r="I214">
        <v>28.03</v>
      </c>
      <c r="J214">
        <v>209.3</v>
      </c>
      <c r="K214">
        <v>105</v>
      </c>
      <c r="L214">
        <v>17.79</v>
      </c>
      <c r="M214">
        <v>231.2</v>
      </c>
      <c r="N214">
        <v>55</v>
      </c>
      <c r="O214">
        <v>10.4</v>
      </c>
      <c r="P214">
        <v>6.7</v>
      </c>
      <c r="Q214">
        <v>9</v>
      </c>
      <c r="R214">
        <v>1.81</v>
      </c>
      <c r="S214">
        <v>1</v>
      </c>
      <c r="T214" t="b">
        <v>0</v>
      </c>
      <c r="AK214">
        <v>157.6</v>
      </c>
      <c r="AW214">
        <v>62.3</v>
      </c>
    </row>
    <row r="215" spans="1:49">
      <c r="A215" t="s">
        <v>86</v>
      </c>
      <c r="B215">
        <v>151</v>
      </c>
      <c r="C215">
        <v>408</v>
      </c>
      <c r="D215" t="s">
        <v>62</v>
      </c>
      <c r="E215" t="s">
        <v>62</v>
      </c>
      <c r="F215">
        <v>0</v>
      </c>
      <c r="G215">
        <v>134.5</v>
      </c>
      <c r="H215">
        <v>88</v>
      </c>
      <c r="I215">
        <v>22.87</v>
      </c>
      <c r="J215">
        <v>143.1</v>
      </c>
      <c r="K215">
        <v>112</v>
      </c>
      <c r="L215">
        <v>12.16</v>
      </c>
      <c r="M215">
        <v>223.9</v>
      </c>
      <c r="N215">
        <v>61</v>
      </c>
      <c r="O215">
        <v>10.08</v>
      </c>
      <c r="P215">
        <v>15.4</v>
      </c>
      <c r="Q215">
        <v>1</v>
      </c>
      <c r="R215">
        <v>4.16</v>
      </c>
      <c r="S215">
        <v>1</v>
      </c>
      <c r="T215" t="b">
        <v>0</v>
      </c>
      <c r="AK215">
        <v>215.5</v>
      </c>
      <c r="AW215">
        <v>309.9</v>
      </c>
    </row>
    <row r="216" spans="1:49">
      <c r="A216" t="s">
        <v>103</v>
      </c>
      <c r="B216">
        <v>117</v>
      </c>
      <c r="C216">
        <v>415</v>
      </c>
      <c r="D216" t="s">
        <v>62</v>
      </c>
      <c r="E216" t="s">
        <v>62</v>
      </c>
      <c r="F216">
        <v>0</v>
      </c>
      <c r="G216">
        <v>143.3</v>
      </c>
      <c r="H216">
        <v>103</v>
      </c>
      <c r="I216">
        <v>24.36</v>
      </c>
      <c r="J216">
        <v>211.3</v>
      </c>
      <c r="K216">
        <v>108</v>
      </c>
      <c r="L216">
        <v>17.96</v>
      </c>
      <c r="M216">
        <v>185.2</v>
      </c>
      <c r="N216">
        <v>96</v>
      </c>
      <c r="O216">
        <v>8.33</v>
      </c>
      <c r="P216">
        <v>11.5</v>
      </c>
      <c r="Q216">
        <v>3</v>
      </c>
      <c r="R216">
        <v>3.11</v>
      </c>
      <c r="S216">
        <v>1</v>
      </c>
      <c r="T216" t="b">
        <v>0</v>
      </c>
      <c r="AK216">
        <v>171.7</v>
      </c>
      <c r="AW216">
        <v>201.9</v>
      </c>
    </row>
    <row r="217" spans="1:49">
      <c r="A217" t="s">
        <v>71</v>
      </c>
      <c r="B217">
        <v>114</v>
      </c>
      <c r="C217">
        <v>510</v>
      </c>
      <c r="D217" t="s">
        <v>62</v>
      </c>
      <c r="E217" t="s">
        <v>63</v>
      </c>
      <c r="F217">
        <v>30</v>
      </c>
      <c r="G217">
        <v>206.2</v>
      </c>
      <c r="H217">
        <v>79</v>
      </c>
      <c r="I217">
        <v>35.05</v>
      </c>
      <c r="J217">
        <v>260</v>
      </c>
      <c r="K217">
        <v>91</v>
      </c>
      <c r="L217">
        <v>22.1</v>
      </c>
      <c r="M217">
        <v>291.6</v>
      </c>
      <c r="N217">
        <v>83</v>
      </c>
      <c r="O217">
        <v>13.12</v>
      </c>
      <c r="P217">
        <v>11.4</v>
      </c>
      <c r="Q217">
        <v>6</v>
      </c>
      <c r="R217">
        <v>3.08</v>
      </c>
      <c r="S217">
        <v>1</v>
      </c>
      <c r="T217" t="b">
        <v>0</v>
      </c>
      <c r="AK217">
        <v>158</v>
      </c>
      <c r="AW217">
        <v>209.4</v>
      </c>
    </row>
    <row r="218" spans="1:49">
      <c r="A218" t="s">
        <v>73</v>
      </c>
      <c r="B218">
        <v>114</v>
      </c>
      <c r="C218">
        <v>510</v>
      </c>
      <c r="D218" t="s">
        <v>62</v>
      </c>
      <c r="E218" t="s">
        <v>63</v>
      </c>
      <c r="F218">
        <v>28</v>
      </c>
      <c r="G218">
        <v>225.8</v>
      </c>
      <c r="H218">
        <v>94</v>
      </c>
      <c r="I218">
        <v>38.39</v>
      </c>
      <c r="J218">
        <v>193</v>
      </c>
      <c r="K218">
        <v>117</v>
      </c>
      <c r="L218">
        <v>16.41</v>
      </c>
      <c r="M218">
        <v>232.4</v>
      </c>
      <c r="N218">
        <v>100</v>
      </c>
      <c r="O218">
        <v>10.46</v>
      </c>
      <c r="P218">
        <v>8.4</v>
      </c>
      <c r="Q218">
        <v>9</v>
      </c>
      <c r="R218">
        <v>2.27</v>
      </c>
      <c r="S218">
        <v>4</v>
      </c>
      <c r="T218" t="b">
        <v>0</v>
      </c>
      <c r="AK218">
        <v>92</v>
      </c>
      <c r="AW218">
        <v>223.2</v>
      </c>
    </row>
    <row r="219" spans="1:49">
      <c r="A219" t="s">
        <v>87</v>
      </c>
      <c r="B219">
        <v>119</v>
      </c>
      <c r="C219">
        <v>408</v>
      </c>
      <c r="D219" t="s">
        <v>62</v>
      </c>
      <c r="E219" t="s">
        <v>62</v>
      </c>
      <c r="F219">
        <v>0</v>
      </c>
      <c r="G219">
        <v>138.3</v>
      </c>
      <c r="H219">
        <v>89</v>
      </c>
      <c r="I219">
        <v>23.51</v>
      </c>
      <c r="J219">
        <v>170.5</v>
      </c>
      <c r="K219">
        <v>78</v>
      </c>
      <c r="L219">
        <v>14.49</v>
      </c>
      <c r="M219">
        <v>263.9</v>
      </c>
      <c r="N219">
        <v>98</v>
      </c>
      <c r="O219">
        <v>11.88</v>
      </c>
      <c r="P219">
        <v>13.5</v>
      </c>
      <c r="Q219">
        <v>6</v>
      </c>
      <c r="R219">
        <v>3.65</v>
      </c>
      <c r="S219">
        <v>3</v>
      </c>
      <c r="T219" t="b">
        <v>0</v>
      </c>
      <c r="AK219">
        <v>234</v>
      </c>
      <c r="AW219">
        <v>164.2</v>
      </c>
    </row>
    <row r="220" spans="1:49">
      <c r="A220" t="s">
        <v>68</v>
      </c>
      <c r="B220">
        <v>118</v>
      </c>
      <c r="C220">
        <v>408</v>
      </c>
      <c r="D220" t="s">
        <v>63</v>
      </c>
      <c r="E220" t="s">
        <v>62</v>
      </c>
      <c r="F220">
        <v>0</v>
      </c>
      <c r="G220">
        <v>160</v>
      </c>
      <c r="H220">
        <v>123</v>
      </c>
      <c r="I220">
        <v>27.2</v>
      </c>
      <c r="J220">
        <v>175.4</v>
      </c>
      <c r="K220">
        <v>96</v>
      </c>
      <c r="L220">
        <v>14.91</v>
      </c>
      <c r="M220">
        <v>184.8</v>
      </c>
      <c r="N220">
        <v>99</v>
      </c>
      <c r="O220">
        <v>8.32</v>
      </c>
      <c r="P220">
        <v>9.9</v>
      </c>
      <c r="Q220">
        <v>3</v>
      </c>
      <c r="R220">
        <v>2.67</v>
      </c>
      <c r="S220">
        <v>2</v>
      </c>
      <c r="T220" t="b">
        <v>0</v>
      </c>
      <c r="AK220">
        <v>194.4</v>
      </c>
      <c r="AW220">
        <v>169.6</v>
      </c>
    </row>
    <row r="221" spans="1:49">
      <c r="A221" t="s">
        <v>113</v>
      </c>
      <c r="B221">
        <v>101</v>
      </c>
      <c r="C221">
        <v>415</v>
      </c>
      <c r="D221" t="s">
        <v>62</v>
      </c>
      <c r="E221" t="s">
        <v>62</v>
      </c>
      <c r="F221">
        <v>0</v>
      </c>
      <c r="G221">
        <v>206.6</v>
      </c>
      <c r="H221">
        <v>105</v>
      </c>
      <c r="I221">
        <v>35.12</v>
      </c>
      <c r="J221">
        <v>224.9</v>
      </c>
      <c r="K221">
        <v>117</v>
      </c>
      <c r="L221">
        <v>19.12</v>
      </c>
      <c r="M221">
        <v>249.9</v>
      </c>
      <c r="N221">
        <v>100</v>
      </c>
      <c r="O221">
        <v>11.25</v>
      </c>
      <c r="P221">
        <v>14.6</v>
      </c>
      <c r="Q221">
        <v>3</v>
      </c>
      <c r="R221">
        <v>3.94</v>
      </c>
      <c r="S221">
        <v>0</v>
      </c>
      <c r="T221" t="b">
        <v>0</v>
      </c>
      <c r="AK221">
        <v>227.2</v>
      </c>
      <c r="AW221">
        <v>205.7</v>
      </c>
    </row>
    <row r="222" spans="1:49">
      <c r="A222" t="s">
        <v>66</v>
      </c>
      <c r="B222">
        <v>117</v>
      </c>
      <c r="C222">
        <v>415</v>
      </c>
      <c r="D222" t="s">
        <v>62</v>
      </c>
      <c r="E222" t="s">
        <v>62</v>
      </c>
      <c r="F222">
        <v>0</v>
      </c>
      <c r="G222">
        <v>134.7</v>
      </c>
      <c r="H222">
        <v>121</v>
      </c>
      <c r="I222">
        <v>22.9</v>
      </c>
      <c r="J222">
        <v>180</v>
      </c>
      <c r="K222">
        <v>83</v>
      </c>
      <c r="L222">
        <v>15.3</v>
      </c>
      <c r="M222">
        <v>200.9</v>
      </c>
      <c r="N222">
        <v>104</v>
      </c>
      <c r="O222">
        <v>9.04</v>
      </c>
      <c r="P222">
        <v>7.7</v>
      </c>
      <c r="Q222">
        <v>3</v>
      </c>
      <c r="R222">
        <v>2.08</v>
      </c>
      <c r="S222">
        <v>1</v>
      </c>
      <c r="T222" t="b">
        <v>0</v>
      </c>
      <c r="AK222">
        <v>236.3</v>
      </c>
      <c r="AW222">
        <v>159</v>
      </c>
    </row>
    <row r="223" spans="1:49">
      <c r="A223" t="s">
        <v>67</v>
      </c>
      <c r="B223">
        <v>49</v>
      </c>
      <c r="C223">
        <v>415</v>
      </c>
      <c r="D223" t="s">
        <v>62</v>
      </c>
      <c r="E223" t="s">
        <v>63</v>
      </c>
      <c r="F223">
        <v>28</v>
      </c>
      <c r="G223">
        <v>214.4</v>
      </c>
      <c r="H223">
        <v>78</v>
      </c>
      <c r="I223">
        <v>36.45</v>
      </c>
      <c r="J223">
        <v>235.2</v>
      </c>
      <c r="K223">
        <v>100</v>
      </c>
      <c r="L223">
        <v>19.99</v>
      </c>
      <c r="M223">
        <v>206.2</v>
      </c>
      <c r="N223">
        <v>107</v>
      </c>
      <c r="O223">
        <v>9.28</v>
      </c>
      <c r="P223">
        <v>8</v>
      </c>
      <c r="Q223">
        <v>13</v>
      </c>
      <c r="R223">
        <v>2.16</v>
      </c>
      <c r="S223">
        <v>3</v>
      </c>
      <c r="T223" t="b">
        <v>0</v>
      </c>
      <c r="AK223">
        <v>205.6</v>
      </c>
      <c r="AW223">
        <v>159.7</v>
      </c>
    </row>
    <row r="224" spans="1:49">
      <c r="A224" t="s">
        <v>85</v>
      </c>
      <c r="B224">
        <v>139</v>
      </c>
      <c r="C224">
        <v>415</v>
      </c>
      <c r="D224" t="s">
        <v>62</v>
      </c>
      <c r="E224" t="s">
        <v>62</v>
      </c>
      <c r="F224">
        <v>0</v>
      </c>
      <c r="G224">
        <v>192.8</v>
      </c>
      <c r="H224">
        <v>104</v>
      </c>
      <c r="I224">
        <v>32.78</v>
      </c>
      <c r="J224">
        <v>234.4</v>
      </c>
      <c r="K224">
        <v>96</v>
      </c>
      <c r="L224">
        <v>19.92</v>
      </c>
      <c r="M224">
        <v>203.2</v>
      </c>
      <c r="N224">
        <v>101</v>
      </c>
      <c r="O224">
        <v>9.14</v>
      </c>
      <c r="P224">
        <v>13</v>
      </c>
      <c r="Q224">
        <v>3</v>
      </c>
      <c r="R224">
        <v>3.51</v>
      </c>
      <c r="S224">
        <v>3</v>
      </c>
      <c r="T224" t="b">
        <v>0</v>
      </c>
      <c r="AK224">
        <v>94.1</v>
      </c>
      <c r="AW224">
        <v>57.5</v>
      </c>
    </row>
    <row r="225" spans="1:49">
      <c r="A225" t="s">
        <v>113</v>
      </c>
      <c r="B225">
        <v>92</v>
      </c>
      <c r="C225">
        <v>408</v>
      </c>
      <c r="D225" t="s">
        <v>62</v>
      </c>
      <c r="E225" t="s">
        <v>63</v>
      </c>
      <c r="F225">
        <v>28</v>
      </c>
      <c r="G225">
        <v>151.1</v>
      </c>
      <c r="H225">
        <v>90</v>
      </c>
      <c r="I225">
        <v>25.69</v>
      </c>
      <c r="J225">
        <v>194.8</v>
      </c>
      <c r="K225">
        <v>79</v>
      </c>
      <c r="L225">
        <v>16.56</v>
      </c>
      <c r="M225">
        <v>239.2</v>
      </c>
      <c r="N225">
        <v>114</v>
      </c>
      <c r="O225">
        <v>10.76</v>
      </c>
      <c r="P225">
        <v>10</v>
      </c>
      <c r="Q225">
        <v>3</v>
      </c>
      <c r="R225">
        <v>2.7</v>
      </c>
      <c r="S225">
        <v>1</v>
      </c>
      <c r="T225" t="b">
        <v>0</v>
      </c>
      <c r="AK225">
        <v>125.2</v>
      </c>
      <c r="AW225">
        <v>335.5</v>
      </c>
    </row>
    <row r="226" spans="1:49">
      <c r="A226" t="s">
        <v>114</v>
      </c>
      <c r="B226">
        <v>148</v>
      </c>
      <c r="C226">
        <v>510</v>
      </c>
      <c r="D226" t="s">
        <v>63</v>
      </c>
      <c r="E226" t="s">
        <v>62</v>
      </c>
      <c r="F226">
        <v>0</v>
      </c>
      <c r="G226">
        <v>218.9</v>
      </c>
      <c r="H226">
        <v>88</v>
      </c>
      <c r="I226">
        <v>37.21</v>
      </c>
      <c r="J226">
        <v>208</v>
      </c>
      <c r="K226">
        <v>85</v>
      </c>
      <c r="L226">
        <v>17.68</v>
      </c>
      <c r="M226">
        <v>203.3</v>
      </c>
      <c r="N226">
        <v>99</v>
      </c>
      <c r="O226">
        <v>9.15</v>
      </c>
      <c r="P226">
        <v>11.1</v>
      </c>
      <c r="Q226">
        <v>4</v>
      </c>
      <c r="R226">
        <v>3</v>
      </c>
      <c r="S226">
        <v>0</v>
      </c>
      <c r="T226" t="b">
        <v>0</v>
      </c>
      <c r="AK226">
        <v>60.4</v>
      </c>
      <c r="AW226">
        <v>139.5</v>
      </c>
    </row>
    <row r="227" spans="1:49">
      <c r="A227" t="s">
        <v>67</v>
      </c>
      <c r="B227">
        <v>131</v>
      </c>
      <c r="C227">
        <v>415</v>
      </c>
      <c r="D227" t="s">
        <v>62</v>
      </c>
      <c r="E227" t="s">
        <v>63</v>
      </c>
      <c r="F227">
        <v>25</v>
      </c>
      <c r="G227">
        <v>192.7</v>
      </c>
      <c r="H227">
        <v>85</v>
      </c>
      <c r="I227">
        <v>32.76</v>
      </c>
      <c r="J227">
        <v>225.9</v>
      </c>
      <c r="K227">
        <v>105</v>
      </c>
      <c r="L227">
        <v>19.2</v>
      </c>
      <c r="M227">
        <v>254.2</v>
      </c>
      <c r="N227">
        <v>59</v>
      </c>
      <c r="O227">
        <v>11.44</v>
      </c>
      <c r="P227">
        <v>10.9</v>
      </c>
      <c r="Q227">
        <v>6</v>
      </c>
      <c r="R227">
        <v>2.94</v>
      </c>
      <c r="S227">
        <v>2</v>
      </c>
      <c r="T227" t="b">
        <v>0</v>
      </c>
      <c r="AK227">
        <v>121</v>
      </c>
      <c r="AW227">
        <v>187.8</v>
      </c>
    </row>
    <row r="228" spans="1:49">
      <c r="A228" t="s">
        <v>78</v>
      </c>
      <c r="B228">
        <v>146</v>
      </c>
      <c r="C228">
        <v>510</v>
      </c>
      <c r="D228" t="s">
        <v>63</v>
      </c>
      <c r="E228" t="s">
        <v>62</v>
      </c>
      <c r="F228">
        <v>0</v>
      </c>
      <c r="G228">
        <v>204.4</v>
      </c>
      <c r="H228">
        <v>135</v>
      </c>
      <c r="I228">
        <v>34.75</v>
      </c>
      <c r="J228">
        <v>219.1</v>
      </c>
      <c r="K228">
        <v>90</v>
      </c>
      <c r="L228">
        <v>18.62</v>
      </c>
      <c r="M228">
        <v>222.7</v>
      </c>
      <c r="N228">
        <v>114</v>
      </c>
      <c r="O228">
        <v>10.02</v>
      </c>
      <c r="P228">
        <v>10.5</v>
      </c>
      <c r="Q228">
        <v>6</v>
      </c>
      <c r="R228">
        <v>2.84</v>
      </c>
      <c r="S228">
        <v>3</v>
      </c>
      <c r="T228" t="b">
        <v>0</v>
      </c>
      <c r="AK228">
        <v>117.8</v>
      </c>
      <c r="AW228">
        <v>193.7</v>
      </c>
    </row>
    <row r="229" spans="1:49">
      <c r="A229" t="s">
        <v>90</v>
      </c>
      <c r="B229">
        <v>48</v>
      </c>
      <c r="C229">
        <v>415</v>
      </c>
      <c r="D229" t="s">
        <v>62</v>
      </c>
      <c r="E229" t="s">
        <v>63</v>
      </c>
      <c r="F229">
        <v>37</v>
      </c>
      <c r="G229">
        <v>211.7</v>
      </c>
      <c r="H229">
        <v>115</v>
      </c>
      <c r="I229">
        <v>35.99</v>
      </c>
      <c r="J229">
        <v>159.9</v>
      </c>
      <c r="K229">
        <v>84</v>
      </c>
      <c r="L229">
        <v>13.59</v>
      </c>
      <c r="M229">
        <v>144.1</v>
      </c>
      <c r="N229">
        <v>80</v>
      </c>
      <c r="O229">
        <v>6.48</v>
      </c>
      <c r="P229">
        <v>12.2</v>
      </c>
      <c r="Q229">
        <v>1</v>
      </c>
      <c r="R229">
        <v>3.29</v>
      </c>
      <c r="S229">
        <v>1</v>
      </c>
      <c r="T229" t="b">
        <v>0</v>
      </c>
      <c r="AK229">
        <v>232.4</v>
      </c>
      <c r="AW229">
        <v>293.3</v>
      </c>
    </row>
    <row r="230" spans="1:49">
      <c r="A230" t="s">
        <v>110</v>
      </c>
      <c r="B230">
        <v>86</v>
      </c>
      <c r="C230">
        <v>415</v>
      </c>
      <c r="D230" t="s">
        <v>62</v>
      </c>
      <c r="E230" t="s">
        <v>63</v>
      </c>
      <c r="F230">
        <v>28</v>
      </c>
      <c r="G230">
        <v>221.6</v>
      </c>
      <c r="H230">
        <v>74</v>
      </c>
      <c r="I230">
        <v>37.67</v>
      </c>
      <c r="J230">
        <v>288.4</v>
      </c>
      <c r="K230">
        <v>100</v>
      </c>
      <c r="L230">
        <v>24.51</v>
      </c>
      <c r="M230">
        <v>240.3</v>
      </c>
      <c r="N230">
        <v>105</v>
      </c>
      <c r="O230">
        <v>10.81</v>
      </c>
      <c r="P230">
        <v>9</v>
      </c>
      <c r="Q230">
        <v>2</v>
      </c>
      <c r="R230">
        <v>2.43</v>
      </c>
      <c r="S230">
        <v>1</v>
      </c>
      <c r="T230" t="b">
        <v>0</v>
      </c>
      <c r="AK230">
        <v>176.3</v>
      </c>
      <c r="AW230">
        <v>191.3</v>
      </c>
    </row>
    <row r="231" spans="1:49">
      <c r="A231" t="s">
        <v>95</v>
      </c>
      <c r="B231">
        <v>71</v>
      </c>
      <c r="C231">
        <v>415</v>
      </c>
      <c r="D231" t="s">
        <v>62</v>
      </c>
      <c r="E231" t="s">
        <v>62</v>
      </c>
      <c r="F231">
        <v>0</v>
      </c>
      <c r="G231">
        <v>197.9</v>
      </c>
      <c r="H231">
        <v>108</v>
      </c>
      <c r="I231">
        <v>33.64</v>
      </c>
      <c r="J231">
        <v>181.5</v>
      </c>
      <c r="K231">
        <v>109</v>
      </c>
      <c r="L231">
        <v>15.43</v>
      </c>
      <c r="M231">
        <v>281.4</v>
      </c>
      <c r="N231">
        <v>56</v>
      </c>
      <c r="O231">
        <v>12.66</v>
      </c>
      <c r="P231">
        <v>6.7</v>
      </c>
      <c r="Q231">
        <v>5</v>
      </c>
      <c r="R231">
        <v>1.81</v>
      </c>
      <c r="S231">
        <v>3</v>
      </c>
      <c r="T231" t="b">
        <v>0</v>
      </c>
      <c r="AK231">
        <v>125.2</v>
      </c>
      <c r="AW231">
        <v>161.4</v>
      </c>
    </row>
    <row r="232" spans="1:49">
      <c r="A232" t="s">
        <v>110</v>
      </c>
      <c r="B232">
        <v>137</v>
      </c>
      <c r="C232">
        <v>510</v>
      </c>
      <c r="D232" t="s">
        <v>62</v>
      </c>
      <c r="E232" t="s">
        <v>62</v>
      </c>
      <c r="F232">
        <v>0</v>
      </c>
      <c r="G232">
        <v>206.4</v>
      </c>
      <c r="H232">
        <v>122</v>
      </c>
      <c r="I232">
        <v>35.09</v>
      </c>
      <c r="J232">
        <v>128</v>
      </c>
      <c r="K232">
        <v>102</v>
      </c>
      <c r="L232">
        <v>10.88</v>
      </c>
      <c r="M232">
        <v>194.5</v>
      </c>
      <c r="N232">
        <v>84</v>
      </c>
      <c r="O232">
        <v>8.75</v>
      </c>
      <c r="P232">
        <v>8.8</v>
      </c>
      <c r="Q232">
        <v>5</v>
      </c>
      <c r="R232">
        <v>2.38</v>
      </c>
      <c r="S232">
        <v>2</v>
      </c>
      <c r="T232" t="b">
        <v>0</v>
      </c>
      <c r="AK232">
        <v>138.7</v>
      </c>
      <c r="AW232">
        <v>112.7</v>
      </c>
    </row>
    <row r="233" spans="1:49">
      <c r="A233" t="s">
        <v>61</v>
      </c>
      <c r="B233">
        <v>137</v>
      </c>
      <c r="C233">
        <v>408</v>
      </c>
      <c r="D233" t="s">
        <v>62</v>
      </c>
      <c r="E233" t="s">
        <v>62</v>
      </c>
      <c r="F233">
        <v>0</v>
      </c>
      <c r="G233">
        <v>205.9</v>
      </c>
      <c r="H233">
        <v>88</v>
      </c>
      <c r="I233">
        <v>35</v>
      </c>
      <c r="J233">
        <v>209.3</v>
      </c>
      <c r="K233">
        <v>86</v>
      </c>
      <c r="L233">
        <v>17.79</v>
      </c>
      <c r="M233">
        <v>289.9</v>
      </c>
      <c r="N233">
        <v>84</v>
      </c>
      <c r="O233">
        <v>13.05</v>
      </c>
      <c r="P233">
        <v>14.5</v>
      </c>
      <c r="Q233">
        <v>4</v>
      </c>
      <c r="R233">
        <v>3.92</v>
      </c>
      <c r="S233">
        <v>2</v>
      </c>
      <c r="T233" t="b">
        <v>0</v>
      </c>
      <c r="AK233">
        <v>86.3</v>
      </c>
      <c r="AW233">
        <v>299.5</v>
      </c>
    </row>
    <row r="234" spans="1:49">
      <c r="A234" t="s">
        <v>67</v>
      </c>
      <c r="B234">
        <v>167</v>
      </c>
      <c r="C234">
        <v>510</v>
      </c>
      <c r="D234" t="s">
        <v>62</v>
      </c>
      <c r="E234" t="s">
        <v>62</v>
      </c>
      <c r="F234">
        <v>0</v>
      </c>
      <c r="G234">
        <v>207.6</v>
      </c>
      <c r="H234">
        <v>88</v>
      </c>
      <c r="I234">
        <v>35.29</v>
      </c>
      <c r="J234">
        <v>132.4</v>
      </c>
      <c r="K234">
        <v>63</v>
      </c>
      <c r="L234">
        <v>11.25</v>
      </c>
      <c r="M234">
        <v>255.2</v>
      </c>
      <c r="N234">
        <v>98</v>
      </c>
      <c r="O234">
        <v>11.48</v>
      </c>
      <c r="P234">
        <v>14.1</v>
      </c>
      <c r="Q234">
        <v>5</v>
      </c>
      <c r="R234">
        <v>3.81</v>
      </c>
      <c r="S234">
        <v>0</v>
      </c>
      <c r="T234" t="b">
        <v>0</v>
      </c>
      <c r="AK234">
        <v>207</v>
      </c>
      <c r="AW234">
        <v>100.8</v>
      </c>
    </row>
    <row r="235" spans="1:49">
      <c r="A235" t="s">
        <v>84</v>
      </c>
      <c r="B235">
        <v>132</v>
      </c>
      <c r="C235">
        <v>510</v>
      </c>
      <c r="D235" t="s">
        <v>62</v>
      </c>
      <c r="E235" t="s">
        <v>62</v>
      </c>
      <c r="F235">
        <v>0</v>
      </c>
      <c r="G235">
        <v>99.5</v>
      </c>
      <c r="H235">
        <v>110</v>
      </c>
      <c r="I235">
        <v>16.92</v>
      </c>
      <c r="J235">
        <v>129.1</v>
      </c>
      <c r="K235">
        <v>80</v>
      </c>
      <c r="L235">
        <v>10.97</v>
      </c>
      <c r="M235">
        <v>125.1</v>
      </c>
      <c r="N235">
        <v>124</v>
      </c>
      <c r="O235">
        <v>5.63</v>
      </c>
      <c r="P235">
        <v>9.7</v>
      </c>
      <c r="Q235">
        <v>3</v>
      </c>
      <c r="R235">
        <v>2.62</v>
      </c>
      <c r="S235">
        <v>0</v>
      </c>
      <c r="T235" t="b">
        <v>0</v>
      </c>
      <c r="AK235">
        <v>58.8</v>
      </c>
      <c r="AW235">
        <v>146.4</v>
      </c>
    </row>
    <row r="236" spans="1:49">
      <c r="A236" t="s">
        <v>93</v>
      </c>
      <c r="B236">
        <v>94</v>
      </c>
      <c r="C236">
        <v>510</v>
      </c>
      <c r="D236" t="s">
        <v>62</v>
      </c>
      <c r="E236" t="s">
        <v>62</v>
      </c>
      <c r="F236">
        <v>0</v>
      </c>
      <c r="G236">
        <v>177.1</v>
      </c>
      <c r="H236">
        <v>112</v>
      </c>
      <c r="I236">
        <v>30.11</v>
      </c>
      <c r="J236">
        <v>194</v>
      </c>
      <c r="K236">
        <v>112</v>
      </c>
      <c r="L236">
        <v>16.49</v>
      </c>
      <c r="M236">
        <v>146.7</v>
      </c>
      <c r="N236">
        <v>108</v>
      </c>
      <c r="O236">
        <v>6.6</v>
      </c>
      <c r="P236">
        <v>5.9</v>
      </c>
      <c r="Q236">
        <v>4</v>
      </c>
      <c r="R236">
        <v>1.59</v>
      </c>
      <c r="S236">
        <v>1</v>
      </c>
      <c r="T236" t="b">
        <v>0</v>
      </c>
      <c r="AK236">
        <v>239.2</v>
      </c>
      <c r="AW236">
        <v>265.3</v>
      </c>
    </row>
    <row r="237" spans="1:49">
      <c r="A237" t="s">
        <v>93</v>
      </c>
      <c r="B237">
        <v>96</v>
      </c>
      <c r="C237">
        <v>510</v>
      </c>
      <c r="D237" t="s">
        <v>62</v>
      </c>
      <c r="E237" t="s">
        <v>63</v>
      </c>
      <c r="F237">
        <v>18</v>
      </c>
      <c r="G237">
        <v>172.7</v>
      </c>
      <c r="H237">
        <v>86</v>
      </c>
      <c r="I237">
        <v>29.36</v>
      </c>
      <c r="J237">
        <v>133.4</v>
      </c>
      <c r="K237">
        <v>113</v>
      </c>
      <c r="L237">
        <v>11.34</v>
      </c>
      <c r="M237">
        <v>259.5</v>
      </c>
      <c r="N237">
        <v>70</v>
      </c>
      <c r="O237">
        <v>11.68</v>
      </c>
      <c r="P237">
        <v>9.8</v>
      </c>
      <c r="Q237">
        <v>3</v>
      </c>
      <c r="R237">
        <v>2.65</v>
      </c>
      <c r="S237">
        <v>1</v>
      </c>
      <c r="T237" t="b">
        <v>0</v>
      </c>
      <c r="AK237">
        <v>198.3</v>
      </c>
      <c r="AW237">
        <v>128.6</v>
      </c>
    </row>
    <row r="238" spans="1:49">
      <c r="A238" t="s">
        <v>96</v>
      </c>
      <c r="B238">
        <v>166</v>
      </c>
      <c r="C238">
        <v>510</v>
      </c>
      <c r="D238" t="s">
        <v>62</v>
      </c>
      <c r="E238" t="s">
        <v>62</v>
      </c>
      <c r="F238">
        <v>0</v>
      </c>
      <c r="G238">
        <v>204.2</v>
      </c>
      <c r="H238">
        <v>115</v>
      </c>
      <c r="I238">
        <v>34.71</v>
      </c>
      <c r="J238">
        <v>179.9</v>
      </c>
      <c r="K238">
        <v>152</v>
      </c>
      <c r="L238">
        <v>15.29</v>
      </c>
      <c r="M238">
        <v>216.8</v>
      </c>
      <c r="N238">
        <v>109</v>
      </c>
      <c r="O238">
        <v>9.76</v>
      </c>
      <c r="P238">
        <v>9.5</v>
      </c>
      <c r="Q238">
        <v>5</v>
      </c>
      <c r="R238">
        <v>2.57</v>
      </c>
      <c r="S238">
        <v>1</v>
      </c>
      <c r="T238" t="b">
        <v>0</v>
      </c>
      <c r="AK238">
        <v>205.2</v>
      </c>
      <c r="AW238">
        <v>195</v>
      </c>
    </row>
    <row r="239" spans="1:49">
      <c r="A239" t="s">
        <v>105</v>
      </c>
      <c r="B239">
        <v>74</v>
      </c>
      <c r="C239">
        <v>415</v>
      </c>
      <c r="D239" t="s">
        <v>62</v>
      </c>
      <c r="E239" t="s">
        <v>62</v>
      </c>
      <c r="F239">
        <v>0</v>
      </c>
      <c r="G239">
        <v>85.7</v>
      </c>
      <c r="H239">
        <v>83</v>
      </c>
      <c r="I239">
        <v>14.57</v>
      </c>
      <c r="J239">
        <v>247.7</v>
      </c>
      <c r="K239">
        <v>67</v>
      </c>
      <c r="L239">
        <v>21.05</v>
      </c>
      <c r="M239">
        <v>142.4</v>
      </c>
      <c r="N239">
        <v>85</v>
      </c>
      <c r="O239">
        <v>6.41</v>
      </c>
      <c r="P239">
        <v>10.1</v>
      </c>
      <c r="Q239">
        <v>5</v>
      </c>
      <c r="R239">
        <v>2.73</v>
      </c>
      <c r="S239">
        <v>2</v>
      </c>
      <c r="T239" t="b">
        <v>0</v>
      </c>
      <c r="AK239">
        <v>192.1</v>
      </c>
      <c r="AW239">
        <v>213.8</v>
      </c>
    </row>
    <row r="240" spans="1:49">
      <c r="A240" t="s">
        <v>92</v>
      </c>
      <c r="B240">
        <v>36</v>
      </c>
      <c r="C240">
        <v>415</v>
      </c>
      <c r="D240" t="s">
        <v>62</v>
      </c>
      <c r="E240" t="s">
        <v>62</v>
      </c>
      <c r="F240">
        <v>0</v>
      </c>
      <c r="G240">
        <v>157.6</v>
      </c>
      <c r="H240">
        <v>117</v>
      </c>
      <c r="I240">
        <v>26.79</v>
      </c>
      <c r="J240">
        <v>184.3</v>
      </c>
      <c r="K240">
        <v>58</v>
      </c>
      <c r="L240">
        <v>15.67</v>
      </c>
      <c r="M240">
        <v>240.4</v>
      </c>
      <c r="N240">
        <v>99</v>
      </c>
      <c r="O240">
        <v>10.82</v>
      </c>
      <c r="P240">
        <v>11.9</v>
      </c>
      <c r="Q240">
        <v>1</v>
      </c>
      <c r="R240">
        <v>3.21</v>
      </c>
      <c r="S240">
        <v>0</v>
      </c>
      <c r="T240" t="b">
        <v>0</v>
      </c>
      <c r="AK240">
        <v>169.6</v>
      </c>
      <c r="AW240">
        <v>252.9</v>
      </c>
    </row>
    <row r="241" spans="1:49">
      <c r="A241" t="s">
        <v>108</v>
      </c>
      <c r="B241">
        <v>113</v>
      </c>
      <c r="C241">
        <v>415</v>
      </c>
      <c r="D241" t="s">
        <v>62</v>
      </c>
      <c r="E241" t="s">
        <v>62</v>
      </c>
      <c r="F241">
        <v>0</v>
      </c>
      <c r="G241">
        <v>215.5</v>
      </c>
      <c r="H241">
        <v>129</v>
      </c>
      <c r="I241">
        <v>36.64</v>
      </c>
      <c r="J241">
        <v>218.7</v>
      </c>
      <c r="K241">
        <v>117</v>
      </c>
      <c r="L241">
        <v>18.59</v>
      </c>
      <c r="M241">
        <v>207.1</v>
      </c>
      <c r="N241">
        <v>91</v>
      </c>
      <c r="O241">
        <v>9.32</v>
      </c>
      <c r="P241">
        <v>6.6</v>
      </c>
      <c r="Q241">
        <v>9</v>
      </c>
      <c r="R241">
        <v>1.78</v>
      </c>
      <c r="S241">
        <v>4</v>
      </c>
      <c r="T241" t="b">
        <v>0</v>
      </c>
      <c r="AK241">
        <v>201.3</v>
      </c>
      <c r="AW241">
        <v>192</v>
      </c>
    </row>
    <row r="242" spans="1:49">
      <c r="A242" t="s">
        <v>91</v>
      </c>
      <c r="B242">
        <v>67</v>
      </c>
      <c r="C242">
        <v>415</v>
      </c>
      <c r="D242" t="s">
        <v>62</v>
      </c>
      <c r="E242" t="s">
        <v>62</v>
      </c>
      <c r="F242">
        <v>0</v>
      </c>
      <c r="G242">
        <v>171.7</v>
      </c>
      <c r="H242">
        <v>80</v>
      </c>
      <c r="I242">
        <v>29.19</v>
      </c>
      <c r="J242">
        <v>110.4</v>
      </c>
      <c r="K242">
        <v>81</v>
      </c>
      <c r="L242">
        <v>9.38</v>
      </c>
      <c r="M242">
        <v>195.4</v>
      </c>
      <c r="N242">
        <v>111</v>
      </c>
      <c r="O242">
        <v>8.79</v>
      </c>
      <c r="P242">
        <v>11.9</v>
      </c>
      <c r="Q242">
        <v>4</v>
      </c>
      <c r="R242">
        <v>3.21</v>
      </c>
      <c r="S242">
        <v>2</v>
      </c>
      <c r="T242" t="b">
        <v>0</v>
      </c>
      <c r="AK242">
        <v>214.7</v>
      </c>
      <c r="AW242">
        <v>69.1</v>
      </c>
    </row>
    <row r="243" spans="1:49">
      <c r="A243" t="s">
        <v>75</v>
      </c>
      <c r="B243">
        <v>158</v>
      </c>
      <c r="C243">
        <v>415</v>
      </c>
      <c r="D243" t="s">
        <v>62</v>
      </c>
      <c r="E243" t="s">
        <v>62</v>
      </c>
      <c r="F243">
        <v>0</v>
      </c>
      <c r="G243">
        <v>158</v>
      </c>
      <c r="H243">
        <v>106</v>
      </c>
      <c r="I243">
        <v>26.86</v>
      </c>
      <c r="J243">
        <v>292.5</v>
      </c>
      <c r="K243">
        <v>114</v>
      </c>
      <c r="L243">
        <v>24.86</v>
      </c>
      <c r="M243">
        <v>241.1</v>
      </c>
      <c r="N243">
        <v>89</v>
      </c>
      <c r="O243">
        <v>10.85</v>
      </c>
      <c r="P243">
        <v>9.1</v>
      </c>
      <c r="Q243">
        <v>4</v>
      </c>
      <c r="R243">
        <v>2.46</v>
      </c>
      <c r="S243">
        <v>1</v>
      </c>
      <c r="T243" t="b">
        <v>0</v>
      </c>
      <c r="AK243">
        <v>169.2</v>
      </c>
      <c r="AW243">
        <v>235.5</v>
      </c>
    </row>
    <row r="244" spans="1:49">
      <c r="A244" t="s">
        <v>83</v>
      </c>
      <c r="B244">
        <v>136</v>
      </c>
      <c r="C244">
        <v>510</v>
      </c>
      <c r="D244" t="s">
        <v>62</v>
      </c>
      <c r="E244" t="s">
        <v>62</v>
      </c>
      <c r="F244">
        <v>0</v>
      </c>
      <c r="G244">
        <v>92</v>
      </c>
      <c r="H244">
        <v>117</v>
      </c>
      <c r="I244">
        <v>15.64</v>
      </c>
      <c r="J244">
        <v>253.6</v>
      </c>
      <c r="K244">
        <v>77</v>
      </c>
      <c r="L244">
        <v>21.56</v>
      </c>
      <c r="M244">
        <v>214.1</v>
      </c>
      <c r="N244">
        <v>90</v>
      </c>
      <c r="O244">
        <v>9.63</v>
      </c>
      <c r="P244">
        <v>10.3</v>
      </c>
      <c r="Q244">
        <v>10</v>
      </c>
      <c r="R244">
        <v>2.78</v>
      </c>
      <c r="S244">
        <v>1</v>
      </c>
      <c r="T244" t="b">
        <v>0</v>
      </c>
      <c r="AK244">
        <v>194.1</v>
      </c>
      <c r="AW244">
        <v>263.8</v>
      </c>
    </row>
    <row r="245" spans="1:49">
      <c r="A245" t="s">
        <v>69</v>
      </c>
      <c r="B245">
        <v>196</v>
      </c>
      <c r="C245">
        <v>415</v>
      </c>
      <c r="D245" t="s">
        <v>62</v>
      </c>
      <c r="E245" t="s">
        <v>62</v>
      </c>
      <c r="F245">
        <v>0</v>
      </c>
      <c r="G245">
        <v>234</v>
      </c>
      <c r="H245">
        <v>109</v>
      </c>
      <c r="I245">
        <v>39.78</v>
      </c>
      <c r="J245">
        <v>249.5</v>
      </c>
      <c r="K245">
        <v>114</v>
      </c>
      <c r="L245">
        <v>21.21</v>
      </c>
      <c r="M245">
        <v>173.1</v>
      </c>
      <c r="N245">
        <v>70</v>
      </c>
      <c r="O245">
        <v>7.79</v>
      </c>
      <c r="P245">
        <v>9.1</v>
      </c>
      <c r="Q245">
        <v>5</v>
      </c>
      <c r="R245">
        <v>2.46</v>
      </c>
      <c r="S245">
        <v>2</v>
      </c>
      <c r="T245" t="b">
        <v>0</v>
      </c>
      <c r="AK245">
        <v>225.1</v>
      </c>
      <c r="AW245">
        <v>242.5</v>
      </c>
    </row>
    <row r="246" spans="1:49">
      <c r="A246" t="s">
        <v>78</v>
      </c>
      <c r="B246">
        <v>113</v>
      </c>
      <c r="C246">
        <v>415</v>
      </c>
      <c r="D246" t="s">
        <v>62</v>
      </c>
      <c r="E246" t="s">
        <v>62</v>
      </c>
      <c r="F246">
        <v>0</v>
      </c>
      <c r="G246">
        <v>272.1</v>
      </c>
      <c r="H246">
        <v>111</v>
      </c>
      <c r="I246">
        <v>46.26</v>
      </c>
      <c r="J246">
        <v>268.5</v>
      </c>
      <c r="K246">
        <v>118</v>
      </c>
      <c r="L246">
        <v>22.82</v>
      </c>
      <c r="M246">
        <v>213.8</v>
      </c>
      <c r="N246">
        <v>105</v>
      </c>
      <c r="O246">
        <v>9.62</v>
      </c>
      <c r="P246">
        <v>8.5</v>
      </c>
      <c r="Q246">
        <v>10</v>
      </c>
      <c r="R246">
        <v>2.3</v>
      </c>
      <c r="S246">
        <v>1</v>
      </c>
      <c r="T246" t="b">
        <v>1</v>
      </c>
      <c r="AK246">
        <v>183.9</v>
      </c>
      <c r="AW246">
        <v>151</v>
      </c>
    </row>
    <row r="247" spans="1:49">
      <c r="A247" t="s">
        <v>73</v>
      </c>
      <c r="B247">
        <v>112</v>
      </c>
      <c r="C247">
        <v>510</v>
      </c>
      <c r="D247" t="s">
        <v>62</v>
      </c>
      <c r="E247" t="s">
        <v>62</v>
      </c>
      <c r="F247">
        <v>0</v>
      </c>
      <c r="G247">
        <v>194.4</v>
      </c>
      <c r="H247">
        <v>101</v>
      </c>
      <c r="I247">
        <v>33.05</v>
      </c>
      <c r="J247">
        <v>190.3</v>
      </c>
      <c r="K247">
        <v>82</v>
      </c>
      <c r="L247">
        <v>16.18</v>
      </c>
      <c r="M247">
        <v>183.4</v>
      </c>
      <c r="N247">
        <v>107</v>
      </c>
      <c r="O247">
        <v>8.25</v>
      </c>
      <c r="P247">
        <v>11.4</v>
      </c>
      <c r="Q247">
        <v>2</v>
      </c>
      <c r="R247">
        <v>3.08</v>
      </c>
      <c r="S247">
        <v>0</v>
      </c>
      <c r="T247" t="b">
        <v>0</v>
      </c>
      <c r="AK247">
        <v>221.8</v>
      </c>
      <c r="AW247">
        <v>138.1</v>
      </c>
    </row>
    <row r="248" spans="1:49">
      <c r="A248" t="s">
        <v>99</v>
      </c>
      <c r="B248">
        <v>209</v>
      </c>
      <c r="C248">
        <v>415</v>
      </c>
      <c r="D248" t="s">
        <v>62</v>
      </c>
      <c r="E248" t="s">
        <v>62</v>
      </c>
      <c r="F248">
        <v>0</v>
      </c>
      <c r="G248">
        <v>227.2</v>
      </c>
      <c r="H248">
        <v>128</v>
      </c>
      <c r="I248">
        <v>38.62</v>
      </c>
      <c r="J248">
        <v>258.4</v>
      </c>
      <c r="K248">
        <v>92</v>
      </c>
      <c r="L248">
        <v>21.96</v>
      </c>
      <c r="M248">
        <v>183.5</v>
      </c>
      <c r="N248">
        <v>74</v>
      </c>
      <c r="O248">
        <v>8.26</v>
      </c>
      <c r="P248">
        <v>8.9</v>
      </c>
      <c r="Q248">
        <v>4</v>
      </c>
      <c r="R248">
        <v>2.4</v>
      </c>
      <c r="S248">
        <v>3</v>
      </c>
      <c r="T248" t="b">
        <v>0</v>
      </c>
      <c r="AK248">
        <v>64.6</v>
      </c>
      <c r="AW248">
        <v>211.2</v>
      </c>
    </row>
    <row r="249" spans="1:49">
      <c r="A249" t="s">
        <v>102</v>
      </c>
      <c r="B249">
        <v>62</v>
      </c>
      <c r="C249">
        <v>415</v>
      </c>
      <c r="D249" t="s">
        <v>62</v>
      </c>
      <c r="E249" t="s">
        <v>62</v>
      </c>
      <c r="F249">
        <v>0</v>
      </c>
      <c r="G249">
        <v>248.7</v>
      </c>
      <c r="H249">
        <v>109</v>
      </c>
      <c r="I249">
        <v>42.28</v>
      </c>
      <c r="J249">
        <v>220</v>
      </c>
      <c r="K249">
        <v>118</v>
      </c>
      <c r="L249">
        <v>18.7</v>
      </c>
      <c r="M249">
        <v>265.7</v>
      </c>
      <c r="N249">
        <v>78</v>
      </c>
      <c r="O249">
        <v>11.96</v>
      </c>
      <c r="P249">
        <v>13.2</v>
      </c>
      <c r="Q249">
        <v>2</v>
      </c>
      <c r="R249">
        <v>3.56</v>
      </c>
      <c r="S249">
        <v>1</v>
      </c>
      <c r="T249" t="b">
        <v>1</v>
      </c>
      <c r="AK249">
        <v>154.6</v>
      </c>
      <c r="AW249">
        <v>197.1</v>
      </c>
    </row>
    <row r="250" spans="1:49">
      <c r="A250" t="s">
        <v>80</v>
      </c>
      <c r="B250">
        <v>110</v>
      </c>
      <c r="C250">
        <v>415</v>
      </c>
      <c r="D250" t="s">
        <v>62</v>
      </c>
      <c r="E250" t="s">
        <v>63</v>
      </c>
      <c r="F250">
        <v>38</v>
      </c>
      <c r="G250">
        <v>236.3</v>
      </c>
      <c r="H250">
        <v>102</v>
      </c>
      <c r="I250">
        <v>40.17</v>
      </c>
      <c r="J250">
        <v>195.9</v>
      </c>
      <c r="K250">
        <v>112</v>
      </c>
      <c r="L250">
        <v>16.65</v>
      </c>
      <c r="M250">
        <v>183.5</v>
      </c>
      <c r="N250">
        <v>82</v>
      </c>
      <c r="O250">
        <v>8.26</v>
      </c>
      <c r="P250">
        <v>9.7</v>
      </c>
      <c r="Q250">
        <v>6</v>
      </c>
      <c r="R250">
        <v>2.62</v>
      </c>
      <c r="S250">
        <v>1</v>
      </c>
      <c r="T250" t="b">
        <v>0</v>
      </c>
      <c r="AK250">
        <v>260.2</v>
      </c>
      <c r="AW250">
        <v>181.8</v>
      </c>
    </row>
    <row r="251" spans="1:49">
      <c r="A251" t="s">
        <v>79</v>
      </c>
      <c r="B251">
        <v>16</v>
      </c>
      <c r="C251">
        <v>510</v>
      </c>
      <c r="D251" t="s">
        <v>62</v>
      </c>
      <c r="E251" t="s">
        <v>62</v>
      </c>
      <c r="F251">
        <v>0</v>
      </c>
      <c r="G251">
        <v>205.6</v>
      </c>
      <c r="H251">
        <v>69</v>
      </c>
      <c r="I251">
        <v>34.95</v>
      </c>
      <c r="J251">
        <v>169.5</v>
      </c>
      <c r="K251">
        <v>93</v>
      </c>
      <c r="L251">
        <v>14.41</v>
      </c>
      <c r="M251">
        <v>220.1</v>
      </c>
      <c r="N251">
        <v>64</v>
      </c>
      <c r="O251">
        <v>9.9</v>
      </c>
      <c r="P251">
        <v>10.9</v>
      </c>
      <c r="Q251">
        <v>3</v>
      </c>
      <c r="R251">
        <v>2.94</v>
      </c>
      <c r="S251">
        <v>0</v>
      </c>
      <c r="T251" t="b">
        <v>0</v>
      </c>
      <c r="AK251">
        <v>161.6</v>
      </c>
      <c r="AW251">
        <v>252</v>
      </c>
    </row>
    <row r="252" spans="1:49">
      <c r="A252" t="s">
        <v>68</v>
      </c>
      <c r="B252">
        <v>73</v>
      </c>
      <c r="C252">
        <v>408</v>
      </c>
      <c r="D252" t="s">
        <v>62</v>
      </c>
      <c r="E252" t="s">
        <v>62</v>
      </c>
      <c r="F252">
        <v>0</v>
      </c>
      <c r="G252">
        <v>94.1</v>
      </c>
      <c r="H252">
        <v>136</v>
      </c>
      <c r="I252">
        <v>16</v>
      </c>
      <c r="J252">
        <v>280.3</v>
      </c>
      <c r="K252">
        <v>122</v>
      </c>
      <c r="L252">
        <v>23.83</v>
      </c>
      <c r="M252">
        <v>205</v>
      </c>
      <c r="N252">
        <v>77</v>
      </c>
      <c r="O252">
        <v>9.23</v>
      </c>
      <c r="P252">
        <v>9.8</v>
      </c>
      <c r="Q252">
        <v>4</v>
      </c>
      <c r="R252">
        <v>2.65</v>
      </c>
      <c r="S252">
        <v>0</v>
      </c>
      <c r="T252" t="b">
        <v>0</v>
      </c>
      <c r="AK252">
        <v>220.6</v>
      </c>
      <c r="AW252">
        <v>231.2</v>
      </c>
    </row>
    <row r="253" spans="1:49">
      <c r="A253" t="s">
        <v>77</v>
      </c>
      <c r="B253">
        <v>128</v>
      </c>
      <c r="C253">
        <v>408</v>
      </c>
      <c r="D253" t="s">
        <v>62</v>
      </c>
      <c r="E253" t="s">
        <v>62</v>
      </c>
      <c r="F253">
        <v>0</v>
      </c>
      <c r="G253">
        <v>125.2</v>
      </c>
      <c r="H253">
        <v>99</v>
      </c>
      <c r="I253">
        <v>21.28</v>
      </c>
      <c r="J253">
        <v>205.4</v>
      </c>
      <c r="K253">
        <v>107</v>
      </c>
      <c r="L253">
        <v>17.46</v>
      </c>
      <c r="M253">
        <v>254.4</v>
      </c>
      <c r="N253">
        <v>111</v>
      </c>
      <c r="O253">
        <v>11.45</v>
      </c>
      <c r="P253">
        <v>18.9</v>
      </c>
      <c r="Q253">
        <v>2</v>
      </c>
      <c r="R253">
        <v>5.1</v>
      </c>
      <c r="S253">
        <v>0</v>
      </c>
      <c r="T253" t="b">
        <v>0</v>
      </c>
      <c r="AK253">
        <v>155.9</v>
      </c>
      <c r="AW253">
        <v>200.1</v>
      </c>
    </row>
    <row r="254" spans="1:49">
      <c r="A254" t="s">
        <v>68</v>
      </c>
      <c r="B254">
        <v>39</v>
      </c>
      <c r="C254">
        <v>408</v>
      </c>
      <c r="D254" t="s">
        <v>62</v>
      </c>
      <c r="E254" t="s">
        <v>62</v>
      </c>
      <c r="F254">
        <v>0</v>
      </c>
      <c r="G254">
        <v>60.4</v>
      </c>
      <c r="H254">
        <v>158</v>
      </c>
      <c r="I254">
        <v>10.27</v>
      </c>
      <c r="J254">
        <v>306.2</v>
      </c>
      <c r="K254">
        <v>120</v>
      </c>
      <c r="L254">
        <v>26.03</v>
      </c>
      <c r="M254">
        <v>123.9</v>
      </c>
      <c r="N254">
        <v>46</v>
      </c>
      <c r="O254">
        <v>5.58</v>
      </c>
      <c r="P254">
        <v>12.4</v>
      </c>
      <c r="Q254">
        <v>3</v>
      </c>
      <c r="R254">
        <v>3.35</v>
      </c>
      <c r="S254">
        <v>1</v>
      </c>
      <c r="T254" t="b">
        <v>0</v>
      </c>
      <c r="AK254">
        <v>182.5</v>
      </c>
      <c r="AW254">
        <v>222.4</v>
      </c>
    </row>
    <row r="255" spans="1:49">
      <c r="A255" t="s">
        <v>89</v>
      </c>
      <c r="B255">
        <v>103</v>
      </c>
      <c r="C255">
        <v>415</v>
      </c>
      <c r="D255" t="s">
        <v>62</v>
      </c>
      <c r="E255" t="s">
        <v>63</v>
      </c>
      <c r="F255">
        <v>28</v>
      </c>
      <c r="G255">
        <v>121</v>
      </c>
      <c r="H255">
        <v>105</v>
      </c>
      <c r="I255">
        <v>20.57</v>
      </c>
      <c r="J255">
        <v>270.4</v>
      </c>
      <c r="K255">
        <v>100</v>
      </c>
      <c r="L255">
        <v>22.98</v>
      </c>
      <c r="M255">
        <v>160.5</v>
      </c>
      <c r="N255">
        <v>76</v>
      </c>
      <c r="O255">
        <v>7.22</v>
      </c>
      <c r="P255">
        <v>7.7</v>
      </c>
      <c r="Q255">
        <v>4</v>
      </c>
      <c r="R255">
        <v>2.08</v>
      </c>
      <c r="S255">
        <v>2</v>
      </c>
      <c r="T255" t="b">
        <v>0</v>
      </c>
      <c r="AK255">
        <v>220.1</v>
      </c>
      <c r="AW255">
        <v>256.7</v>
      </c>
    </row>
    <row r="256" spans="1:49">
      <c r="A256" t="s">
        <v>73</v>
      </c>
      <c r="B256">
        <v>119</v>
      </c>
      <c r="C256">
        <v>415</v>
      </c>
      <c r="D256" t="s">
        <v>62</v>
      </c>
      <c r="E256" t="s">
        <v>63</v>
      </c>
      <c r="F256">
        <v>29</v>
      </c>
      <c r="G256">
        <v>117.8</v>
      </c>
      <c r="H256">
        <v>66</v>
      </c>
      <c r="I256">
        <v>20.03</v>
      </c>
      <c r="J256">
        <v>256.8</v>
      </c>
      <c r="K256">
        <v>114</v>
      </c>
      <c r="L256">
        <v>21.83</v>
      </c>
      <c r="M256">
        <v>147.6</v>
      </c>
      <c r="N256">
        <v>76</v>
      </c>
      <c r="O256">
        <v>6.64</v>
      </c>
      <c r="P256">
        <v>7.6</v>
      </c>
      <c r="Q256">
        <v>3</v>
      </c>
      <c r="R256">
        <v>2.05</v>
      </c>
      <c r="S256">
        <v>3</v>
      </c>
      <c r="T256" t="b">
        <v>0</v>
      </c>
      <c r="AK256">
        <v>152.2</v>
      </c>
      <c r="AW256">
        <v>30.9</v>
      </c>
    </row>
    <row r="257" spans="1:49">
      <c r="A257" t="s">
        <v>77</v>
      </c>
      <c r="B257">
        <v>173</v>
      </c>
      <c r="C257">
        <v>510</v>
      </c>
      <c r="D257" t="s">
        <v>62</v>
      </c>
      <c r="E257" t="s">
        <v>63</v>
      </c>
      <c r="F257">
        <v>21</v>
      </c>
      <c r="G257">
        <v>232.4</v>
      </c>
      <c r="H257">
        <v>96</v>
      </c>
      <c r="I257">
        <v>39.51</v>
      </c>
      <c r="J257">
        <v>211.9</v>
      </c>
      <c r="K257">
        <v>118</v>
      </c>
      <c r="L257">
        <v>18.01</v>
      </c>
      <c r="M257">
        <v>273</v>
      </c>
      <c r="N257">
        <v>102</v>
      </c>
      <c r="O257">
        <v>12.29</v>
      </c>
      <c r="P257">
        <v>5</v>
      </c>
      <c r="Q257">
        <v>5</v>
      </c>
      <c r="R257">
        <v>1.35</v>
      </c>
      <c r="S257">
        <v>3</v>
      </c>
      <c r="T257" t="b">
        <v>0</v>
      </c>
      <c r="AK257">
        <v>181.5</v>
      </c>
      <c r="AW257">
        <v>277.5</v>
      </c>
    </row>
    <row r="258" spans="1:49">
      <c r="A258" t="s">
        <v>99</v>
      </c>
      <c r="B258">
        <v>128</v>
      </c>
      <c r="C258">
        <v>510</v>
      </c>
      <c r="D258" t="s">
        <v>63</v>
      </c>
      <c r="E258" t="s">
        <v>63</v>
      </c>
      <c r="F258">
        <v>32</v>
      </c>
      <c r="G258">
        <v>223.5</v>
      </c>
      <c r="H258">
        <v>81</v>
      </c>
      <c r="I258">
        <v>38</v>
      </c>
      <c r="J258">
        <v>188.8</v>
      </c>
      <c r="K258">
        <v>74</v>
      </c>
      <c r="L258">
        <v>16.05</v>
      </c>
      <c r="M258">
        <v>154.9</v>
      </c>
      <c r="N258">
        <v>101</v>
      </c>
      <c r="O258">
        <v>6.97</v>
      </c>
      <c r="P258">
        <v>9.4</v>
      </c>
      <c r="Q258">
        <v>2</v>
      </c>
      <c r="R258">
        <v>2.54</v>
      </c>
      <c r="S258">
        <v>2</v>
      </c>
      <c r="T258" t="b">
        <v>1</v>
      </c>
      <c r="AK258">
        <v>166.1</v>
      </c>
      <c r="AW258">
        <v>97.6</v>
      </c>
    </row>
    <row r="259" spans="1:49">
      <c r="A259" t="s">
        <v>68</v>
      </c>
      <c r="B259">
        <v>86</v>
      </c>
      <c r="C259">
        <v>510</v>
      </c>
      <c r="D259" t="s">
        <v>62</v>
      </c>
      <c r="E259" t="s">
        <v>62</v>
      </c>
      <c r="F259">
        <v>0</v>
      </c>
      <c r="G259">
        <v>176.3</v>
      </c>
      <c r="H259">
        <v>79</v>
      </c>
      <c r="I259">
        <v>29.97</v>
      </c>
      <c r="J259">
        <v>259.2</v>
      </c>
      <c r="K259">
        <v>97</v>
      </c>
      <c r="L259">
        <v>22.03</v>
      </c>
      <c r="M259">
        <v>287.4</v>
      </c>
      <c r="N259">
        <v>78</v>
      </c>
      <c r="O259">
        <v>12.93</v>
      </c>
      <c r="P259">
        <v>6.2</v>
      </c>
      <c r="Q259">
        <v>3</v>
      </c>
      <c r="R259">
        <v>1.67</v>
      </c>
      <c r="S259">
        <v>0</v>
      </c>
      <c r="T259" t="b">
        <v>0</v>
      </c>
      <c r="AK259">
        <v>134.2</v>
      </c>
      <c r="AW259">
        <v>206</v>
      </c>
    </row>
    <row r="260" spans="1:49">
      <c r="A260" t="s">
        <v>85</v>
      </c>
      <c r="B260">
        <v>114</v>
      </c>
      <c r="C260">
        <v>415</v>
      </c>
      <c r="D260" t="s">
        <v>62</v>
      </c>
      <c r="E260" t="s">
        <v>63</v>
      </c>
      <c r="F260">
        <v>32</v>
      </c>
      <c r="G260">
        <v>125.2</v>
      </c>
      <c r="H260">
        <v>79</v>
      </c>
      <c r="I260">
        <v>21.28</v>
      </c>
      <c r="J260">
        <v>177.8</v>
      </c>
      <c r="K260">
        <v>105</v>
      </c>
      <c r="L260">
        <v>15.11</v>
      </c>
      <c r="M260">
        <v>232.4</v>
      </c>
      <c r="N260">
        <v>89</v>
      </c>
      <c r="O260">
        <v>10.46</v>
      </c>
      <c r="P260">
        <v>12.9</v>
      </c>
      <c r="Q260">
        <v>3</v>
      </c>
      <c r="R260">
        <v>3.48</v>
      </c>
      <c r="S260">
        <v>1</v>
      </c>
      <c r="T260" t="b">
        <v>0</v>
      </c>
      <c r="AK260">
        <v>149.7</v>
      </c>
      <c r="AW260">
        <v>216.8</v>
      </c>
    </row>
    <row r="261" spans="1:49">
      <c r="A261" t="s">
        <v>79</v>
      </c>
      <c r="B261">
        <v>104</v>
      </c>
      <c r="C261">
        <v>408</v>
      </c>
      <c r="D261" t="s">
        <v>62</v>
      </c>
      <c r="E261" t="s">
        <v>62</v>
      </c>
      <c r="F261">
        <v>0</v>
      </c>
      <c r="G261">
        <v>138.7</v>
      </c>
      <c r="H261">
        <v>107</v>
      </c>
      <c r="I261">
        <v>23.58</v>
      </c>
      <c r="J261">
        <v>256.9</v>
      </c>
      <c r="K261">
        <v>113</v>
      </c>
      <c r="L261">
        <v>21.84</v>
      </c>
      <c r="M261">
        <v>234.9</v>
      </c>
      <c r="N261">
        <v>74</v>
      </c>
      <c r="O261">
        <v>10.57</v>
      </c>
      <c r="P261">
        <v>10</v>
      </c>
      <c r="Q261">
        <v>3</v>
      </c>
      <c r="R261">
        <v>2.7</v>
      </c>
      <c r="S261">
        <v>0</v>
      </c>
      <c r="T261" t="b">
        <v>0</v>
      </c>
      <c r="AK261">
        <v>150.1</v>
      </c>
      <c r="AW261">
        <v>103.3</v>
      </c>
    </row>
    <row r="262" spans="1:49">
      <c r="A262" t="s">
        <v>94</v>
      </c>
      <c r="B262">
        <v>148</v>
      </c>
      <c r="C262">
        <v>415</v>
      </c>
      <c r="D262" t="s">
        <v>62</v>
      </c>
      <c r="E262" t="s">
        <v>62</v>
      </c>
      <c r="F262">
        <v>0</v>
      </c>
      <c r="G262">
        <v>86.3</v>
      </c>
      <c r="H262">
        <v>134</v>
      </c>
      <c r="I262">
        <v>14.67</v>
      </c>
      <c r="J262">
        <v>246.6</v>
      </c>
      <c r="K262">
        <v>92</v>
      </c>
      <c r="L262">
        <v>20.96</v>
      </c>
      <c r="M262">
        <v>251.6</v>
      </c>
      <c r="N262">
        <v>91</v>
      </c>
      <c r="O262">
        <v>11.32</v>
      </c>
      <c r="P262">
        <v>11.3</v>
      </c>
      <c r="Q262">
        <v>4</v>
      </c>
      <c r="R262">
        <v>3.05</v>
      </c>
      <c r="S262">
        <v>1</v>
      </c>
      <c r="T262" t="b">
        <v>0</v>
      </c>
      <c r="AK262">
        <v>141.7</v>
      </c>
      <c r="AW262">
        <v>139.4</v>
      </c>
    </row>
    <row r="263" spans="1:49">
      <c r="A263" t="s">
        <v>79</v>
      </c>
      <c r="B263">
        <v>129</v>
      </c>
      <c r="C263">
        <v>408</v>
      </c>
      <c r="D263" t="s">
        <v>62</v>
      </c>
      <c r="E263" t="s">
        <v>62</v>
      </c>
      <c r="F263">
        <v>0</v>
      </c>
      <c r="G263">
        <v>207</v>
      </c>
      <c r="H263">
        <v>91</v>
      </c>
      <c r="I263">
        <v>35.19</v>
      </c>
      <c r="J263">
        <v>154.9</v>
      </c>
      <c r="K263">
        <v>121</v>
      </c>
      <c r="L263">
        <v>13.17</v>
      </c>
      <c r="M263">
        <v>245.1</v>
      </c>
      <c r="N263">
        <v>112</v>
      </c>
      <c r="O263">
        <v>11.03</v>
      </c>
      <c r="P263">
        <v>13.4</v>
      </c>
      <c r="Q263">
        <v>5</v>
      </c>
      <c r="R263">
        <v>3.62</v>
      </c>
      <c r="S263">
        <v>3</v>
      </c>
      <c r="T263" t="b">
        <v>0</v>
      </c>
      <c r="AK263">
        <v>162.3</v>
      </c>
      <c r="AW263">
        <v>191.2</v>
      </c>
    </row>
    <row r="264" spans="1:49">
      <c r="A264" t="s">
        <v>108</v>
      </c>
      <c r="B264">
        <v>100</v>
      </c>
      <c r="C264">
        <v>510</v>
      </c>
      <c r="D264" t="s">
        <v>62</v>
      </c>
      <c r="E264" t="s">
        <v>63</v>
      </c>
      <c r="F264">
        <v>30</v>
      </c>
      <c r="G264">
        <v>58.8</v>
      </c>
      <c r="H264">
        <v>104</v>
      </c>
      <c r="I264">
        <v>10</v>
      </c>
      <c r="J264">
        <v>219.5</v>
      </c>
      <c r="K264">
        <v>107</v>
      </c>
      <c r="L264">
        <v>18.66</v>
      </c>
      <c r="M264">
        <v>152.3</v>
      </c>
      <c r="N264">
        <v>118</v>
      </c>
      <c r="O264">
        <v>6.85</v>
      </c>
      <c r="P264">
        <v>7.1</v>
      </c>
      <c r="Q264">
        <v>3</v>
      </c>
      <c r="R264">
        <v>1.92</v>
      </c>
      <c r="S264">
        <v>0</v>
      </c>
      <c r="T264" t="b">
        <v>0</v>
      </c>
      <c r="AK264">
        <v>193.3</v>
      </c>
      <c r="AW264">
        <v>62.9</v>
      </c>
    </row>
    <row r="265" spans="1:49">
      <c r="A265" t="s">
        <v>89</v>
      </c>
      <c r="B265">
        <v>143</v>
      </c>
      <c r="C265">
        <v>408</v>
      </c>
      <c r="D265" t="s">
        <v>62</v>
      </c>
      <c r="E265" t="s">
        <v>63</v>
      </c>
      <c r="F265">
        <v>33</v>
      </c>
      <c r="G265">
        <v>239.2</v>
      </c>
      <c r="H265">
        <v>109</v>
      </c>
      <c r="I265">
        <v>40.66</v>
      </c>
      <c r="J265">
        <v>235.5</v>
      </c>
      <c r="K265">
        <v>112</v>
      </c>
      <c r="L265">
        <v>20.02</v>
      </c>
      <c r="M265">
        <v>156.3</v>
      </c>
      <c r="N265">
        <v>95</v>
      </c>
      <c r="O265">
        <v>7.03</v>
      </c>
      <c r="P265">
        <v>9.5</v>
      </c>
      <c r="Q265">
        <v>4</v>
      </c>
      <c r="R265">
        <v>2.57</v>
      </c>
      <c r="S265">
        <v>1</v>
      </c>
      <c r="T265" t="b">
        <v>0</v>
      </c>
      <c r="AK265">
        <v>78.2</v>
      </c>
      <c r="AW265">
        <v>215.6</v>
      </c>
    </row>
    <row r="266" spans="1:49">
      <c r="A266" t="s">
        <v>75</v>
      </c>
      <c r="B266">
        <v>76</v>
      </c>
      <c r="C266">
        <v>510</v>
      </c>
      <c r="D266" t="s">
        <v>62</v>
      </c>
      <c r="E266" t="s">
        <v>62</v>
      </c>
      <c r="F266">
        <v>0</v>
      </c>
      <c r="G266">
        <v>198.3</v>
      </c>
      <c r="H266">
        <v>130</v>
      </c>
      <c r="I266">
        <v>33.71</v>
      </c>
      <c r="J266">
        <v>217.1</v>
      </c>
      <c r="K266">
        <v>86</v>
      </c>
      <c r="L266">
        <v>18.45</v>
      </c>
      <c r="M266">
        <v>188.4</v>
      </c>
      <c r="N266">
        <v>96</v>
      </c>
      <c r="O266">
        <v>8.48</v>
      </c>
      <c r="P266">
        <v>12.5</v>
      </c>
      <c r="Q266">
        <v>3</v>
      </c>
      <c r="R266">
        <v>3.38</v>
      </c>
      <c r="S266">
        <v>0</v>
      </c>
      <c r="T266" t="b">
        <v>0</v>
      </c>
      <c r="AK266">
        <v>83.4</v>
      </c>
      <c r="AW266">
        <v>114.4</v>
      </c>
    </row>
    <row r="267" spans="1:49">
      <c r="A267" t="s">
        <v>83</v>
      </c>
      <c r="B267">
        <v>158</v>
      </c>
      <c r="C267">
        <v>510</v>
      </c>
      <c r="D267" t="s">
        <v>62</v>
      </c>
      <c r="E267" t="s">
        <v>62</v>
      </c>
      <c r="F267">
        <v>0</v>
      </c>
      <c r="G267">
        <v>205.2</v>
      </c>
      <c r="H267">
        <v>97</v>
      </c>
      <c r="I267">
        <v>34.88</v>
      </c>
      <c r="J267">
        <v>240.6</v>
      </c>
      <c r="K267">
        <v>77</v>
      </c>
      <c r="L267">
        <v>20.45</v>
      </c>
      <c r="M267">
        <v>79.7</v>
      </c>
      <c r="N267">
        <v>108</v>
      </c>
      <c r="O267">
        <v>3.59</v>
      </c>
      <c r="P267">
        <v>14.4</v>
      </c>
      <c r="Q267">
        <v>12</v>
      </c>
      <c r="R267">
        <v>3.89</v>
      </c>
      <c r="S267">
        <v>0</v>
      </c>
      <c r="T267" t="b">
        <v>0</v>
      </c>
      <c r="AK267">
        <v>195.6</v>
      </c>
      <c r="AW267">
        <v>175.9</v>
      </c>
    </row>
    <row r="268" spans="1:49">
      <c r="A268" t="s">
        <v>81</v>
      </c>
      <c r="B268">
        <v>116</v>
      </c>
      <c r="C268">
        <v>510</v>
      </c>
      <c r="D268" t="s">
        <v>62</v>
      </c>
      <c r="E268" t="s">
        <v>62</v>
      </c>
      <c r="F268">
        <v>0</v>
      </c>
      <c r="G268">
        <v>192.1</v>
      </c>
      <c r="H268">
        <v>98</v>
      </c>
      <c r="I268">
        <v>32.66</v>
      </c>
      <c r="J268">
        <v>312.9</v>
      </c>
      <c r="K268">
        <v>135</v>
      </c>
      <c r="L268">
        <v>26.6</v>
      </c>
      <c r="M268">
        <v>130.2</v>
      </c>
      <c r="N268">
        <v>94</v>
      </c>
      <c r="O268">
        <v>5.86</v>
      </c>
      <c r="P268">
        <v>7.9</v>
      </c>
      <c r="Q268">
        <v>2</v>
      </c>
      <c r="R268">
        <v>2.13</v>
      </c>
      <c r="S268">
        <v>3</v>
      </c>
      <c r="T268" t="b">
        <v>0</v>
      </c>
      <c r="AK268">
        <v>197</v>
      </c>
      <c r="AW268">
        <v>210.7</v>
      </c>
    </row>
    <row r="269" spans="1:49">
      <c r="A269" t="s">
        <v>76</v>
      </c>
      <c r="B269">
        <v>54</v>
      </c>
      <c r="C269">
        <v>415</v>
      </c>
      <c r="D269" t="s">
        <v>62</v>
      </c>
      <c r="E269" t="s">
        <v>62</v>
      </c>
      <c r="F269">
        <v>0</v>
      </c>
      <c r="G269">
        <v>272.6</v>
      </c>
      <c r="H269">
        <v>83</v>
      </c>
      <c r="I269">
        <v>46.34</v>
      </c>
      <c r="J269">
        <v>248.7</v>
      </c>
      <c r="K269">
        <v>74</v>
      </c>
      <c r="L269">
        <v>21.14</v>
      </c>
      <c r="M269">
        <v>197.4</v>
      </c>
      <c r="N269">
        <v>111</v>
      </c>
      <c r="O269">
        <v>8.88</v>
      </c>
      <c r="P269">
        <v>9.5</v>
      </c>
      <c r="Q269">
        <v>2</v>
      </c>
      <c r="R269">
        <v>2.57</v>
      </c>
      <c r="S269">
        <v>1</v>
      </c>
      <c r="T269" t="b">
        <v>1</v>
      </c>
      <c r="AK269">
        <v>164.8</v>
      </c>
      <c r="AW269">
        <v>177.1</v>
      </c>
    </row>
    <row r="270" spans="1:49">
      <c r="A270" t="s">
        <v>67</v>
      </c>
      <c r="B270">
        <v>86</v>
      </c>
      <c r="C270">
        <v>415</v>
      </c>
      <c r="D270" t="s">
        <v>62</v>
      </c>
      <c r="E270" t="s">
        <v>62</v>
      </c>
      <c r="F270">
        <v>0</v>
      </c>
      <c r="G270">
        <v>128.3</v>
      </c>
      <c r="H270">
        <v>121</v>
      </c>
      <c r="I270">
        <v>21.81</v>
      </c>
      <c r="J270">
        <v>197.1</v>
      </c>
      <c r="K270">
        <v>93</v>
      </c>
      <c r="L270">
        <v>16.75</v>
      </c>
      <c r="M270">
        <v>138.4</v>
      </c>
      <c r="N270">
        <v>152</v>
      </c>
      <c r="O270">
        <v>6.23</v>
      </c>
      <c r="P270">
        <v>12.2</v>
      </c>
      <c r="Q270">
        <v>5</v>
      </c>
      <c r="R270">
        <v>3.29</v>
      </c>
      <c r="S270">
        <v>7</v>
      </c>
      <c r="T270" t="b">
        <v>1</v>
      </c>
      <c r="AK270">
        <v>179.2</v>
      </c>
      <c r="AW270">
        <v>215.6</v>
      </c>
    </row>
    <row r="271" spans="1:49">
      <c r="A271" t="s">
        <v>95</v>
      </c>
      <c r="B271">
        <v>108</v>
      </c>
      <c r="C271">
        <v>510</v>
      </c>
      <c r="D271" t="s">
        <v>62</v>
      </c>
      <c r="E271" t="s">
        <v>62</v>
      </c>
      <c r="F271">
        <v>0</v>
      </c>
      <c r="G271">
        <v>169.6</v>
      </c>
      <c r="H271">
        <v>99</v>
      </c>
      <c r="I271">
        <v>28.83</v>
      </c>
      <c r="J271">
        <v>264.1</v>
      </c>
      <c r="K271">
        <v>87</v>
      </c>
      <c r="L271">
        <v>22.45</v>
      </c>
      <c r="M271">
        <v>206.3</v>
      </c>
      <c r="N271">
        <v>78</v>
      </c>
      <c r="O271">
        <v>9.28</v>
      </c>
      <c r="P271">
        <v>9.3</v>
      </c>
      <c r="Q271">
        <v>4</v>
      </c>
      <c r="R271">
        <v>2.51</v>
      </c>
      <c r="S271">
        <v>0</v>
      </c>
      <c r="T271" t="b">
        <v>0</v>
      </c>
      <c r="AK271">
        <v>170.5</v>
      </c>
      <c r="AW271">
        <v>207.2</v>
      </c>
    </row>
    <row r="272" spans="1:49">
      <c r="A272" t="s">
        <v>76</v>
      </c>
      <c r="B272">
        <v>66</v>
      </c>
      <c r="C272">
        <v>510</v>
      </c>
      <c r="D272" t="s">
        <v>62</v>
      </c>
      <c r="E272" t="s">
        <v>62</v>
      </c>
      <c r="F272">
        <v>0</v>
      </c>
      <c r="G272">
        <v>201.3</v>
      </c>
      <c r="H272">
        <v>95</v>
      </c>
      <c r="I272">
        <v>34.22</v>
      </c>
      <c r="J272">
        <v>152.8</v>
      </c>
      <c r="K272">
        <v>66</v>
      </c>
      <c r="L272">
        <v>12.99</v>
      </c>
      <c r="M272">
        <v>233.2</v>
      </c>
      <c r="N272">
        <v>101</v>
      </c>
      <c r="O272">
        <v>10.49</v>
      </c>
      <c r="P272">
        <v>7.5</v>
      </c>
      <c r="Q272">
        <v>4</v>
      </c>
      <c r="R272">
        <v>2.03</v>
      </c>
      <c r="S272">
        <v>1</v>
      </c>
      <c r="T272" t="b">
        <v>0</v>
      </c>
      <c r="AK272">
        <v>205.7</v>
      </c>
      <c r="AW272">
        <v>187.5</v>
      </c>
    </row>
    <row r="273" spans="1:49">
      <c r="A273" t="s">
        <v>107</v>
      </c>
      <c r="B273">
        <v>151</v>
      </c>
      <c r="C273">
        <v>408</v>
      </c>
      <c r="D273" t="s">
        <v>62</v>
      </c>
      <c r="E273" t="s">
        <v>63</v>
      </c>
      <c r="F273">
        <v>17</v>
      </c>
      <c r="G273">
        <v>214.7</v>
      </c>
      <c r="H273">
        <v>97</v>
      </c>
      <c r="I273">
        <v>36.5</v>
      </c>
      <c r="J273">
        <v>138.5</v>
      </c>
      <c r="K273">
        <v>90</v>
      </c>
      <c r="L273">
        <v>11.77</v>
      </c>
      <c r="M273">
        <v>169.1</v>
      </c>
      <c r="N273">
        <v>44</v>
      </c>
      <c r="O273">
        <v>7.61</v>
      </c>
      <c r="P273">
        <v>8.6</v>
      </c>
      <c r="Q273">
        <v>4</v>
      </c>
      <c r="R273">
        <v>2.32</v>
      </c>
      <c r="S273">
        <v>1</v>
      </c>
      <c r="T273" t="b">
        <v>0</v>
      </c>
      <c r="AK273">
        <v>221</v>
      </c>
      <c r="AW273">
        <v>57.1</v>
      </c>
    </row>
    <row r="274" spans="1:49">
      <c r="A274" t="s">
        <v>111</v>
      </c>
      <c r="B274">
        <v>99</v>
      </c>
      <c r="C274">
        <v>510</v>
      </c>
      <c r="D274" t="s">
        <v>62</v>
      </c>
      <c r="E274" t="s">
        <v>62</v>
      </c>
      <c r="F274">
        <v>0</v>
      </c>
      <c r="G274">
        <v>169.2</v>
      </c>
      <c r="H274">
        <v>70</v>
      </c>
      <c r="I274">
        <v>28.76</v>
      </c>
      <c r="J274">
        <v>271.5</v>
      </c>
      <c r="K274">
        <v>77</v>
      </c>
      <c r="L274">
        <v>23.08</v>
      </c>
      <c r="M274">
        <v>170.2</v>
      </c>
      <c r="N274">
        <v>104</v>
      </c>
      <c r="O274">
        <v>7.66</v>
      </c>
      <c r="P274">
        <v>10.6</v>
      </c>
      <c r="Q274">
        <v>2</v>
      </c>
      <c r="R274">
        <v>2.86</v>
      </c>
      <c r="S274">
        <v>0</v>
      </c>
      <c r="T274" t="b">
        <v>0</v>
      </c>
      <c r="AK274">
        <v>242.1</v>
      </c>
      <c r="AW274">
        <v>162.1</v>
      </c>
    </row>
    <row r="275" spans="1:49">
      <c r="A275" t="s">
        <v>101</v>
      </c>
      <c r="B275">
        <v>55</v>
      </c>
      <c r="C275">
        <v>415</v>
      </c>
      <c r="D275" t="s">
        <v>62</v>
      </c>
      <c r="E275" t="s">
        <v>62</v>
      </c>
      <c r="F275">
        <v>0</v>
      </c>
      <c r="G275">
        <v>194.1</v>
      </c>
      <c r="H275">
        <v>121</v>
      </c>
      <c r="I275">
        <v>33</v>
      </c>
      <c r="J275">
        <v>176.6</v>
      </c>
      <c r="K275">
        <v>110</v>
      </c>
      <c r="L275">
        <v>15.01</v>
      </c>
      <c r="M275">
        <v>302.8</v>
      </c>
      <c r="N275">
        <v>136</v>
      </c>
      <c r="O275">
        <v>13.63</v>
      </c>
      <c r="P275">
        <v>7</v>
      </c>
      <c r="Q275">
        <v>7</v>
      </c>
      <c r="R275">
        <v>1.89</v>
      </c>
      <c r="S275">
        <v>2</v>
      </c>
      <c r="T275" t="b">
        <v>0</v>
      </c>
      <c r="AK275">
        <v>151.6</v>
      </c>
      <c r="AW275">
        <v>145</v>
      </c>
    </row>
    <row r="276" spans="1:49">
      <c r="A276" t="s">
        <v>90</v>
      </c>
      <c r="B276">
        <v>78</v>
      </c>
      <c r="C276">
        <v>408</v>
      </c>
      <c r="D276" t="s">
        <v>62</v>
      </c>
      <c r="E276" t="s">
        <v>62</v>
      </c>
      <c r="F276">
        <v>0</v>
      </c>
      <c r="G276">
        <v>225.1</v>
      </c>
      <c r="H276">
        <v>67</v>
      </c>
      <c r="I276">
        <v>38.27</v>
      </c>
      <c r="J276">
        <v>199.2</v>
      </c>
      <c r="K276">
        <v>127</v>
      </c>
      <c r="L276">
        <v>16.93</v>
      </c>
      <c r="M276">
        <v>175.5</v>
      </c>
      <c r="N276">
        <v>102</v>
      </c>
      <c r="O276">
        <v>7.9</v>
      </c>
      <c r="P276">
        <v>14.6</v>
      </c>
      <c r="Q276">
        <v>2</v>
      </c>
      <c r="R276">
        <v>3.94</v>
      </c>
      <c r="S276">
        <v>0</v>
      </c>
      <c r="T276" t="b">
        <v>0</v>
      </c>
      <c r="AK276">
        <v>176.2</v>
      </c>
      <c r="AW276">
        <v>34</v>
      </c>
    </row>
    <row r="277" spans="1:49">
      <c r="A277" t="s">
        <v>89</v>
      </c>
      <c r="B277">
        <v>89</v>
      </c>
      <c r="C277">
        <v>415</v>
      </c>
      <c r="D277" t="s">
        <v>62</v>
      </c>
      <c r="E277" t="s">
        <v>62</v>
      </c>
      <c r="F277">
        <v>0</v>
      </c>
      <c r="G277">
        <v>213</v>
      </c>
      <c r="H277">
        <v>63</v>
      </c>
      <c r="I277">
        <v>36.21</v>
      </c>
      <c r="J277">
        <v>176.6</v>
      </c>
      <c r="K277">
        <v>71</v>
      </c>
      <c r="L277">
        <v>15.01</v>
      </c>
      <c r="M277">
        <v>262.6</v>
      </c>
      <c r="N277">
        <v>126</v>
      </c>
      <c r="O277">
        <v>11.82</v>
      </c>
      <c r="P277">
        <v>9.1</v>
      </c>
      <c r="Q277">
        <v>1</v>
      </c>
      <c r="R277">
        <v>2.46</v>
      </c>
      <c r="S277">
        <v>1</v>
      </c>
      <c r="T277" t="b">
        <v>1</v>
      </c>
      <c r="AK277">
        <v>196</v>
      </c>
      <c r="AW277">
        <v>193.4</v>
      </c>
    </row>
    <row r="278" spans="1:49">
      <c r="A278" t="s">
        <v>102</v>
      </c>
      <c r="B278">
        <v>101</v>
      </c>
      <c r="C278">
        <v>415</v>
      </c>
      <c r="D278" t="s">
        <v>62</v>
      </c>
      <c r="E278" t="s">
        <v>62</v>
      </c>
      <c r="F278">
        <v>0</v>
      </c>
      <c r="G278">
        <v>183.9</v>
      </c>
      <c r="H278">
        <v>115</v>
      </c>
      <c r="I278">
        <v>31.26</v>
      </c>
      <c r="J278">
        <v>255.9</v>
      </c>
      <c r="K278">
        <v>101</v>
      </c>
      <c r="L278">
        <v>21.75</v>
      </c>
      <c r="M278">
        <v>275</v>
      </c>
      <c r="N278">
        <v>145</v>
      </c>
      <c r="O278">
        <v>12.38</v>
      </c>
      <c r="P278">
        <v>10.8</v>
      </c>
      <c r="Q278">
        <v>11</v>
      </c>
      <c r="R278">
        <v>2.92</v>
      </c>
      <c r="S278">
        <v>1</v>
      </c>
      <c r="T278" t="b">
        <v>0</v>
      </c>
      <c r="AK278">
        <v>159.5</v>
      </c>
      <c r="AW278">
        <v>191.7</v>
      </c>
    </row>
    <row r="279" spans="1:49">
      <c r="A279" t="s">
        <v>86</v>
      </c>
      <c r="B279">
        <v>44</v>
      </c>
      <c r="C279">
        <v>415</v>
      </c>
      <c r="D279" t="s">
        <v>62</v>
      </c>
      <c r="E279" t="s">
        <v>63</v>
      </c>
      <c r="F279">
        <v>34</v>
      </c>
      <c r="G279">
        <v>221.8</v>
      </c>
      <c r="H279">
        <v>105</v>
      </c>
      <c r="I279">
        <v>37.71</v>
      </c>
      <c r="J279">
        <v>161.7</v>
      </c>
      <c r="K279">
        <v>85</v>
      </c>
      <c r="L279">
        <v>13.74</v>
      </c>
      <c r="M279">
        <v>227.7</v>
      </c>
      <c r="N279">
        <v>62</v>
      </c>
      <c r="O279">
        <v>10.25</v>
      </c>
      <c r="P279">
        <v>14</v>
      </c>
      <c r="Q279">
        <v>7</v>
      </c>
      <c r="R279">
        <v>3.78</v>
      </c>
      <c r="S279">
        <v>0</v>
      </c>
      <c r="T279" t="b">
        <v>0</v>
      </c>
      <c r="AK279">
        <v>230.2</v>
      </c>
      <c r="AW279">
        <v>161.3</v>
      </c>
    </row>
    <row r="280" spans="1:49">
      <c r="A280" t="s">
        <v>96</v>
      </c>
      <c r="B280">
        <v>98</v>
      </c>
      <c r="C280">
        <v>408</v>
      </c>
      <c r="D280" t="s">
        <v>62</v>
      </c>
      <c r="E280" t="s">
        <v>63</v>
      </c>
      <c r="F280">
        <v>21</v>
      </c>
      <c r="G280">
        <v>64.6</v>
      </c>
      <c r="H280">
        <v>98</v>
      </c>
      <c r="I280">
        <v>10.98</v>
      </c>
      <c r="J280">
        <v>176.1</v>
      </c>
      <c r="K280">
        <v>86</v>
      </c>
      <c r="L280">
        <v>14.97</v>
      </c>
      <c r="M280">
        <v>244.8</v>
      </c>
      <c r="N280">
        <v>84</v>
      </c>
      <c r="O280">
        <v>11.02</v>
      </c>
      <c r="P280">
        <v>0</v>
      </c>
      <c r="Q280">
        <v>0</v>
      </c>
      <c r="R280">
        <v>0</v>
      </c>
      <c r="S280">
        <v>2</v>
      </c>
      <c r="T280" t="b">
        <v>0</v>
      </c>
      <c r="AK280">
        <v>146.7</v>
      </c>
      <c r="AW280">
        <v>150.6</v>
      </c>
    </row>
    <row r="281" spans="1:49">
      <c r="A281" t="s">
        <v>111</v>
      </c>
      <c r="B281">
        <v>64</v>
      </c>
      <c r="C281">
        <v>510</v>
      </c>
      <c r="D281" t="s">
        <v>62</v>
      </c>
      <c r="E281" t="s">
        <v>63</v>
      </c>
      <c r="F281">
        <v>37</v>
      </c>
      <c r="G281">
        <v>154.6</v>
      </c>
      <c r="H281">
        <v>92</v>
      </c>
      <c r="I281">
        <v>26.28</v>
      </c>
      <c r="J281">
        <v>83.4</v>
      </c>
      <c r="K281">
        <v>103</v>
      </c>
      <c r="L281">
        <v>7.09</v>
      </c>
      <c r="M281">
        <v>165.9</v>
      </c>
      <c r="N281">
        <v>99</v>
      </c>
      <c r="O281">
        <v>7.47</v>
      </c>
      <c r="P281">
        <v>13.3</v>
      </c>
      <c r="Q281">
        <v>3</v>
      </c>
      <c r="R281">
        <v>3.59</v>
      </c>
      <c r="S281">
        <v>1</v>
      </c>
      <c r="T281" t="b">
        <v>0</v>
      </c>
      <c r="AK281">
        <v>102</v>
      </c>
      <c r="AW281">
        <v>154</v>
      </c>
    </row>
    <row r="282" spans="1:49">
      <c r="A282" t="s">
        <v>79</v>
      </c>
      <c r="B282">
        <v>141</v>
      </c>
      <c r="C282">
        <v>415</v>
      </c>
      <c r="D282" t="s">
        <v>62</v>
      </c>
      <c r="E282" t="s">
        <v>62</v>
      </c>
      <c r="F282">
        <v>0</v>
      </c>
      <c r="G282">
        <v>260.2</v>
      </c>
      <c r="H282">
        <v>131</v>
      </c>
      <c r="I282">
        <v>44.23</v>
      </c>
      <c r="J282">
        <v>179.2</v>
      </c>
      <c r="K282">
        <v>120</v>
      </c>
      <c r="L282">
        <v>15.23</v>
      </c>
      <c r="M282">
        <v>135</v>
      </c>
      <c r="N282">
        <v>119</v>
      </c>
      <c r="O282">
        <v>6.08</v>
      </c>
      <c r="P282">
        <v>7.2</v>
      </c>
      <c r="Q282">
        <v>8</v>
      </c>
      <c r="R282">
        <v>1.94</v>
      </c>
      <c r="S282">
        <v>3</v>
      </c>
      <c r="T282" t="b">
        <v>0</v>
      </c>
      <c r="AK282">
        <v>126</v>
      </c>
      <c r="AW282">
        <v>121.1</v>
      </c>
    </row>
    <row r="283" spans="1:49">
      <c r="A283" t="s">
        <v>93</v>
      </c>
      <c r="B283">
        <v>81</v>
      </c>
      <c r="C283">
        <v>415</v>
      </c>
      <c r="D283" t="s">
        <v>62</v>
      </c>
      <c r="E283" t="s">
        <v>63</v>
      </c>
      <c r="F283">
        <v>33</v>
      </c>
      <c r="G283">
        <v>161.6</v>
      </c>
      <c r="H283">
        <v>117</v>
      </c>
      <c r="I283">
        <v>27.47</v>
      </c>
      <c r="J283">
        <v>123</v>
      </c>
      <c r="K283">
        <v>90</v>
      </c>
      <c r="L283">
        <v>10.46</v>
      </c>
      <c r="M283">
        <v>261.3</v>
      </c>
      <c r="N283">
        <v>101</v>
      </c>
      <c r="O283">
        <v>11.76</v>
      </c>
      <c r="P283">
        <v>12.2</v>
      </c>
      <c r="Q283">
        <v>5</v>
      </c>
      <c r="R283">
        <v>3.29</v>
      </c>
      <c r="S283">
        <v>1</v>
      </c>
      <c r="T283" t="b">
        <v>0</v>
      </c>
      <c r="AK283">
        <v>168.4</v>
      </c>
      <c r="AW283">
        <v>209.9</v>
      </c>
    </row>
    <row r="284" spans="1:49">
      <c r="A284" t="s">
        <v>78</v>
      </c>
      <c r="B284">
        <v>162</v>
      </c>
      <c r="C284">
        <v>510</v>
      </c>
      <c r="D284" t="s">
        <v>62</v>
      </c>
      <c r="E284" t="s">
        <v>62</v>
      </c>
      <c r="F284">
        <v>0</v>
      </c>
      <c r="G284">
        <v>220.6</v>
      </c>
      <c r="H284">
        <v>117</v>
      </c>
      <c r="I284">
        <v>37.5</v>
      </c>
      <c r="J284">
        <v>155.2</v>
      </c>
      <c r="K284">
        <v>121</v>
      </c>
      <c r="L284">
        <v>13.19</v>
      </c>
      <c r="M284">
        <v>186.7</v>
      </c>
      <c r="N284">
        <v>89</v>
      </c>
      <c r="O284">
        <v>8.4</v>
      </c>
      <c r="P284">
        <v>10.5</v>
      </c>
      <c r="Q284">
        <v>11</v>
      </c>
      <c r="R284">
        <v>2.84</v>
      </c>
      <c r="S284">
        <v>1</v>
      </c>
      <c r="T284" t="b">
        <v>0</v>
      </c>
      <c r="AK284">
        <v>206.5</v>
      </c>
      <c r="AW284">
        <v>167.5</v>
      </c>
    </row>
    <row r="285" spans="1:49">
      <c r="A285" t="s">
        <v>83</v>
      </c>
      <c r="B285">
        <v>83</v>
      </c>
      <c r="C285">
        <v>415</v>
      </c>
      <c r="D285" t="s">
        <v>62</v>
      </c>
      <c r="E285" t="s">
        <v>63</v>
      </c>
      <c r="F285">
        <v>41</v>
      </c>
      <c r="G285">
        <v>155.9</v>
      </c>
      <c r="H285">
        <v>122</v>
      </c>
      <c r="I285">
        <v>26.5</v>
      </c>
      <c r="J285">
        <v>162.3</v>
      </c>
      <c r="K285">
        <v>107</v>
      </c>
      <c r="L285">
        <v>13.8</v>
      </c>
      <c r="M285">
        <v>127.6</v>
      </c>
      <c r="N285">
        <v>105</v>
      </c>
      <c r="O285">
        <v>5.74</v>
      </c>
      <c r="P285">
        <v>13.1</v>
      </c>
      <c r="Q285">
        <v>5</v>
      </c>
      <c r="R285">
        <v>3.54</v>
      </c>
      <c r="S285">
        <v>3</v>
      </c>
      <c r="T285" t="b">
        <v>0</v>
      </c>
      <c r="AK285">
        <v>217.1</v>
      </c>
      <c r="AW285">
        <v>213.9</v>
      </c>
    </row>
    <row r="286" spans="1:49">
      <c r="A286" t="s">
        <v>81</v>
      </c>
      <c r="B286">
        <v>100</v>
      </c>
      <c r="C286">
        <v>510</v>
      </c>
      <c r="D286" t="s">
        <v>62</v>
      </c>
      <c r="E286" t="s">
        <v>62</v>
      </c>
      <c r="F286">
        <v>0</v>
      </c>
      <c r="G286">
        <v>107</v>
      </c>
      <c r="H286">
        <v>63</v>
      </c>
      <c r="I286">
        <v>18.19</v>
      </c>
      <c r="J286">
        <v>105.7</v>
      </c>
      <c r="K286">
        <v>67</v>
      </c>
      <c r="L286">
        <v>8.98</v>
      </c>
      <c r="M286">
        <v>243.1</v>
      </c>
      <c r="N286">
        <v>74</v>
      </c>
      <c r="O286">
        <v>10.94</v>
      </c>
      <c r="P286">
        <v>12.8</v>
      </c>
      <c r="Q286">
        <v>3</v>
      </c>
      <c r="R286">
        <v>3.46</v>
      </c>
      <c r="S286">
        <v>4</v>
      </c>
      <c r="T286" t="b">
        <v>1</v>
      </c>
      <c r="AK286">
        <v>278.3</v>
      </c>
      <c r="AW286">
        <v>115.8</v>
      </c>
    </row>
    <row r="287" spans="1:49">
      <c r="A287" t="s">
        <v>90</v>
      </c>
      <c r="B287">
        <v>59</v>
      </c>
      <c r="C287">
        <v>510</v>
      </c>
      <c r="D287" t="s">
        <v>62</v>
      </c>
      <c r="E287" t="s">
        <v>62</v>
      </c>
      <c r="F287">
        <v>0</v>
      </c>
      <c r="G287">
        <v>182.5</v>
      </c>
      <c r="H287">
        <v>104</v>
      </c>
      <c r="I287">
        <v>31.03</v>
      </c>
      <c r="J287">
        <v>204.7</v>
      </c>
      <c r="K287">
        <v>95</v>
      </c>
      <c r="L287">
        <v>17.4</v>
      </c>
      <c r="M287">
        <v>229.9</v>
      </c>
      <c r="N287">
        <v>100</v>
      </c>
      <c r="O287">
        <v>10.35</v>
      </c>
      <c r="P287">
        <v>11.3</v>
      </c>
      <c r="Q287">
        <v>8</v>
      </c>
      <c r="R287">
        <v>3.05</v>
      </c>
      <c r="S287">
        <v>4</v>
      </c>
      <c r="T287" t="b">
        <v>0</v>
      </c>
      <c r="AK287">
        <v>181.5</v>
      </c>
      <c r="AW287">
        <v>179.4</v>
      </c>
    </row>
    <row r="288" spans="1:49">
      <c r="A288" t="s">
        <v>92</v>
      </c>
      <c r="B288">
        <v>179</v>
      </c>
      <c r="C288">
        <v>415</v>
      </c>
      <c r="D288" t="s">
        <v>63</v>
      </c>
      <c r="E288" t="s">
        <v>63</v>
      </c>
      <c r="F288">
        <v>38</v>
      </c>
      <c r="G288">
        <v>220.1</v>
      </c>
      <c r="H288">
        <v>78</v>
      </c>
      <c r="I288">
        <v>37.42</v>
      </c>
      <c r="J288">
        <v>234.3</v>
      </c>
      <c r="K288">
        <v>71</v>
      </c>
      <c r="L288">
        <v>19.92</v>
      </c>
      <c r="M288">
        <v>237.3</v>
      </c>
      <c r="N288">
        <v>85</v>
      </c>
      <c r="O288">
        <v>10.68</v>
      </c>
      <c r="P288">
        <v>10.1</v>
      </c>
      <c r="Q288">
        <v>4</v>
      </c>
      <c r="R288">
        <v>2.73</v>
      </c>
      <c r="S288">
        <v>4</v>
      </c>
      <c r="T288" t="b">
        <v>0</v>
      </c>
      <c r="AK288">
        <v>121</v>
      </c>
      <c r="AW288">
        <v>189.6</v>
      </c>
    </row>
    <row r="289" spans="1:49">
      <c r="A289" t="s">
        <v>92</v>
      </c>
      <c r="B289">
        <v>79</v>
      </c>
      <c r="C289">
        <v>408</v>
      </c>
      <c r="D289" t="s">
        <v>62</v>
      </c>
      <c r="E289" t="s">
        <v>62</v>
      </c>
      <c r="F289">
        <v>0</v>
      </c>
      <c r="G289">
        <v>152.2</v>
      </c>
      <c r="H289">
        <v>112</v>
      </c>
      <c r="I289">
        <v>25.87</v>
      </c>
      <c r="J289">
        <v>177.2</v>
      </c>
      <c r="K289">
        <v>132</v>
      </c>
      <c r="L289">
        <v>15.06</v>
      </c>
      <c r="M289">
        <v>96.4</v>
      </c>
      <c r="N289">
        <v>87</v>
      </c>
      <c r="O289">
        <v>4.34</v>
      </c>
      <c r="P289">
        <v>5.3</v>
      </c>
      <c r="Q289">
        <v>3</v>
      </c>
      <c r="R289">
        <v>1.43</v>
      </c>
      <c r="S289">
        <v>1</v>
      </c>
      <c r="T289" t="b">
        <v>0</v>
      </c>
      <c r="AK289">
        <v>221.1</v>
      </c>
      <c r="AW289">
        <v>153.5</v>
      </c>
    </row>
    <row r="290" spans="1:49">
      <c r="A290" t="s">
        <v>90</v>
      </c>
      <c r="B290">
        <v>117</v>
      </c>
      <c r="C290">
        <v>415</v>
      </c>
      <c r="D290" t="s">
        <v>62</v>
      </c>
      <c r="E290" t="s">
        <v>62</v>
      </c>
      <c r="F290">
        <v>0</v>
      </c>
      <c r="G290">
        <v>181.5</v>
      </c>
      <c r="H290">
        <v>95</v>
      </c>
      <c r="I290">
        <v>30.86</v>
      </c>
      <c r="J290">
        <v>205.1</v>
      </c>
      <c r="K290">
        <v>88</v>
      </c>
      <c r="L290">
        <v>17.43</v>
      </c>
      <c r="M290">
        <v>204</v>
      </c>
      <c r="N290">
        <v>82</v>
      </c>
      <c r="O290">
        <v>9.18</v>
      </c>
      <c r="P290">
        <v>14.7</v>
      </c>
      <c r="Q290">
        <v>9</v>
      </c>
      <c r="R290">
        <v>3.97</v>
      </c>
      <c r="S290">
        <v>2</v>
      </c>
      <c r="T290" t="b">
        <v>0</v>
      </c>
      <c r="AK290">
        <v>222.8</v>
      </c>
      <c r="AW290">
        <v>187.6</v>
      </c>
    </row>
    <row r="291" spans="1:49">
      <c r="A291" t="s">
        <v>108</v>
      </c>
      <c r="B291">
        <v>31</v>
      </c>
      <c r="C291">
        <v>415</v>
      </c>
      <c r="D291" t="s">
        <v>62</v>
      </c>
      <c r="E291" t="s">
        <v>62</v>
      </c>
      <c r="F291">
        <v>0</v>
      </c>
      <c r="G291">
        <v>166.1</v>
      </c>
      <c r="H291">
        <v>105</v>
      </c>
      <c r="I291">
        <v>28.24</v>
      </c>
      <c r="J291">
        <v>79.3</v>
      </c>
      <c r="K291">
        <v>93</v>
      </c>
      <c r="L291">
        <v>6.74</v>
      </c>
      <c r="M291">
        <v>213.7</v>
      </c>
      <c r="N291">
        <v>98</v>
      </c>
      <c r="O291">
        <v>9.62</v>
      </c>
      <c r="P291">
        <v>12.7</v>
      </c>
      <c r="Q291">
        <v>2</v>
      </c>
      <c r="R291">
        <v>3.43</v>
      </c>
      <c r="S291">
        <v>1</v>
      </c>
      <c r="T291" t="b">
        <v>0</v>
      </c>
      <c r="AK291">
        <v>183.4</v>
      </c>
      <c r="AW291">
        <v>230.9</v>
      </c>
    </row>
    <row r="292" spans="1:49">
      <c r="A292" t="s">
        <v>103</v>
      </c>
      <c r="B292">
        <v>122</v>
      </c>
      <c r="C292">
        <v>408</v>
      </c>
      <c r="D292" t="s">
        <v>62</v>
      </c>
      <c r="E292" t="s">
        <v>63</v>
      </c>
      <c r="F292">
        <v>23</v>
      </c>
      <c r="G292">
        <v>134.2</v>
      </c>
      <c r="H292">
        <v>85</v>
      </c>
      <c r="I292">
        <v>22.81</v>
      </c>
      <c r="J292">
        <v>227.3</v>
      </c>
      <c r="K292">
        <v>132</v>
      </c>
      <c r="L292">
        <v>19.32</v>
      </c>
      <c r="M292">
        <v>122.4</v>
      </c>
      <c r="N292">
        <v>96</v>
      </c>
      <c r="O292">
        <v>5.51</v>
      </c>
      <c r="P292">
        <v>8.5</v>
      </c>
      <c r="Q292">
        <v>2</v>
      </c>
      <c r="R292">
        <v>2.3</v>
      </c>
      <c r="S292">
        <v>2</v>
      </c>
      <c r="T292" t="b">
        <v>0</v>
      </c>
      <c r="AK292">
        <v>264.3</v>
      </c>
      <c r="AW292">
        <v>244.9</v>
      </c>
    </row>
    <row r="293" spans="1:49">
      <c r="A293" t="s">
        <v>84</v>
      </c>
      <c r="B293">
        <v>37</v>
      </c>
      <c r="C293">
        <v>408</v>
      </c>
      <c r="D293" t="s">
        <v>63</v>
      </c>
      <c r="E293" t="s">
        <v>63</v>
      </c>
      <c r="F293">
        <v>39</v>
      </c>
      <c r="G293">
        <v>149.7</v>
      </c>
      <c r="H293">
        <v>122</v>
      </c>
      <c r="I293">
        <v>25.45</v>
      </c>
      <c r="J293">
        <v>211.1</v>
      </c>
      <c r="K293">
        <v>75</v>
      </c>
      <c r="L293">
        <v>17.94</v>
      </c>
      <c r="M293">
        <v>114.3</v>
      </c>
      <c r="N293">
        <v>90</v>
      </c>
      <c r="O293">
        <v>5.14</v>
      </c>
      <c r="P293">
        <v>9.2</v>
      </c>
      <c r="Q293">
        <v>4</v>
      </c>
      <c r="R293">
        <v>2.48</v>
      </c>
      <c r="S293">
        <v>1</v>
      </c>
      <c r="T293" t="b">
        <v>0</v>
      </c>
      <c r="AK293">
        <v>146</v>
      </c>
      <c r="AW293">
        <v>230.9</v>
      </c>
    </row>
    <row r="294" spans="1:49">
      <c r="A294" t="s">
        <v>111</v>
      </c>
      <c r="B294">
        <v>90</v>
      </c>
      <c r="C294">
        <v>408</v>
      </c>
      <c r="D294" t="s">
        <v>62</v>
      </c>
      <c r="E294" t="s">
        <v>63</v>
      </c>
      <c r="F294">
        <v>29</v>
      </c>
      <c r="G294">
        <v>150.1</v>
      </c>
      <c r="H294">
        <v>109</v>
      </c>
      <c r="I294">
        <v>25.52</v>
      </c>
      <c r="J294">
        <v>264.7</v>
      </c>
      <c r="K294">
        <v>103</v>
      </c>
      <c r="L294">
        <v>22.5</v>
      </c>
      <c r="M294">
        <v>178.4</v>
      </c>
      <c r="N294">
        <v>97</v>
      </c>
      <c r="O294">
        <v>8.03</v>
      </c>
      <c r="P294">
        <v>5.8</v>
      </c>
      <c r="Q294">
        <v>4</v>
      </c>
      <c r="R294">
        <v>1.57</v>
      </c>
      <c r="S294">
        <v>1</v>
      </c>
      <c r="T294" t="b">
        <v>0</v>
      </c>
      <c r="AK294">
        <v>127.3</v>
      </c>
      <c r="AW294">
        <v>187.1</v>
      </c>
    </row>
    <row r="295" spans="1:49">
      <c r="A295" t="s">
        <v>82</v>
      </c>
      <c r="B295">
        <v>159</v>
      </c>
      <c r="C295">
        <v>408</v>
      </c>
      <c r="D295" t="s">
        <v>63</v>
      </c>
      <c r="E295" t="s">
        <v>62</v>
      </c>
      <c r="F295">
        <v>0</v>
      </c>
      <c r="G295">
        <v>257.1</v>
      </c>
      <c r="H295">
        <v>53</v>
      </c>
      <c r="I295">
        <v>43.71</v>
      </c>
      <c r="J295">
        <v>312.2</v>
      </c>
      <c r="K295">
        <v>127</v>
      </c>
      <c r="L295">
        <v>26.54</v>
      </c>
      <c r="M295">
        <v>183</v>
      </c>
      <c r="N295">
        <v>82</v>
      </c>
      <c r="O295">
        <v>8.24</v>
      </c>
      <c r="P295">
        <v>8.8</v>
      </c>
      <c r="Q295">
        <v>6</v>
      </c>
      <c r="R295">
        <v>2.38</v>
      </c>
      <c r="S295">
        <v>1</v>
      </c>
      <c r="T295" t="b">
        <v>1</v>
      </c>
      <c r="AK295">
        <v>187.9</v>
      </c>
      <c r="AW295">
        <v>170.7</v>
      </c>
    </row>
    <row r="296" spans="1:49">
      <c r="A296" t="s">
        <v>64</v>
      </c>
      <c r="B296">
        <v>39</v>
      </c>
      <c r="C296">
        <v>415</v>
      </c>
      <c r="D296" t="s">
        <v>62</v>
      </c>
      <c r="E296" t="s">
        <v>63</v>
      </c>
      <c r="F296">
        <v>36</v>
      </c>
      <c r="G296">
        <v>141.7</v>
      </c>
      <c r="H296">
        <v>121</v>
      </c>
      <c r="I296">
        <v>24.09</v>
      </c>
      <c r="J296">
        <v>232.3</v>
      </c>
      <c r="K296">
        <v>113</v>
      </c>
      <c r="L296">
        <v>19.75</v>
      </c>
      <c r="M296">
        <v>222.1</v>
      </c>
      <c r="N296">
        <v>131</v>
      </c>
      <c r="O296">
        <v>9.99</v>
      </c>
      <c r="P296">
        <v>12</v>
      </c>
      <c r="Q296">
        <v>5</v>
      </c>
      <c r="R296">
        <v>3.24</v>
      </c>
      <c r="S296">
        <v>1</v>
      </c>
      <c r="T296" t="b">
        <v>0</v>
      </c>
      <c r="AK296">
        <v>178.8</v>
      </c>
      <c r="AW296">
        <v>161.1</v>
      </c>
    </row>
    <row r="297" spans="1:49">
      <c r="A297" t="s">
        <v>66</v>
      </c>
      <c r="B297">
        <v>194</v>
      </c>
      <c r="C297">
        <v>408</v>
      </c>
      <c r="D297" t="s">
        <v>62</v>
      </c>
      <c r="E297" t="s">
        <v>62</v>
      </c>
      <c r="F297">
        <v>0</v>
      </c>
      <c r="G297">
        <v>162.3</v>
      </c>
      <c r="H297">
        <v>88</v>
      </c>
      <c r="I297">
        <v>27.59</v>
      </c>
      <c r="J297">
        <v>213.7</v>
      </c>
      <c r="K297">
        <v>118</v>
      </c>
      <c r="L297">
        <v>18.16</v>
      </c>
      <c r="M297">
        <v>192.1</v>
      </c>
      <c r="N297">
        <v>81</v>
      </c>
      <c r="O297">
        <v>8.64</v>
      </c>
      <c r="P297">
        <v>10.9</v>
      </c>
      <c r="Q297">
        <v>2</v>
      </c>
      <c r="R297">
        <v>2.94</v>
      </c>
      <c r="S297">
        <v>0</v>
      </c>
      <c r="T297" t="b">
        <v>0</v>
      </c>
      <c r="AK297">
        <v>256.5</v>
      </c>
      <c r="AW297">
        <v>254.4</v>
      </c>
    </row>
    <row r="298" spans="1:49">
      <c r="A298" t="s">
        <v>82</v>
      </c>
      <c r="B298">
        <v>154</v>
      </c>
      <c r="C298">
        <v>415</v>
      </c>
      <c r="D298" t="s">
        <v>62</v>
      </c>
      <c r="E298" t="s">
        <v>62</v>
      </c>
      <c r="F298">
        <v>0</v>
      </c>
      <c r="G298">
        <v>350.8</v>
      </c>
      <c r="H298">
        <v>75</v>
      </c>
      <c r="I298">
        <v>59.64</v>
      </c>
      <c r="J298">
        <v>216.5</v>
      </c>
      <c r="K298">
        <v>94</v>
      </c>
      <c r="L298">
        <v>18.4</v>
      </c>
      <c r="M298">
        <v>253.9</v>
      </c>
      <c r="N298">
        <v>100</v>
      </c>
      <c r="O298">
        <v>11.43</v>
      </c>
      <c r="P298">
        <v>10.1</v>
      </c>
      <c r="Q298">
        <v>9</v>
      </c>
      <c r="R298">
        <v>2.73</v>
      </c>
      <c r="S298">
        <v>1</v>
      </c>
      <c r="T298" t="b">
        <v>1</v>
      </c>
      <c r="AK298">
        <v>169.5</v>
      </c>
      <c r="AW298">
        <v>170.5</v>
      </c>
    </row>
    <row r="299" spans="1:49">
      <c r="A299" t="s">
        <v>100</v>
      </c>
      <c r="B299">
        <v>112</v>
      </c>
      <c r="C299">
        <v>415</v>
      </c>
      <c r="D299" t="s">
        <v>62</v>
      </c>
      <c r="E299" t="s">
        <v>62</v>
      </c>
      <c r="F299">
        <v>0</v>
      </c>
      <c r="G299">
        <v>193.3</v>
      </c>
      <c r="H299">
        <v>96</v>
      </c>
      <c r="I299">
        <v>32.86</v>
      </c>
      <c r="J299">
        <v>264.1</v>
      </c>
      <c r="K299">
        <v>123</v>
      </c>
      <c r="L299">
        <v>22.45</v>
      </c>
      <c r="M299">
        <v>128.6</v>
      </c>
      <c r="N299">
        <v>115</v>
      </c>
      <c r="O299">
        <v>5.79</v>
      </c>
      <c r="P299">
        <v>9.1</v>
      </c>
      <c r="Q299">
        <v>3</v>
      </c>
      <c r="R299">
        <v>2.46</v>
      </c>
      <c r="S299">
        <v>4</v>
      </c>
      <c r="T299" t="b">
        <v>0</v>
      </c>
      <c r="AK299">
        <v>142.3</v>
      </c>
      <c r="AW299">
        <v>161.9</v>
      </c>
    </row>
    <row r="300" spans="1:49">
      <c r="A300" t="s">
        <v>91</v>
      </c>
      <c r="B300">
        <v>45</v>
      </c>
      <c r="C300">
        <v>415</v>
      </c>
      <c r="D300" t="s">
        <v>62</v>
      </c>
      <c r="E300" t="s">
        <v>62</v>
      </c>
      <c r="F300">
        <v>0</v>
      </c>
      <c r="G300">
        <v>78.2</v>
      </c>
      <c r="H300">
        <v>127</v>
      </c>
      <c r="I300">
        <v>13.29</v>
      </c>
      <c r="J300">
        <v>253.4</v>
      </c>
      <c r="K300">
        <v>108</v>
      </c>
      <c r="L300">
        <v>21.54</v>
      </c>
      <c r="M300">
        <v>255</v>
      </c>
      <c r="N300">
        <v>100</v>
      </c>
      <c r="O300">
        <v>11.48</v>
      </c>
      <c r="P300">
        <v>18</v>
      </c>
      <c r="Q300">
        <v>3</v>
      </c>
      <c r="R300">
        <v>4.86</v>
      </c>
      <c r="S300">
        <v>1</v>
      </c>
      <c r="T300" t="b">
        <v>0</v>
      </c>
      <c r="AK300">
        <v>184.1</v>
      </c>
      <c r="AW300">
        <v>228.2</v>
      </c>
    </row>
    <row r="301" spans="1:49">
      <c r="A301" t="s">
        <v>61</v>
      </c>
      <c r="B301">
        <v>132</v>
      </c>
      <c r="C301">
        <v>415</v>
      </c>
      <c r="D301" t="s">
        <v>62</v>
      </c>
      <c r="E301" t="s">
        <v>62</v>
      </c>
      <c r="F301">
        <v>0</v>
      </c>
      <c r="G301">
        <v>83.4</v>
      </c>
      <c r="H301">
        <v>110</v>
      </c>
      <c r="I301">
        <v>14.18</v>
      </c>
      <c r="J301">
        <v>232.2</v>
      </c>
      <c r="K301">
        <v>137</v>
      </c>
      <c r="L301">
        <v>19.74</v>
      </c>
      <c r="M301">
        <v>146.7</v>
      </c>
      <c r="N301">
        <v>114</v>
      </c>
      <c r="O301">
        <v>6.6</v>
      </c>
      <c r="P301">
        <v>7.6</v>
      </c>
      <c r="Q301">
        <v>5</v>
      </c>
      <c r="R301">
        <v>2.05</v>
      </c>
      <c r="S301">
        <v>1</v>
      </c>
      <c r="T301" t="b">
        <v>0</v>
      </c>
      <c r="AK301">
        <v>206.9</v>
      </c>
      <c r="AW301">
        <v>214.9</v>
      </c>
    </row>
    <row r="302" spans="1:49">
      <c r="A302" t="s">
        <v>68</v>
      </c>
      <c r="B302">
        <v>128</v>
      </c>
      <c r="C302">
        <v>415</v>
      </c>
      <c r="D302" t="s">
        <v>62</v>
      </c>
      <c r="E302" t="s">
        <v>62</v>
      </c>
      <c r="F302">
        <v>0</v>
      </c>
      <c r="G302">
        <v>195.6</v>
      </c>
      <c r="H302">
        <v>99</v>
      </c>
      <c r="I302">
        <v>33.25</v>
      </c>
      <c r="J302">
        <v>267.8</v>
      </c>
      <c r="K302">
        <v>120</v>
      </c>
      <c r="L302">
        <v>22.76</v>
      </c>
      <c r="M302">
        <v>164.9</v>
      </c>
      <c r="N302">
        <v>76</v>
      </c>
      <c r="O302">
        <v>7.42</v>
      </c>
      <c r="P302">
        <v>16</v>
      </c>
      <c r="Q302">
        <v>2</v>
      </c>
      <c r="R302">
        <v>4.32</v>
      </c>
      <c r="S302">
        <v>0</v>
      </c>
      <c r="T302" t="b">
        <v>0</v>
      </c>
      <c r="AK302">
        <v>259.9</v>
      </c>
      <c r="AW302">
        <v>197</v>
      </c>
    </row>
    <row r="303" spans="1:49">
      <c r="A303" t="s">
        <v>103</v>
      </c>
      <c r="B303">
        <v>56</v>
      </c>
      <c r="C303">
        <v>408</v>
      </c>
      <c r="D303" t="s">
        <v>62</v>
      </c>
      <c r="E303" t="s">
        <v>62</v>
      </c>
      <c r="F303">
        <v>0</v>
      </c>
      <c r="G303">
        <v>197</v>
      </c>
      <c r="H303">
        <v>110</v>
      </c>
      <c r="I303">
        <v>33.49</v>
      </c>
      <c r="J303">
        <v>222.8</v>
      </c>
      <c r="K303">
        <v>102</v>
      </c>
      <c r="L303">
        <v>18.94</v>
      </c>
      <c r="M303">
        <v>225.3</v>
      </c>
      <c r="N303">
        <v>91</v>
      </c>
      <c r="O303">
        <v>10.14</v>
      </c>
      <c r="P303">
        <v>10.6</v>
      </c>
      <c r="Q303">
        <v>6</v>
      </c>
      <c r="R303">
        <v>2.86</v>
      </c>
      <c r="S303">
        <v>2</v>
      </c>
      <c r="T303" t="b">
        <v>0</v>
      </c>
      <c r="AK303">
        <v>203.8</v>
      </c>
      <c r="AW303">
        <v>180.4</v>
      </c>
    </row>
    <row r="304" spans="1:49">
      <c r="A304" t="s">
        <v>98</v>
      </c>
      <c r="B304">
        <v>151</v>
      </c>
      <c r="C304">
        <v>415</v>
      </c>
      <c r="D304" t="s">
        <v>63</v>
      </c>
      <c r="E304" t="s">
        <v>62</v>
      </c>
      <c r="F304">
        <v>0</v>
      </c>
      <c r="G304">
        <v>218</v>
      </c>
      <c r="H304">
        <v>57</v>
      </c>
      <c r="I304">
        <v>37.06</v>
      </c>
      <c r="J304">
        <v>114.4</v>
      </c>
      <c r="K304">
        <v>88</v>
      </c>
      <c r="L304">
        <v>9.72</v>
      </c>
      <c r="M304">
        <v>269.2</v>
      </c>
      <c r="N304">
        <v>95</v>
      </c>
      <c r="O304">
        <v>12.11</v>
      </c>
      <c r="P304">
        <v>12.4</v>
      </c>
      <c r="Q304">
        <v>1</v>
      </c>
      <c r="R304">
        <v>3.35</v>
      </c>
      <c r="S304">
        <v>0</v>
      </c>
      <c r="T304" t="b">
        <v>1</v>
      </c>
      <c r="AK304">
        <v>248.8</v>
      </c>
      <c r="AW304">
        <v>197.1</v>
      </c>
    </row>
    <row r="305" spans="1:49">
      <c r="A305" t="s">
        <v>106</v>
      </c>
      <c r="B305">
        <v>32</v>
      </c>
      <c r="C305">
        <v>415</v>
      </c>
      <c r="D305" t="s">
        <v>62</v>
      </c>
      <c r="E305" t="s">
        <v>62</v>
      </c>
      <c r="F305">
        <v>0</v>
      </c>
      <c r="G305">
        <v>164.8</v>
      </c>
      <c r="H305">
        <v>98</v>
      </c>
      <c r="I305">
        <v>28.02</v>
      </c>
      <c r="J305">
        <v>229.9</v>
      </c>
      <c r="K305">
        <v>96</v>
      </c>
      <c r="L305">
        <v>19.54</v>
      </c>
      <c r="M305">
        <v>167.3</v>
      </c>
      <c r="N305">
        <v>108</v>
      </c>
      <c r="O305">
        <v>7.53</v>
      </c>
      <c r="P305">
        <v>14.8</v>
      </c>
      <c r="Q305">
        <v>2</v>
      </c>
      <c r="R305">
        <v>4</v>
      </c>
      <c r="S305">
        <v>2</v>
      </c>
      <c r="T305" t="b">
        <v>0</v>
      </c>
      <c r="AK305">
        <v>122.4</v>
      </c>
      <c r="AW305">
        <v>153.7</v>
      </c>
    </row>
    <row r="306" spans="1:49">
      <c r="A306" t="s">
        <v>83</v>
      </c>
      <c r="B306">
        <v>90</v>
      </c>
      <c r="C306">
        <v>415</v>
      </c>
      <c r="D306" t="s">
        <v>62</v>
      </c>
      <c r="E306" t="s">
        <v>62</v>
      </c>
      <c r="F306">
        <v>0</v>
      </c>
      <c r="G306">
        <v>179.2</v>
      </c>
      <c r="H306">
        <v>77</v>
      </c>
      <c r="I306">
        <v>30.46</v>
      </c>
      <c r="J306">
        <v>210.7</v>
      </c>
      <c r="K306">
        <v>99</v>
      </c>
      <c r="L306">
        <v>17.91</v>
      </c>
      <c r="M306">
        <v>276.9</v>
      </c>
      <c r="N306">
        <v>58</v>
      </c>
      <c r="O306">
        <v>12.46</v>
      </c>
      <c r="P306">
        <v>9.2</v>
      </c>
      <c r="Q306">
        <v>6</v>
      </c>
      <c r="R306">
        <v>2.48</v>
      </c>
      <c r="S306">
        <v>2</v>
      </c>
      <c r="T306" t="b">
        <v>0</v>
      </c>
      <c r="AK306">
        <v>104.9</v>
      </c>
      <c r="AW306">
        <v>261.3</v>
      </c>
    </row>
    <row r="307" spans="1:49">
      <c r="A307" t="s">
        <v>105</v>
      </c>
      <c r="B307">
        <v>138</v>
      </c>
      <c r="C307">
        <v>415</v>
      </c>
      <c r="D307" t="s">
        <v>62</v>
      </c>
      <c r="E307" t="s">
        <v>62</v>
      </c>
      <c r="F307">
        <v>0</v>
      </c>
      <c r="G307">
        <v>170.5</v>
      </c>
      <c r="H307">
        <v>87</v>
      </c>
      <c r="I307">
        <v>28.99</v>
      </c>
      <c r="J307">
        <v>118.2</v>
      </c>
      <c r="K307">
        <v>116</v>
      </c>
      <c r="L307">
        <v>10.05</v>
      </c>
      <c r="M307">
        <v>187.9</v>
      </c>
      <c r="N307">
        <v>111</v>
      </c>
      <c r="O307">
        <v>8.46</v>
      </c>
      <c r="P307">
        <v>11.2</v>
      </c>
      <c r="Q307">
        <v>7</v>
      </c>
      <c r="R307">
        <v>3.02</v>
      </c>
      <c r="S307">
        <v>2</v>
      </c>
      <c r="T307" t="b">
        <v>0</v>
      </c>
      <c r="AK307">
        <v>119.4</v>
      </c>
      <c r="AW307">
        <v>253</v>
      </c>
    </row>
    <row r="308" spans="1:49">
      <c r="A308" t="s">
        <v>115</v>
      </c>
      <c r="B308">
        <v>79</v>
      </c>
      <c r="C308">
        <v>408</v>
      </c>
      <c r="D308" t="s">
        <v>62</v>
      </c>
      <c r="E308" t="s">
        <v>62</v>
      </c>
      <c r="F308">
        <v>0</v>
      </c>
      <c r="G308">
        <v>205.7</v>
      </c>
      <c r="H308">
        <v>123</v>
      </c>
      <c r="I308">
        <v>34.97</v>
      </c>
      <c r="J308">
        <v>214.5</v>
      </c>
      <c r="K308">
        <v>108</v>
      </c>
      <c r="L308">
        <v>18.23</v>
      </c>
      <c r="M308">
        <v>226.1</v>
      </c>
      <c r="N308">
        <v>106</v>
      </c>
      <c r="O308">
        <v>10.17</v>
      </c>
      <c r="P308">
        <v>6.7</v>
      </c>
      <c r="Q308">
        <v>18</v>
      </c>
      <c r="R308">
        <v>1.81</v>
      </c>
      <c r="S308">
        <v>1</v>
      </c>
      <c r="T308" t="b">
        <v>0</v>
      </c>
      <c r="AK308">
        <v>178.3</v>
      </c>
      <c r="AW308">
        <v>127.1</v>
      </c>
    </row>
    <row r="309" spans="1:49">
      <c r="A309" t="s">
        <v>69</v>
      </c>
      <c r="B309">
        <v>95</v>
      </c>
      <c r="C309">
        <v>415</v>
      </c>
      <c r="D309" t="s">
        <v>63</v>
      </c>
      <c r="E309" t="s">
        <v>62</v>
      </c>
      <c r="F309">
        <v>0</v>
      </c>
      <c r="G309">
        <v>165.5</v>
      </c>
      <c r="H309">
        <v>84</v>
      </c>
      <c r="I309">
        <v>28.14</v>
      </c>
      <c r="J309">
        <v>286.2</v>
      </c>
      <c r="K309">
        <v>112</v>
      </c>
      <c r="L309">
        <v>24.33</v>
      </c>
      <c r="M309">
        <v>198.9</v>
      </c>
      <c r="N309">
        <v>89</v>
      </c>
      <c r="O309">
        <v>8.95</v>
      </c>
      <c r="P309">
        <v>11.5</v>
      </c>
      <c r="Q309">
        <v>2</v>
      </c>
      <c r="R309">
        <v>3.11</v>
      </c>
      <c r="S309">
        <v>1</v>
      </c>
      <c r="T309" t="b">
        <v>1</v>
      </c>
      <c r="AK309">
        <v>243.4</v>
      </c>
      <c r="AW309">
        <v>314.6</v>
      </c>
    </row>
    <row r="310" spans="1:49">
      <c r="A310" t="s">
        <v>61</v>
      </c>
      <c r="B310">
        <v>127</v>
      </c>
      <c r="C310">
        <v>415</v>
      </c>
      <c r="D310" t="s">
        <v>62</v>
      </c>
      <c r="E310" t="s">
        <v>62</v>
      </c>
      <c r="F310">
        <v>0</v>
      </c>
      <c r="G310">
        <v>221</v>
      </c>
      <c r="H310">
        <v>100</v>
      </c>
      <c r="I310">
        <v>37.57</v>
      </c>
      <c r="J310">
        <v>160.7</v>
      </c>
      <c r="K310">
        <v>113</v>
      </c>
      <c r="L310">
        <v>13.66</v>
      </c>
      <c r="M310">
        <v>233.1</v>
      </c>
      <c r="N310">
        <v>96</v>
      </c>
      <c r="O310">
        <v>10.49</v>
      </c>
      <c r="P310">
        <v>6.8</v>
      </c>
      <c r="Q310">
        <v>4</v>
      </c>
      <c r="R310">
        <v>1.84</v>
      </c>
      <c r="S310">
        <v>2</v>
      </c>
      <c r="T310" t="b">
        <v>0</v>
      </c>
      <c r="AK310">
        <v>155</v>
      </c>
      <c r="AW310">
        <v>146.3</v>
      </c>
    </row>
    <row r="311" spans="1:49">
      <c r="A311" t="s">
        <v>99</v>
      </c>
      <c r="B311">
        <v>137</v>
      </c>
      <c r="C311">
        <v>510</v>
      </c>
      <c r="D311" t="s">
        <v>62</v>
      </c>
      <c r="E311" t="s">
        <v>62</v>
      </c>
      <c r="F311">
        <v>0</v>
      </c>
      <c r="G311">
        <v>242.1</v>
      </c>
      <c r="H311">
        <v>118</v>
      </c>
      <c r="I311">
        <v>41.16</v>
      </c>
      <c r="J311">
        <v>191</v>
      </c>
      <c r="K311">
        <v>93</v>
      </c>
      <c r="L311">
        <v>16.24</v>
      </c>
      <c r="M311">
        <v>218.6</v>
      </c>
      <c r="N311">
        <v>50</v>
      </c>
      <c r="O311">
        <v>9.84</v>
      </c>
      <c r="P311">
        <v>14.7</v>
      </c>
      <c r="Q311">
        <v>2</v>
      </c>
      <c r="R311">
        <v>3.97</v>
      </c>
      <c r="S311">
        <v>3</v>
      </c>
      <c r="T311" t="b">
        <v>0</v>
      </c>
      <c r="AK311">
        <v>288.7</v>
      </c>
      <c r="AW311">
        <v>105.8</v>
      </c>
    </row>
    <row r="312" spans="1:49">
      <c r="A312" t="s">
        <v>66</v>
      </c>
      <c r="B312">
        <v>97</v>
      </c>
      <c r="C312">
        <v>415</v>
      </c>
      <c r="D312" t="s">
        <v>62</v>
      </c>
      <c r="E312" t="s">
        <v>62</v>
      </c>
      <c r="F312">
        <v>0</v>
      </c>
      <c r="G312">
        <v>151.6</v>
      </c>
      <c r="H312">
        <v>107</v>
      </c>
      <c r="I312">
        <v>25.77</v>
      </c>
      <c r="J312">
        <v>155.4</v>
      </c>
      <c r="K312">
        <v>96</v>
      </c>
      <c r="L312">
        <v>13.21</v>
      </c>
      <c r="M312">
        <v>240</v>
      </c>
      <c r="N312">
        <v>112</v>
      </c>
      <c r="O312">
        <v>10.8</v>
      </c>
      <c r="P312">
        <v>14.7</v>
      </c>
      <c r="Q312">
        <v>4</v>
      </c>
      <c r="R312">
        <v>3.97</v>
      </c>
      <c r="S312">
        <v>1</v>
      </c>
      <c r="T312" t="b">
        <v>0</v>
      </c>
      <c r="AK312">
        <v>240.4</v>
      </c>
      <c r="AW312">
        <v>178</v>
      </c>
    </row>
    <row r="313" spans="1:49">
      <c r="A313" t="s">
        <v>94</v>
      </c>
      <c r="B313">
        <v>149</v>
      </c>
      <c r="C313">
        <v>415</v>
      </c>
      <c r="D313" t="s">
        <v>63</v>
      </c>
      <c r="E313" t="s">
        <v>62</v>
      </c>
      <c r="F313">
        <v>0</v>
      </c>
      <c r="G313">
        <v>176.2</v>
      </c>
      <c r="H313">
        <v>87</v>
      </c>
      <c r="I313">
        <v>29.95</v>
      </c>
      <c r="J313">
        <v>145</v>
      </c>
      <c r="K313">
        <v>81</v>
      </c>
      <c r="L313">
        <v>12.33</v>
      </c>
      <c r="M313">
        <v>249.5</v>
      </c>
      <c r="N313">
        <v>92</v>
      </c>
      <c r="O313">
        <v>11.23</v>
      </c>
      <c r="P313">
        <v>5.7</v>
      </c>
      <c r="Q313">
        <v>4</v>
      </c>
      <c r="R313">
        <v>1.54</v>
      </c>
      <c r="S313">
        <v>0</v>
      </c>
      <c r="T313" t="b">
        <v>0</v>
      </c>
      <c r="AK313">
        <v>190.3</v>
      </c>
      <c r="AW313">
        <v>172.1</v>
      </c>
    </row>
    <row r="314" spans="1:49">
      <c r="A314" t="s">
        <v>96</v>
      </c>
      <c r="B314">
        <v>117</v>
      </c>
      <c r="C314">
        <v>415</v>
      </c>
      <c r="D314" t="s">
        <v>63</v>
      </c>
      <c r="E314" t="s">
        <v>63</v>
      </c>
      <c r="F314">
        <v>22</v>
      </c>
      <c r="G314">
        <v>196</v>
      </c>
      <c r="H314">
        <v>82</v>
      </c>
      <c r="I314">
        <v>33.32</v>
      </c>
      <c r="J314">
        <v>322.7</v>
      </c>
      <c r="K314">
        <v>82</v>
      </c>
      <c r="L314">
        <v>27.43</v>
      </c>
      <c r="M314">
        <v>225.6</v>
      </c>
      <c r="N314">
        <v>120</v>
      </c>
      <c r="O314">
        <v>10.15</v>
      </c>
      <c r="P314">
        <v>3.7</v>
      </c>
      <c r="Q314">
        <v>5</v>
      </c>
      <c r="R314">
        <v>1</v>
      </c>
      <c r="S314">
        <v>1</v>
      </c>
      <c r="T314" t="b">
        <v>0</v>
      </c>
      <c r="AK314">
        <v>155</v>
      </c>
      <c r="AW314">
        <v>194.2</v>
      </c>
    </row>
    <row r="315" spans="1:49">
      <c r="A315" t="s">
        <v>64</v>
      </c>
      <c r="B315">
        <v>84</v>
      </c>
      <c r="C315">
        <v>408</v>
      </c>
      <c r="D315" t="s">
        <v>62</v>
      </c>
      <c r="E315" t="s">
        <v>62</v>
      </c>
      <c r="F315">
        <v>0</v>
      </c>
      <c r="G315">
        <v>159.5</v>
      </c>
      <c r="H315">
        <v>125</v>
      </c>
      <c r="I315">
        <v>27.12</v>
      </c>
      <c r="J315">
        <v>247.1</v>
      </c>
      <c r="K315">
        <v>90</v>
      </c>
      <c r="L315">
        <v>21</v>
      </c>
      <c r="M315">
        <v>187.9</v>
      </c>
      <c r="N315">
        <v>82</v>
      </c>
      <c r="O315">
        <v>8.46</v>
      </c>
      <c r="P315">
        <v>7.2</v>
      </c>
      <c r="Q315">
        <v>4</v>
      </c>
      <c r="R315">
        <v>1.94</v>
      </c>
      <c r="S315">
        <v>2</v>
      </c>
      <c r="T315" t="b">
        <v>0</v>
      </c>
      <c r="AK315">
        <v>273.4</v>
      </c>
      <c r="AW315">
        <v>202.2</v>
      </c>
    </row>
    <row r="316" spans="1:49">
      <c r="A316" t="s">
        <v>61</v>
      </c>
      <c r="B316">
        <v>137</v>
      </c>
      <c r="C316">
        <v>415</v>
      </c>
      <c r="D316" t="s">
        <v>62</v>
      </c>
      <c r="E316" t="s">
        <v>62</v>
      </c>
      <c r="F316">
        <v>0</v>
      </c>
      <c r="G316">
        <v>230.2</v>
      </c>
      <c r="H316">
        <v>113</v>
      </c>
      <c r="I316">
        <v>39.13</v>
      </c>
      <c r="J316">
        <v>220.4</v>
      </c>
      <c r="K316">
        <v>79</v>
      </c>
      <c r="L316">
        <v>18.73</v>
      </c>
      <c r="M316">
        <v>204.7</v>
      </c>
      <c r="N316">
        <v>111</v>
      </c>
      <c r="O316">
        <v>9.21</v>
      </c>
      <c r="P316">
        <v>10.7</v>
      </c>
      <c r="Q316">
        <v>7</v>
      </c>
      <c r="R316">
        <v>2.89</v>
      </c>
      <c r="S316">
        <v>4</v>
      </c>
      <c r="T316" t="b">
        <v>0</v>
      </c>
      <c r="AK316">
        <v>155.3</v>
      </c>
      <c r="AW316">
        <v>76.4</v>
      </c>
    </row>
    <row r="317" spans="1:49">
      <c r="A317" t="s">
        <v>116</v>
      </c>
      <c r="B317">
        <v>99</v>
      </c>
      <c r="C317">
        <v>415</v>
      </c>
      <c r="D317" t="s">
        <v>62</v>
      </c>
      <c r="E317" t="s">
        <v>62</v>
      </c>
      <c r="F317">
        <v>0</v>
      </c>
      <c r="G317">
        <v>146.7</v>
      </c>
      <c r="H317">
        <v>64</v>
      </c>
      <c r="I317">
        <v>24.94</v>
      </c>
      <c r="J317">
        <v>274</v>
      </c>
      <c r="K317">
        <v>99</v>
      </c>
      <c r="L317">
        <v>23.29</v>
      </c>
      <c r="M317">
        <v>321.3</v>
      </c>
      <c r="N317">
        <v>98</v>
      </c>
      <c r="O317">
        <v>14.46</v>
      </c>
      <c r="P317">
        <v>8.9</v>
      </c>
      <c r="Q317">
        <v>1</v>
      </c>
      <c r="R317">
        <v>2.4</v>
      </c>
      <c r="S317">
        <v>3</v>
      </c>
      <c r="T317" t="b">
        <v>0</v>
      </c>
      <c r="AK317">
        <v>133.1</v>
      </c>
      <c r="AW317">
        <v>210.4</v>
      </c>
    </row>
    <row r="318" spans="1:49">
      <c r="A318" t="s">
        <v>93</v>
      </c>
      <c r="B318">
        <v>85</v>
      </c>
      <c r="C318">
        <v>415</v>
      </c>
      <c r="D318" t="s">
        <v>62</v>
      </c>
      <c r="E318" t="s">
        <v>62</v>
      </c>
      <c r="F318">
        <v>0</v>
      </c>
      <c r="G318">
        <v>102</v>
      </c>
      <c r="H318">
        <v>95</v>
      </c>
      <c r="I318">
        <v>17.34</v>
      </c>
      <c r="J318">
        <v>270.2</v>
      </c>
      <c r="K318">
        <v>139</v>
      </c>
      <c r="L318">
        <v>22.97</v>
      </c>
      <c r="M318">
        <v>148.2</v>
      </c>
      <c r="N318">
        <v>105</v>
      </c>
      <c r="O318">
        <v>6.67</v>
      </c>
      <c r="P318">
        <v>10.7</v>
      </c>
      <c r="Q318">
        <v>3</v>
      </c>
      <c r="R318">
        <v>2.89</v>
      </c>
      <c r="S318">
        <v>1</v>
      </c>
      <c r="T318" t="b">
        <v>0</v>
      </c>
      <c r="AK318">
        <v>246.8</v>
      </c>
      <c r="AW318">
        <v>219.5</v>
      </c>
    </row>
    <row r="319" spans="1:49">
      <c r="A319" t="s">
        <v>109</v>
      </c>
      <c r="B319">
        <v>150</v>
      </c>
      <c r="C319">
        <v>510</v>
      </c>
      <c r="D319" t="s">
        <v>62</v>
      </c>
      <c r="E319" t="s">
        <v>62</v>
      </c>
      <c r="F319">
        <v>0</v>
      </c>
      <c r="G319">
        <v>126</v>
      </c>
      <c r="H319">
        <v>99</v>
      </c>
      <c r="I319">
        <v>21.42</v>
      </c>
      <c r="J319">
        <v>238.5</v>
      </c>
      <c r="K319">
        <v>73</v>
      </c>
      <c r="L319">
        <v>20.27</v>
      </c>
      <c r="M319">
        <v>285.1</v>
      </c>
      <c r="N319">
        <v>100</v>
      </c>
      <c r="O319">
        <v>12.83</v>
      </c>
      <c r="P319">
        <v>10.2</v>
      </c>
      <c r="Q319">
        <v>6</v>
      </c>
      <c r="R319">
        <v>2.75</v>
      </c>
      <c r="S319">
        <v>3</v>
      </c>
      <c r="T319" t="b">
        <v>0</v>
      </c>
      <c r="AK319">
        <v>165.4</v>
      </c>
      <c r="AW319">
        <v>239.2</v>
      </c>
    </row>
    <row r="320" spans="1:49">
      <c r="A320" t="s">
        <v>71</v>
      </c>
      <c r="B320">
        <v>43</v>
      </c>
      <c r="C320">
        <v>415</v>
      </c>
      <c r="D320" t="s">
        <v>62</v>
      </c>
      <c r="E320" t="s">
        <v>62</v>
      </c>
      <c r="F320">
        <v>0</v>
      </c>
      <c r="G320">
        <v>168.4</v>
      </c>
      <c r="H320">
        <v>125</v>
      </c>
      <c r="I320">
        <v>28.63</v>
      </c>
      <c r="J320">
        <v>243.8</v>
      </c>
      <c r="K320">
        <v>89</v>
      </c>
      <c r="L320">
        <v>20.72</v>
      </c>
      <c r="M320">
        <v>214.7</v>
      </c>
      <c r="N320">
        <v>102</v>
      </c>
      <c r="O320">
        <v>9.66</v>
      </c>
      <c r="P320">
        <v>11.1</v>
      </c>
      <c r="Q320">
        <v>2</v>
      </c>
      <c r="R320">
        <v>3</v>
      </c>
      <c r="S320">
        <v>1</v>
      </c>
      <c r="T320" t="b">
        <v>0</v>
      </c>
      <c r="AK320">
        <v>138.3</v>
      </c>
      <c r="AW320">
        <v>120.9</v>
      </c>
    </row>
    <row r="321" spans="1:37">
      <c r="A321" t="s">
        <v>91</v>
      </c>
      <c r="B321">
        <v>98</v>
      </c>
      <c r="C321">
        <v>415</v>
      </c>
      <c r="D321" t="s">
        <v>62</v>
      </c>
      <c r="E321" t="s">
        <v>62</v>
      </c>
      <c r="F321">
        <v>0</v>
      </c>
      <c r="G321">
        <v>206.5</v>
      </c>
      <c r="H321">
        <v>92</v>
      </c>
      <c r="I321">
        <v>35.11</v>
      </c>
      <c r="J321">
        <v>176.2</v>
      </c>
      <c r="K321">
        <v>152</v>
      </c>
      <c r="L321">
        <v>14.98</v>
      </c>
      <c r="M321">
        <v>232.8</v>
      </c>
      <c r="N321">
        <v>115</v>
      </c>
      <c r="O321">
        <v>10.48</v>
      </c>
      <c r="P321">
        <v>12.4</v>
      </c>
      <c r="Q321">
        <v>5</v>
      </c>
      <c r="R321">
        <v>3.35</v>
      </c>
      <c r="S321">
        <v>5</v>
      </c>
      <c r="T321" t="b">
        <v>0</v>
      </c>
      <c r="AK321">
        <v>286.7</v>
      </c>
    </row>
    <row r="322" spans="1:37">
      <c r="A322" t="s">
        <v>113</v>
      </c>
      <c r="B322">
        <v>112</v>
      </c>
      <c r="C322">
        <v>510</v>
      </c>
      <c r="D322" t="s">
        <v>62</v>
      </c>
      <c r="E322" t="s">
        <v>62</v>
      </c>
      <c r="F322">
        <v>0</v>
      </c>
      <c r="G322">
        <v>217.1</v>
      </c>
      <c r="H322">
        <v>76</v>
      </c>
      <c r="I322">
        <v>36.91</v>
      </c>
      <c r="J322">
        <v>205.2</v>
      </c>
      <c r="K322">
        <v>100</v>
      </c>
      <c r="L322">
        <v>17.44</v>
      </c>
      <c r="M322">
        <v>185.7</v>
      </c>
      <c r="N322">
        <v>91</v>
      </c>
      <c r="O322">
        <v>8.36</v>
      </c>
      <c r="P322">
        <v>9.4</v>
      </c>
      <c r="Q322">
        <v>3</v>
      </c>
      <c r="R322">
        <v>2.54</v>
      </c>
      <c r="S322">
        <v>2</v>
      </c>
      <c r="T322" t="b">
        <v>0</v>
      </c>
      <c r="AK322">
        <v>117.3</v>
      </c>
    </row>
    <row r="323" spans="1:37">
      <c r="A323" t="s">
        <v>93</v>
      </c>
      <c r="B323">
        <v>16</v>
      </c>
      <c r="C323">
        <v>510</v>
      </c>
      <c r="D323" t="s">
        <v>62</v>
      </c>
      <c r="E323" t="s">
        <v>62</v>
      </c>
      <c r="F323">
        <v>0</v>
      </c>
      <c r="G323">
        <v>229.6</v>
      </c>
      <c r="H323">
        <v>78</v>
      </c>
      <c r="I323">
        <v>39.03</v>
      </c>
      <c r="J323">
        <v>205.7</v>
      </c>
      <c r="K323">
        <v>108</v>
      </c>
      <c r="L323">
        <v>17.48</v>
      </c>
      <c r="M323">
        <v>166.2</v>
      </c>
      <c r="N323">
        <v>91</v>
      </c>
      <c r="O323">
        <v>7.48</v>
      </c>
      <c r="P323">
        <v>10.8</v>
      </c>
      <c r="Q323">
        <v>2</v>
      </c>
      <c r="R323">
        <v>2.92</v>
      </c>
      <c r="S323">
        <v>0</v>
      </c>
      <c r="T323" t="b">
        <v>1</v>
      </c>
      <c r="AK323">
        <v>225.5</v>
      </c>
    </row>
    <row r="324" spans="1:37">
      <c r="A324" t="s">
        <v>112</v>
      </c>
      <c r="B324">
        <v>98</v>
      </c>
      <c r="C324">
        <v>415</v>
      </c>
      <c r="D324" t="s">
        <v>62</v>
      </c>
      <c r="E324" t="s">
        <v>63</v>
      </c>
      <c r="F324">
        <v>22</v>
      </c>
      <c r="G324">
        <v>278.3</v>
      </c>
      <c r="H324">
        <v>89</v>
      </c>
      <c r="I324">
        <v>47.31</v>
      </c>
      <c r="J324">
        <v>93.4</v>
      </c>
      <c r="K324">
        <v>143</v>
      </c>
      <c r="L324">
        <v>7.94</v>
      </c>
      <c r="M324">
        <v>107.6</v>
      </c>
      <c r="N324">
        <v>42</v>
      </c>
      <c r="O324">
        <v>4.84</v>
      </c>
      <c r="P324">
        <v>9.7</v>
      </c>
      <c r="Q324">
        <v>5</v>
      </c>
      <c r="R324">
        <v>2.62</v>
      </c>
      <c r="S324">
        <v>0</v>
      </c>
      <c r="T324" t="b">
        <v>0</v>
      </c>
      <c r="AK324">
        <v>159.8</v>
      </c>
    </row>
    <row r="325" spans="1:37">
      <c r="A325" t="s">
        <v>86</v>
      </c>
      <c r="B325">
        <v>84</v>
      </c>
      <c r="C325">
        <v>510</v>
      </c>
      <c r="D325" t="s">
        <v>62</v>
      </c>
      <c r="E325" t="s">
        <v>62</v>
      </c>
      <c r="F325">
        <v>0</v>
      </c>
      <c r="G325">
        <v>181.5</v>
      </c>
      <c r="H325">
        <v>129</v>
      </c>
      <c r="I325">
        <v>30.86</v>
      </c>
      <c r="J325">
        <v>130.7</v>
      </c>
      <c r="K325">
        <v>112</v>
      </c>
      <c r="L325">
        <v>11.11</v>
      </c>
      <c r="M325">
        <v>186.5</v>
      </c>
      <c r="N325">
        <v>118</v>
      </c>
      <c r="O325">
        <v>8.39</v>
      </c>
      <c r="P325">
        <v>8.5</v>
      </c>
      <c r="Q325">
        <v>4</v>
      </c>
      <c r="R325">
        <v>2.3</v>
      </c>
      <c r="S325">
        <v>1</v>
      </c>
      <c r="T325" t="b">
        <v>0</v>
      </c>
      <c r="AK325">
        <v>190.6</v>
      </c>
    </row>
    <row r="326" spans="1:37">
      <c r="A326" t="s">
        <v>105</v>
      </c>
      <c r="B326">
        <v>66</v>
      </c>
      <c r="C326">
        <v>415</v>
      </c>
      <c r="D326" t="s">
        <v>62</v>
      </c>
      <c r="E326" t="s">
        <v>62</v>
      </c>
      <c r="F326">
        <v>0</v>
      </c>
      <c r="G326">
        <v>167.3</v>
      </c>
      <c r="H326">
        <v>91</v>
      </c>
      <c r="I326">
        <v>28.44</v>
      </c>
      <c r="J326">
        <v>230</v>
      </c>
      <c r="K326">
        <v>68</v>
      </c>
      <c r="L326">
        <v>19.55</v>
      </c>
      <c r="M326">
        <v>191.7</v>
      </c>
      <c r="N326">
        <v>118</v>
      </c>
      <c r="O326">
        <v>8.63</v>
      </c>
      <c r="P326">
        <v>10.6</v>
      </c>
      <c r="Q326">
        <v>5</v>
      </c>
      <c r="R326">
        <v>2.86</v>
      </c>
      <c r="S326">
        <v>1</v>
      </c>
      <c r="T326" t="b">
        <v>1</v>
      </c>
      <c r="AK326">
        <v>184</v>
      </c>
    </row>
    <row r="327" spans="1:37">
      <c r="A327" t="s">
        <v>89</v>
      </c>
      <c r="B327">
        <v>98</v>
      </c>
      <c r="C327">
        <v>415</v>
      </c>
      <c r="D327" t="s">
        <v>62</v>
      </c>
      <c r="E327" t="s">
        <v>63</v>
      </c>
      <c r="F327">
        <v>31</v>
      </c>
      <c r="G327">
        <v>121</v>
      </c>
      <c r="H327">
        <v>105</v>
      </c>
      <c r="I327">
        <v>20.57</v>
      </c>
      <c r="J327">
        <v>218.9</v>
      </c>
      <c r="K327">
        <v>98</v>
      </c>
      <c r="L327">
        <v>18.61</v>
      </c>
      <c r="M327">
        <v>226.7</v>
      </c>
      <c r="N327">
        <v>110</v>
      </c>
      <c r="O327">
        <v>10.2</v>
      </c>
      <c r="P327">
        <v>12</v>
      </c>
      <c r="Q327">
        <v>1</v>
      </c>
      <c r="R327">
        <v>3.24</v>
      </c>
      <c r="S327">
        <v>1</v>
      </c>
      <c r="T327" t="b">
        <v>0</v>
      </c>
      <c r="AK327">
        <v>261.8</v>
      </c>
    </row>
    <row r="328" spans="1:37">
      <c r="A328" t="s">
        <v>77</v>
      </c>
      <c r="B328">
        <v>74</v>
      </c>
      <c r="C328">
        <v>415</v>
      </c>
      <c r="D328" t="s">
        <v>62</v>
      </c>
      <c r="E328" t="s">
        <v>62</v>
      </c>
      <c r="F328">
        <v>0</v>
      </c>
      <c r="G328">
        <v>221.1</v>
      </c>
      <c r="H328">
        <v>124</v>
      </c>
      <c r="I328">
        <v>37.59</v>
      </c>
      <c r="J328">
        <v>110.8</v>
      </c>
      <c r="K328">
        <v>94</v>
      </c>
      <c r="L328">
        <v>9.42</v>
      </c>
      <c r="M328">
        <v>240.1</v>
      </c>
      <c r="N328">
        <v>112</v>
      </c>
      <c r="O328">
        <v>10.8</v>
      </c>
      <c r="P328">
        <v>10.6</v>
      </c>
      <c r="Q328">
        <v>3</v>
      </c>
      <c r="R328">
        <v>2.86</v>
      </c>
      <c r="S328">
        <v>0</v>
      </c>
      <c r="T328" t="b">
        <v>0</v>
      </c>
      <c r="AK328">
        <v>133.7</v>
      </c>
    </row>
    <row r="329" spans="1:37">
      <c r="A329" t="s">
        <v>107</v>
      </c>
      <c r="B329">
        <v>119</v>
      </c>
      <c r="C329">
        <v>510</v>
      </c>
      <c r="D329" t="s">
        <v>62</v>
      </c>
      <c r="E329" t="s">
        <v>62</v>
      </c>
      <c r="F329">
        <v>0</v>
      </c>
      <c r="G329">
        <v>222.8</v>
      </c>
      <c r="H329">
        <v>122</v>
      </c>
      <c r="I329">
        <v>37.88</v>
      </c>
      <c r="J329">
        <v>163.2</v>
      </c>
      <c r="K329">
        <v>107</v>
      </c>
      <c r="L329">
        <v>13.87</v>
      </c>
      <c r="M329">
        <v>160.6</v>
      </c>
      <c r="N329">
        <v>112</v>
      </c>
      <c r="O329">
        <v>7.23</v>
      </c>
      <c r="P329">
        <v>11.2</v>
      </c>
      <c r="Q329">
        <v>6</v>
      </c>
      <c r="R329">
        <v>3.02</v>
      </c>
      <c r="S329">
        <v>1</v>
      </c>
      <c r="T329" t="b">
        <v>0</v>
      </c>
      <c r="AK329">
        <v>193.5</v>
      </c>
    </row>
    <row r="330" spans="1:37">
      <c r="A330" t="s">
        <v>64</v>
      </c>
      <c r="B330">
        <v>73</v>
      </c>
      <c r="C330">
        <v>415</v>
      </c>
      <c r="D330" t="s">
        <v>62</v>
      </c>
      <c r="E330" t="s">
        <v>62</v>
      </c>
      <c r="F330">
        <v>0</v>
      </c>
      <c r="G330">
        <v>183.4</v>
      </c>
      <c r="H330">
        <v>80</v>
      </c>
      <c r="I330">
        <v>31.18</v>
      </c>
      <c r="J330">
        <v>242</v>
      </c>
      <c r="K330">
        <v>115</v>
      </c>
      <c r="L330">
        <v>20.57</v>
      </c>
      <c r="M330">
        <v>201.4</v>
      </c>
      <c r="N330">
        <v>100</v>
      </c>
      <c r="O330">
        <v>9.06</v>
      </c>
      <c r="P330">
        <v>7.5</v>
      </c>
      <c r="Q330">
        <v>3</v>
      </c>
      <c r="R330">
        <v>2.03</v>
      </c>
      <c r="S330">
        <v>4</v>
      </c>
      <c r="T330" t="b">
        <v>0</v>
      </c>
      <c r="AK330">
        <v>170.4</v>
      </c>
    </row>
    <row r="331" spans="1:37">
      <c r="A331" t="s">
        <v>93</v>
      </c>
      <c r="B331">
        <v>92</v>
      </c>
      <c r="C331">
        <v>415</v>
      </c>
      <c r="D331" t="s">
        <v>63</v>
      </c>
      <c r="E331" t="s">
        <v>62</v>
      </c>
      <c r="F331">
        <v>0</v>
      </c>
      <c r="G331">
        <v>264.3</v>
      </c>
      <c r="H331">
        <v>91</v>
      </c>
      <c r="I331">
        <v>44.93</v>
      </c>
      <c r="J331">
        <v>160.9</v>
      </c>
      <c r="K331">
        <v>115</v>
      </c>
      <c r="L331">
        <v>13.68</v>
      </c>
      <c r="M331">
        <v>198.6</v>
      </c>
      <c r="N331">
        <v>73</v>
      </c>
      <c r="O331">
        <v>8.94</v>
      </c>
      <c r="P331">
        <v>9.3</v>
      </c>
      <c r="Q331">
        <v>5</v>
      </c>
      <c r="R331">
        <v>2.51</v>
      </c>
      <c r="S331">
        <v>0</v>
      </c>
      <c r="T331" t="b">
        <v>0</v>
      </c>
      <c r="AK331">
        <v>194.4</v>
      </c>
    </row>
    <row r="332" spans="1:37">
      <c r="A332" t="s">
        <v>86</v>
      </c>
      <c r="B332">
        <v>21</v>
      </c>
      <c r="C332">
        <v>415</v>
      </c>
      <c r="D332" t="s">
        <v>62</v>
      </c>
      <c r="E332" t="s">
        <v>62</v>
      </c>
      <c r="F332">
        <v>0</v>
      </c>
      <c r="G332">
        <v>146</v>
      </c>
      <c r="H332">
        <v>78</v>
      </c>
      <c r="I332">
        <v>24.82</v>
      </c>
      <c r="J332">
        <v>109.7</v>
      </c>
      <c r="K332">
        <v>79</v>
      </c>
      <c r="L332">
        <v>9.32</v>
      </c>
      <c r="M332">
        <v>247.4</v>
      </c>
      <c r="N332">
        <v>108</v>
      </c>
      <c r="O332">
        <v>11.13</v>
      </c>
      <c r="P332">
        <v>6.8</v>
      </c>
      <c r="Q332">
        <v>7</v>
      </c>
      <c r="R332">
        <v>1.84</v>
      </c>
      <c r="S332">
        <v>0</v>
      </c>
      <c r="T332" t="b">
        <v>0</v>
      </c>
      <c r="AK332">
        <v>240.3</v>
      </c>
    </row>
    <row r="333" spans="1:37">
      <c r="A333" t="s">
        <v>95</v>
      </c>
      <c r="B333">
        <v>122</v>
      </c>
      <c r="C333">
        <v>510</v>
      </c>
      <c r="D333" t="s">
        <v>62</v>
      </c>
      <c r="E333" t="s">
        <v>62</v>
      </c>
      <c r="F333">
        <v>0</v>
      </c>
      <c r="G333">
        <v>157.1</v>
      </c>
      <c r="H333">
        <v>134</v>
      </c>
      <c r="I333">
        <v>26.71</v>
      </c>
      <c r="J333">
        <v>184.9</v>
      </c>
      <c r="K333">
        <v>122</v>
      </c>
      <c r="L333">
        <v>15.72</v>
      </c>
      <c r="M333">
        <v>197.2</v>
      </c>
      <c r="N333">
        <v>59</v>
      </c>
      <c r="O333">
        <v>8.87</v>
      </c>
      <c r="P333">
        <v>8.5</v>
      </c>
      <c r="Q333">
        <v>5</v>
      </c>
      <c r="R333">
        <v>2.3</v>
      </c>
      <c r="S333">
        <v>4</v>
      </c>
      <c r="T333" t="b">
        <v>1</v>
      </c>
      <c r="AK333">
        <v>75</v>
      </c>
    </row>
    <row r="334" spans="1:37">
      <c r="A334" t="s">
        <v>73</v>
      </c>
      <c r="B334">
        <v>133</v>
      </c>
      <c r="C334">
        <v>510</v>
      </c>
      <c r="D334" t="s">
        <v>63</v>
      </c>
      <c r="E334" t="s">
        <v>62</v>
      </c>
      <c r="F334">
        <v>0</v>
      </c>
      <c r="G334">
        <v>127.3</v>
      </c>
      <c r="H334">
        <v>108</v>
      </c>
      <c r="I334">
        <v>21.64</v>
      </c>
      <c r="J334">
        <v>251.3</v>
      </c>
      <c r="K334">
        <v>81</v>
      </c>
      <c r="L334">
        <v>21.36</v>
      </c>
      <c r="M334">
        <v>135</v>
      </c>
      <c r="N334">
        <v>88</v>
      </c>
      <c r="O334">
        <v>6.08</v>
      </c>
      <c r="P334">
        <v>10.3</v>
      </c>
      <c r="Q334">
        <v>3</v>
      </c>
      <c r="R334">
        <v>2.78</v>
      </c>
      <c r="S334">
        <v>1</v>
      </c>
      <c r="T334" t="b">
        <v>0</v>
      </c>
      <c r="AK334">
        <v>69.1</v>
      </c>
    </row>
    <row r="335" spans="1:37">
      <c r="A335" t="s">
        <v>80</v>
      </c>
      <c r="B335">
        <v>145</v>
      </c>
      <c r="C335">
        <v>415</v>
      </c>
      <c r="D335" t="s">
        <v>62</v>
      </c>
      <c r="E335" t="s">
        <v>62</v>
      </c>
      <c r="F335">
        <v>0</v>
      </c>
      <c r="G335">
        <v>187.9</v>
      </c>
      <c r="H335">
        <v>110</v>
      </c>
      <c r="I335">
        <v>31.94</v>
      </c>
      <c r="J335">
        <v>197</v>
      </c>
      <c r="K335">
        <v>117</v>
      </c>
      <c r="L335">
        <v>16.75</v>
      </c>
      <c r="M335">
        <v>167</v>
      </c>
      <c r="N335">
        <v>108</v>
      </c>
      <c r="O335">
        <v>7.52</v>
      </c>
      <c r="P335">
        <v>4.8</v>
      </c>
      <c r="Q335">
        <v>4</v>
      </c>
      <c r="R335">
        <v>1.3</v>
      </c>
      <c r="S335">
        <v>2</v>
      </c>
      <c r="T335" t="b">
        <v>0</v>
      </c>
      <c r="AK335">
        <v>148.5</v>
      </c>
    </row>
    <row r="336" spans="1:37">
      <c r="A336" t="s">
        <v>94</v>
      </c>
      <c r="B336">
        <v>25</v>
      </c>
      <c r="C336">
        <v>408</v>
      </c>
      <c r="D336" t="s">
        <v>62</v>
      </c>
      <c r="E336" t="s">
        <v>62</v>
      </c>
      <c r="F336">
        <v>0</v>
      </c>
      <c r="G336">
        <v>178.8</v>
      </c>
      <c r="H336">
        <v>90</v>
      </c>
      <c r="I336">
        <v>30.4</v>
      </c>
      <c r="J336">
        <v>141.2</v>
      </c>
      <c r="K336">
        <v>72</v>
      </c>
      <c r="L336">
        <v>12</v>
      </c>
      <c r="M336">
        <v>203</v>
      </c>
      <c r="N336">
        <v>99</v>
      </c>
      <c r="O336">
        <v>9.14</v>
      </c>
      <c r="P336">
        <v>8.4</v>
      </c>
      <c r="Q336">
        <v>5</v>
      </c>
      <c r="R336">
        <v>2.27</v>
      </c>
      <c r="S336">
        <v>2</v>
      </c>
      <c r="T336" t="b">
        <v>0</v>
      </c>
      <c r="AK336">
        <v>258.1</v>
      </c>
    </row>
    <row r="337" spans="1:37">
      <c r="A337" t="s">
        <v>109</v>
      </c>
      <c r="B337">
        <v>126</v>
      </c>
      <c r="C337">
        <v>415</v>
      </c>
      <c r="D337" t="s">
        <v>62</v>
      </c>
      <c r="E337" t="s">
        <v>62</v>
      </c>
      <c r="F337">
        <v>0</v>
      </c>
      <c r="G337">
        <v>256.5</v>
      </c>
      <c r="H337">
        <v>112</v>
      </c>
      <c r="I337">
        <v>43.61</v>
      </c>
      <c r="J337">
        <v>199.5</v>
      </c>
      <c r="K337">
        <v>90</v>
      </c>
      <c r="L337">
        <v>16.96</v>
      </c>
      <c r="M337">
        <v>188.3</v>
      </c>
      <c r="N337">
        <v>122</v>
      </c>
      <c r="O337">
        <v>8.47</v>
      </c>
      <c r="P337">
        <v>7</v>
      </c>
      <c r="Q337">
        <v>5</v>
      </c>
      <c r="R337">
        <v>1.89</v>
      </c>
      <c r="S337">
        <v>3</v>
      </c>
      <c r="T337" t="b">
        <v>0</v>
      </c>
      <c r="AK337">
        <v>149.7</v>
      </c>
    </row>
    <row r="338" spans="1:37">
      <c r="A338" t="s">
        <v>94</v>
      </c>
      <c r="B338">
        <v>76</v>
      </c>
      <c r="C338">
        <v>415</v>
      </c>
      <c r="D338" t="s">
        <v>62</v>
      </c>
      <c r="E338" t="s">
        <v>62</v>
      </c>
      <c r="F338">
        <v>0</v>
      </c>
      <c r="G338">
        <v>169.5</v>
      </c>
      <c r="H338">
        <v>77</v>
      </c>
      <c r="I338">
        <v>28.82</v>
      </c>
      <c r="J338">
        <v>124</v>
      </c>
      <c r="K338">
        <v>87</v>
      </c>
      <c r="L338">
        <v>10.54</v>
      </c>
      <c r="M338">
        <v>219.4</v>
      </c>
      <c r="N338">
        <v>92</v>
      </c>
      <c r="O338">
        <v>9.87</v>
      </c>
      <c r="P338">
        <v>10</v>
      </c>
      <c r="Q338">
        <v>3</v>
      </c>
      <c r="R338">
        <v>2.7</v>
      </c>
      <c r="S338">
        <v>0</v>
      </c>
      <c r="T338" t="b">
        <v>0</v>
      </c>
      <c r="AK338">
        <v>149.8</v>
      </c>
    </row>
    <row r="339" spans="1:37">
      <c r="A339" t="s">
        <v>95</v>
      </c>
      <c r="B339">
        <v>113</v>
      </c>
      <c r="C339">
        <v>415</v>
      </c>
      <c r="D339" t="s">
        <v>62</v>
      </c>
      <c r="E339" t="s">
        <v>62</v>
      </c>
      <c r="F339">
        <v>0</v>
      </c>
      <c r="G339">
        <v>239.7</v>
      </c>
      <c r="H339">
        <v>47</v>
      </c>
      <c r="I339">
        <v>40.75</v>
      </c>
      <c r="J339">
        <v>282.9</v>
      </c>
      <c r="K339">
        <v>110</v>
      </c>
      <c r="L339">
        <v>24.05</v>
      </c>
      <c r="M339">
        <v>238.4</v>
      </c>
      <c r="N339">
        <v>88</v>
      </c>
      <c r="O339">
        <v>10.73</v>
      </c>
      <c r="P339">
        <v>8.7</v>
      </c>
      <c r="Q339">
        <v>3</v>
      </c>
      <c r="R339">
        <v>2.35</v>
      </c>
      <c r="S339">
        <v>2</v>
      </c>
      <c r="T339" t="b">
        <v>1</v>
      </c>
      <c r="AK339">
        <v>190.4</v>
      </c>
    </row>
    <row r="340" spans="1:37">
      <c r="A340" t="s">
        <v>95</v>
      </c>
      <c r="B340">
        <v>224</v>
      </c>
      <c r="C340">
        <v>510</v>
      </c>
      <c r="D340" t="s">
        <v>63</v>
      </c>
      <c r="E340" t="s">
        <v>62</v>
      </c>
      <c r="F340">
        <v>0</v>
      </c>
      <c r="G340">
        <v>171.5</v>
      </c>
      <c r="H340">
        <v>99</v>
      </c>
      <c r="I340">
        <v>29.16</v>
      </c>
      <c r="J340">
        <v>160</v>
      </c>
      <c r="K340">
        <v>103</v>
      </c>
      <c r="L340">
        <v>13.6</v>
      </c>
      <c r="M340">
        <v>212.4</v>
      </c>
      <c r="N340">
        <v>102</v>
      </c>
      <c r="O340">
        <v>9.56</v>
      </c>
      <c r="P340">
        <v>5</v>
      </c>
      <c r="Q340">
        <v>2</v>
      </c>
      <c r="R340">
        <v>1.35</v>
      </c>
      <c r="S340">
        <v>1</v>
      </c>
      <c r="T340" t="b">
        <v>1</v>
      </c>
      <c r="AK340">
        <v>181.4</v>
      </c>
    </row>
    <row r="341" spans="1:37">
      <c r="A341" t="s">
        <v>99</v>
      </c>
      <c r="B341">
        <v>128</v>
      </c>
      <c r="C341">
        <v>408</v>
      </c>
      <c r="D341" t="s">
        <v>62</v>
      </c>
      <c r="E341" t="s">
        <v>63</v>
      </c>
      <c r="F341">
        <v>34</v>
      </c>
      <c r="G341">
        <v>142.3</v>
      </c>
      <c r="H341">
        <v>73</v>
      </c>
      <c r="I341">
        <v>24.19</v>
      </c>
      <c r="J341">
        <v>194.8</v>
      </c>
      <c r="K341">
        <v>79</v>
      </c>
      <c r="L341">
        <v>16.56</v>
      </c>
      <c r="M341">
        <v>239.3</v>
      </c>
      <c r="N341">
        <v>81</v>
      </c>
      <c r="O341">
        <v>10.77</v>
      </c>
      <c r="P341">
        <v>16</v>
      </c>
      <c r="Q341">
        <v>6</v>
      </c>
      <c r="R341">
        <v>4.32</v>
      </c>
      <c r="S341">
        <v>1</v>
      </c>
      <c r="T341" t="b">
        <v>0</v>
      </c>
      <c r="AK341">
        <v>155.7</v>
      </c>
    </row>
    <row r="342" spans="1:37">
      <c r="A342" t="s">
        <v>104</v>
      </c>
      <c r="B342">
        <v>115</v>
      </c>
      <c r="C342">
        <v>415</v>
      </c>
      <c r="D342" t="s">
        <v>62</v>
      </c>
      <c r="E342" t="s">
        <v>62</v>
      </c>
      <c r="F342">
        <v>0</v>
      </c>
      <c r="G342">
        <v>184.1</v>
      </c>
      <c r="H342">
        <v>98</v>
      </c>
      <c r="I342">
        <v>31.3</v>
      </c>
      <c r="J342">
        <v>327</v>
      </c>
      <c r="K342">
        <v>73</v>
      </c>
      <c r="L342">
        <v>27.8</v>
      </c>
      <c r="M342">
        <v>212.5</v>
      </c>
      <c r="N342">
        <v>106</v>
      </c>
      <c r="O342">
        <v>9.56</v>
      </c>
      <c r="P342">
        <v>7.5</v>
      </c>
      <c r="Q342">
        <v>6</v>
      </c>
      <c r="R342">
        <v>2.03</v>
      </c>
      <c r="S342">
        <v>2</v>
      </c>
      <c r="T342" t="b">
        <v>0</v>
      </c>
      <c r="AK342">
        <v>149.9</v>
      </c>
    </row>
    <row r="343" spans="1:37">
      <c r="A343" t="s">
        <v>103</v>
      </c>
      <c r="B343">
        <v>141</v>
      </c>
      <c r="C343">
        <v>415</v>
      </c>
      <c r="D343" t="s">
        <v>62</v>
      </c>
      <c r="E343" t="s">
        <v>63</v>
      </c>
      <c r="F343">
        <v>28</v>
      </c>
      <c r="G343">
        <v>206.9</v>
      </c>
      <c r="H343">
        <v>126</v>
      </c>
      <c r="I343">
        <v>35.17</v>
      </c>
      <c r="J343">
        <v>264.4</v>
      </c>
      <c r="K343">
        <v>126</v>
      </c>
      <c r="L343">
        <v>22.47</v>
      </c>
      <c r="M343">
        <v>171.8</v>
      </c>
      <c r="N343">
        <v>124</v>
      </c>
      <c r="O343">
        <v>7.73</v>
      </c>
      <c r="P343">
        <v>9.3</v>
      </c>
      <c r="Q343">
        <v>11</v>
      </c>
      <c r="R343">
        <v>2.51</v>
      </c>
      <c r="S343">
        <v>2</v>
      </c>
      <c r="T343" t="b">
        <v>0</v>
      </c>
      <c r="AK343">
        <v>222.3</v>
      </c>
    </row>
    <row r="344" spans="1:37">
      <c r="A344" t="s">
        <v>102</v>
      </c>
      <c r="B344">
        <v>51</v>
      </c>
      <c r="C344">
        <v>510</v>
      </c>
      <c r="D344" t="s">
        <v>62</v>
      </c>
      <c r="E344" t="s">
        <v>62</v>
      </c>
      <c r="F344">
        <v>0</v>
      </c>
      <c r="G344">
        <v>259.9</v>
      </c>
      <c r="H344">
        <v>114</v>
      </c>
      <c r="I344">
        <v>44.18</v>
      </c>
      <c r="J344">
        <v>176.2</v>
      </c>
      <c r="K344">
        <v>94</v>
      </c>
      <c r="L344">
        <v>14.98</v>
      </c>
      <c r="M344">
        <v>77.2</v>
      </c>
      <c r="N344">
        <v>112</v>
      </c>
      <c r="O344">
        <v>3.47</v>
      </c>
      <c r="P344">
        <v>15.3</v>
      </c>
      <c r="Q344">
        <v>1</v>
      </c>
      <c r="R344">
        <v>4.13</v>
      </c>
      <c r="S344">
        <v>1</v>
      </c>
      <c r="T344" t="b">
        <v>0</v>
      </c>
      <c r="AK344">
        <v>149.4</v>
      </c>
    </row>
    <row r="345" spans="1:37">
      <c r="A345" t="s">
        <v>65</v>
      </c>
      <c r="B345">
        <v>100</v>
      </c>
      <c r="C345">
        <v>415</v>
      </c>
      <c r="D345" t="s">
        <v>62</v>
      </c>
      <c r="E345" t="s">
        <v>62</v>
      </c>
      <c r="F345">
        <v>0</v>
      </c>
      <c r="G345">
        <v>203.8</v>
      </c>
      <c r="H345">
        <v>122</v>
      </c>
      <c r="I345">
        <v>34.65</v>
      </c>
      <c r="J345">
        <v>283.1</v>
      </c>
      <c r="K345">
        <v>76</v>
      </c>
      <c r="L345">
        <v>24.06</v>
      </c>
      <c r="M345">
        <v>197.3</v>
      </c>
      <c r="N345">
        <v>83</v>
      </c>
      <c r="O345">
        <v>8.88</v>
      </c>
      <c r="P345">
        <v>12.5</v>
      </c>
      <c r="Q345">
        <v>3</v>
      </c>
      <c r="R345">
        <v>3.38</v>
      </c>
      <c r="S345">
        <v>0</v>
      </c>
      <c r="T345" t="b">
        <v>0</v>
      </c>
      <c r="AK345">
        <v>204.2</v>
      </c>
    </row>
    <row r="346" spans="1:37">
      <c r="A346" t="s">
        <v>96</v>
      </c>
      <c r="B346">
        <v>96</v>
      </c>
      <c r="C346">
        <v>415</v>
      </c>
      <c r="D346" t="s">
        <v>62</v>
      </c>
      <c r="E346" t="s">
        <v>63</v>
      </c>
      <c r="F346">
        <v>45</v>
      </c>
      <c r="G346">
        <v>248.8</v>
      </c>
      <c r="H346">
        <v>124</v>
      </c>
      <c r="I346">
        <v>42.3</v>
      </c>
      <c r="J346">
        <v>140.3</v>
      </c>
      <c r="K346">
        <v>77</v>
      </c>
      <c r="L346">
        <v>11.93</v>
      </c>
      <c r="M346">
        <v>263.6</v>
      </c>
      <c r="N346">
        <v>102</v>
      </c>
      <c r="O346">
        <v>11.86</v>
      </c>
      <c r="P346">
        <v>10.3</v>
      </c>
      <c r="Q346">
        <v>2</v>
      </c>
      <c r="R346">
        <v>2.78</v>
      </c>
      <c r="S346">
        <v>3</v>
      </c>
      <c r="T346" t="b">
        <v>0</v>
      </c>
      <c r="AK346">
        <v>242.9</v>
      </c>
    </row>
    <row r="347" spans="1:37">
      <c r="A347" t="s">
        <v>108</v>
      </c>
      <c r="B347">
        <v>163</v>
      </c>
      <c r="C347">
        <v>415</v>
      </c>
      <c r="D347" t="s">
        <v>62</v>
      </c>
      <c r="E347" t="s">
        <v>62</v>
      </c>
      <c r="F347">
        <v>0</v>
      </c>
      <c r="G347">
        <v>122.4</v>
      </c>
      <c r="H347">
        <v>129</v>
      </c>
      <c r="I347">
        <v>20.81</v>
      </c>
      <c r="J347">
        <v>113.4</v>
      </c>
      <c r="K347">
        <v>108</v>
      </c>
      <c r="L347">
        <v>9.64</v>
      </c>
      <c r="M347">
        <v>180.2</v>
      </c>
      <c r="N347">
        <v>97</v>
      </c>
      <c r="O347">
        <v>8.11</v>
      </c>
      <c r="P347">
        <v>12.5</v>
      </c>
      <c r="Q347">
        <v>7</v>
      </c>
      <c r="R347">
        <v>3.38</v>
      </c>
      <c r="S347">
        <v>1</v>
      </c>
      <c r="T347" t="b">
        <v>0</v>
      </c>
      <c r="AK347">
        <v>150.4</v>
      </c>
    </row>
    <row r="348" spans="1:37">
      <c r="A348" t="s">
        <v>87</v>
      </c>
      <c r="B348">
        <v>67</v>
      </c>
      <c r="C348">
        <v>415</v>
      </c>
      <c r="D348" t="s">
        <v>62</v>
      </c>
      <c r="E348" t="s">
        <v>63</v>
      </c>
      <c r="F348">
        <v>40</v>
      </c>
      <c r="G348">
        <v>104.9</v>
      </c>
      <c r="H348">
        <v>65</v>
      </c>
      <c r="I348">
        <v>17.83</v>
      </c>
      <c r="J348">
        <v>216.3</v>
      </c>
      <c r="K348">
        <v>93</v>
      </c>
      <c r="L348">
        <v>18.39</v>
      </c>
      <c r="M348">
        <v>217.4</v>
      </c>
      <c r="N348">
        <v>128</v>
      </c>
      <c r="O348">
        <v>9.78</v>
      </c>
      <c r="P348">
        <v>9.6</v>
      </c>
      <c r="Q348">
        <v>9</v>
      </c>
      <c r="R348">
        <v>2.59</v>
      </c>
      <c r="S348">
        <v>1</v>
      </c>
      <c r="T348" t="b">
        <v>0</v>
      </c>
      <c r="AK348">
        <v>273.6</v>
      </c>
    </row>
    <row r="349" spans="1:37">
      <c r="A349" t="s">
        <v>94</v>
      </c>
      <c r="B349">
        <v>49</v>
      </c>
      <c r="C349">
        <v>510</v>
      </c>
      <c r="D349" t="s">
        <v>62</v>
      </c>
      <c r="E349" t="s">
        <v>62</v>
      </c>
      <c r="F349">
        <v>0</v>
      </c>
      <c r="G349">
        <v>119.4</v>
      </c>
      <c r="H349">
        <v>69</v>
      </c>
      <c r="I349">
        <v>20.3</v>
      </c>
      <c r="J349">
        <v>273.3</v>
      </c>
      <c r="K349">
        <v>92</v>
      </c>
      <c r="L349">
        <v>23.23</v>
      </c>
      <c r="M349">
        <v>214.4</v>
      </c>
      <c r="N349">
        <v>153</v>
      </c>
      <c r="O349">
        <v>9.65</v>
      </c>
      <c r="P349">
        <v>12.4</v>
      </c>
      <c r="Q349">
        <v>7</v>
      </c>
      <c r="R349">
        <v>3.35</v>
      </c>
      <c r="S349">
        <v>2</v>
      </c>
      <c r="T349" t="b">
        <v>0</v>
      </c>
      <c r="AK349">
        <v>156.1</v>
      </c>
    </row>
    <row r="350" spans="1:37">
      <c r="A350" t="s">
        <v>61</v>
      </c>
      <c r="B350">
        <v>46</v>
      </c>
      <c r="C350">
        <v>510</v>
      </c>
      <c r="D350" t="s">
        <v>62</v>
      </c>
      <c r="E350" t="s">
        <v>62</v>
      </c>
      <c r="F350">
        <v>0</v>
      </c>
      <c r="G350">
        <v>250.3</v>
      </c>
      <c r="H350">
        <v>100</v>
      </c>
      <c r="I350">
        <v>42.55</v>
      </c>
      <c r="J350">
        <v>260.6</v>
      </c>
      <c r="K350">
        <v>90</v>
      </c>
      <c r="L350">
        <v>22.15</v>
      </c>
      <c r="M350">
        <v>195</v>
      </c>
      <c r="N350">
        <v>104</v>
      </c>
      <c r="O350">
        <v>8.78</v>
      </c>
      <c r="P350">
        <v>13.3</v>
      </c>
      <c r="Q350">
        <v>2</v>
      </c>
      <c r="R350">
        <v>3.59</v>
      </c>
      <c r="S350">
        <v>2</v>
      </c>
      <c r="T350" t="b">
        <v>1</v>
      </c>
      <c r="AK350">
        <v>178.7</v>
      </c>
    </row>
    <row r="351" spans="1:37">
      <c r="A351" t="s">
        <v>84</v>
      </c>
      <c r="B351">
        <v>148</v>
      </c>
      <c r="C351">
        <v>415</v>
      </c>
      <c r="D351" t="s">
        <v>62</v>
      </c>
      <c r="E351" t="s">
        <v>62</v>
      </c>
      <c r="F351">
        <v>0</v>
      </c>
      <c r="G351">
        <v>178.3</v>
      </c>
      <c r="H351">
        <v>98</v>
      </c>
      <c r="I351">
        <v>30.31</v>
      </c>
      <c r="J351">
        <v>282.6</v>
      </c>
      <c r="K351">
        <v>110</v>
      </c>
      <c r="L351">
        <v>24.02</v>
      </c>
      <c r="M351">
        <v>181</v>
      </c>
      <c r="N351">
        <v>98</v>
      </c>
      <c r="O351">
        <v>8.15</v>
      </c>
      <c r="P351">
        <v>11.4</v>
      </c>
      <c r="Q351">
        <v>4</v>
      </c>
      <c r="R351">
        <v>3.08</v>
      </c>
      <c r="S351">
        <v>1</v>
      </c>
      <c r="T351" t="b">
        <v>0</v>
      </c>
      <c r="AK351">
        <v>177.5</v>
      </c>
    </row>
    <row r="352" spans="1:37">
      <c r="A352" t="s">
        <v>110</v>
      </c>
      <c r="B352">
        <v>112</v>
      </c>
      <c r="C352">
        <v>510</v>
      </c>
      <c r="D352" t="s">
        <v>62</v>
      </c>
      <c r="E352" t="s">
        <v>62</v>
      </c>
      <c r="F352">
        <v>0</v>
      </c>
      <c r="G352">
        <v>243.4</v>
      </c>
      <c r="H352">
        <v>77</v>
      </c>
      <c r="I352">
        <v>41.38</v>
      </c>
      <c r="J352">
        <v>182.1</v>
      </c>
      <c r="K352">
        <v>97</v>
      </c>
      <c r="L352">
        <v>15.48</v>
      </c>
      <c r="M352">
        <v>259.2</v>
      </c>
      <c r="N352">
        <v>94</v>
      </c>
      <c r="O352">
        <v>11.66</v>
      </c>
      <c r="P352">
        <v>12.8</v>
      </c>
      <c r="Q352">
        <v>2</v>
      </c>
      <c r="R352">
        <v>3.46</v>
      </c>
      <c r="S352">
        <v>1</v>
      </c>
      <c r="T352" t="b">
        <v>0</v>
      </c>
      <c r="AK352">
        <v>175.2</v>
      </c>
    </row>
    <row r="353" spans="1:37">
      <c r="A353" t="s">
        <v>111</v>
      </c>
      <c r="B353">
        <v>78</v>
      </c>
      <c r="C353">
        <v>415</v>
      </c>
      <c r="D353" t="s">
        <v>62</v>
      </c>
      <c r="E353" t="s">
        <v>62</v>
      </c>
      <c r="F353">
        <v>0</v>
      </c>
      <c r="G353">
        <v>155</v>
      </c>
      <c r="H353">
        <v>106</v>
      </c>
      <c r="I353">
        <v>26.35</v>
      </c>
      <c r="J353">
        <v>175.3</v>
      </c>
      <c r="K353">
        <v>101</v>
      </c>
      <c r="L353">
        <v>14.9</v>
      </c>
      <c r="M353">
        <v>155.6</v>
      </c>
      <c r="N353">
        <v>125</v>
      </c>
      <c r="O353">
        <v>7</v>
      </c>
      <c r="P353">
        <v>11.8</v>
      </c>
      <c r="Q353">
        <v>5</v>
      </c>
      <c r="R353">
        <v>3.19</v>
      </c>
      <c r="S353">
        <v>2</v>
      </c>
      <c r="T353" t="b">
        <v>0</v>
      </c>
      <c r="AK353">
        <v>251.4</v>
      </c>
    </row>
    <row r="354" spans="1:37">
      <c r="A354" t="s">
        <v>113</v>
      </c>
      <c r="B354">
        <v>61</v>
      </c>
      <c r="C354">
        <v>408</v>
      </c>
      <c r="D354" t="s">
        <v>62</v>
      </c>
      <c r="E354" t="s">
        <v>63</v>
      </c>
      <c r="F354">
        <v>31</v>
      </c>
      <c r="G354">
        <v>288.7</v>
      </c>
      <c r="H354">
        <v>101</v>
      </c>
      <c r="I354">
        <v>49.08</v>
      </c>
      <c r="J354">
        <v>203.8</v>
      </c>
      <c r="K354">
        <v>102</v>
      </c>
      <c r="L354">
        <v>17.32</v>
      </c>
      <c r="M354">
        <v>203.2</v>
      </c>
      <c r="N354">
        <v>49</v>
      </c>
      <c r="O354">
        <v>9.14</v>
      </c>
      <c r="P354">
        <v>8.6</v>
      </c>
      <c r="Q354">
        <v>3</v>
      </c>
      <c r="R354">
        <v>2.32</v>
      </c>
      <c r="S354">
        <v>0</v>
      </c>
      <c r="T354" t="b">
        <v>0</v>
      </c>
      <c r="AK354">
        <v>217.2</v>
      </c>
    </row>
    <row r="355" spans="1:37">
      <c r="A355" t="s">
        <v>76</v>
      </c>
      <c r="B355">
        <v>58</v>
      </c>
      <c r="C355">
        <v>510</v>
      </c>
      <c r="D355" t="s">
        <v>62</v>
      </c>
      <c r="E355" t="s">
        <v>63</v>
      </c>
      <c r="F355">
        <v>29</v>
      </c>
      <c r="G355">
        <v>240.4</v>
      </c>
      <c r="H355">
        <v>80</v>
      </c>
      <c r="I355">
        <v>40.87</v>
      </c>
      <c r="J355">
        <v>118.9</v>
      </c>
      <c r="K355">
        <v>91</v>
      </c>
      <c r="L355">
        <v>10.11</v>
      </c>
      <c r="M355">
        <v>164.2</v>
      </c>
      <c r="N355">
        <v>108</v>
      </c>
      <c r="O355">
        <v>7.39</v>
      </c>
      <c r="P355">
        <v>11.2</v>
      </c>
      <c r="Q355">
        <v>3</v>
      </c>
      <c r="R355">
        <v>3.02</v>
      </c>
      <c r="S355">
        <v>1</v>
      </c>
      <c r="T355" t="b">
        <v>0</v>
      </c>
      <c r="AK355">
        <v>206.3</v>
      </c>
    </row>
    <row r="356" spans="1:37">
      <c r="A356" t="s">
        <v>103</v>
      </c>
      <c r="B356">
        <v>155</v>
      </c>
      <c r="C356">
        <v>415</v>
      </c>
      <c r="D356" t="s">
        <v>62</v>
      </c>
      <c r="E356" t="s">
        <v>62</v>
      </c>
      <c r="F356">
        <v>0</v>
      </c>
      <c r="G356">
        <v>190.3</v>
      </c>
      <c r="H356">
        <v>123</v>
      </c>
      <c r="I356">
        <v>32.35</v>
      </c>
      <c r="J356">
        <v>301.3</v>
      </c>
      <c r="K356">
        <v>96</v>
      </c>
      <c r="L356">
        <v>25.61</v>
      </c>
      <c r="M356">
        <v>214.6</v>
      </c>
      <c r="N356">
        <v>134</v>
      </c>
      <c r="O356">
        <v>9.66</v>
      </c>
      <c r="P356">
        <v>8</v>
      </c>
      <c r="Q356">
        <v>3</v>
      </c>
      <c r="R356">
        <v>2.16</v>
      </c>
      <c r="S356">
        <v>1</v>
      </c>
      <c r="T356" t="b">
        <v>0</v>
      </c>
      <c r="AK356">
        <v>159.3</v>
      </c>
    </row>
    <row r="357" spans="1:37">
      <c r="A357" t="s">
        <v>64</v>
      </c>
      <c r="B357">
        <v>100</v>
      </c>
      <c r="C357">
        <v>510</v>
      </c>
      <c r="D357" t="s">
        <v>62</v>
      </c>
      <c r="E357" t="s">
        <v>62</v>
      </c>
      <c r="F357">
        <v>0</v>
      </c>
      <c r="G357">
        <v>278</v>
      </c>
      <c r="H357">
        <v>76</v>
      </c>
      <c r="I357">
        <v>47.26</v>
      </c>
      <c r="J357">
        <v>176.7</v>
      </c>
      <c r="K357">
        <v>74</v>
      </c>
      <c r="L357">
        <v>15.02</v>
      </c>
      <c r="M357">
        <v>219.5</v>
      </c>
      <c r="N357">
        <v>126</v>
      </c>
      <c r="O357">
        <v>9.88</v>
      </c>
      <c r="P357">
        <v>8.3</v>
      </c>
      <c r="Q357">
        <v>4</v>
      </c>
      <c r="R357">
        <v>2.24</v>
      </c>
      <c r="S357">
        <v>0</v>
      </c>
      <c r="T357" t="b">
        <v>1</v>
      </c>
      <c r="AK357">
        <v>143.1</v>
      </c>
    </row>
    <row r="358" spans="1:37">
      <c r="A358" t="s">
        <v>85</v>
      </c>
      <c r="B358">
        <v>113</v>
      </c>
      <c r="C358">
        <v>510</v>
      </c>
      <c r="D358" t="s">
        <v>62</v>
      </c>
      <c r="E358" t="s">
        <v>62</v>
      </c>
      <c r="F358">
        <v>0</v>
      </c>
      <c r="G358">
        <v>155</v>
      </c>
      <c r="H358">
        <v>93</v>
      </c>
      <c r="I358">
        <v>26.35</v>
      </c>
      <c r="J358">
        <v>330.6</v>
      </c>
      <c r="K358">
        <v>106</v>
      </c>
      <c r="L358">
        <v>28.1</v>
      </c>
      <c r="M358">
        <v>189.4</v>
      </c>
      <c r="N358">
        <v>123</v>
      </c>
      <c r="O358">
        <v>8.52</v>
      </c>
      <c r="P358">
        <v>13.5</v>
      </c>
      <c r="Q358">
        <v>3</v>
      </c>
      <c r="R358">
        <v>3.65</v>
      </c>
      <c r="S358">
        <v>1</v>
      </c>
      <c r="T358" t="b">
        <v>0</v>
      </c>
      <c r="AK358">
        <v>186.6</v>
      </c>
    </row>
    <row r="359" spans="1:37">
      <c r="A359" t="s">
        <v>92</v>
      </c>
      <c r="B359">
        <v>135</v>
      </c>
      <c r="C359">
        <v>510</v>
      </c>
      <c r="D359" t="s">
        <v>62</v>
      </c>
      <c r="E359" t="s">
        <v>63</v>
      </c>
      <c r="F359">
        <v>27</v>
      </c>
      <c r="G359">
        <v>273.4</v>
      </c>
      <c r="H359">
        <v>141</v>
      </c>
      <c r="I359">
        <v>46.48</v>
      </c>
      <c r="J359">
        <v>154</v>
      </c>
      <c r="K359">
        <v>99</v>
      </c>
      <c r="L359">
        <v>13.09</v>
      </c>
      <c r="M359">
        <v>245.8</v>
      </c>
      <c r="N359">
        <v>112</v>
      </c>
      <c r="O359">
        <v>11.06</v>
      </c>
      <c r="P359">
        <v>12.3</v>
      </c>
      <c r="Q359">
        <v>6</v>
      </c>
      <c r="R359">
        <v>3.32</v>
      </c>
      <c r="S359">
        <v>1</v>
      </c>
      <c r="T359" t="b">
        <v>0</v>
      </c>
      <c r="AK359">
        <v>124</v>
      </c>
    </row>
    <row r="360" spans="1:37">
      <c r="A360" t="s">
        <v>81</v>
      </c>
      <c r="B360">
        <v>99</v>
      </c>
      <c r="C360">
        <v>408</v>
      </c>
      <c r="D360" t="s">
        <v>62</v>
      </c>
      <c r="E360" t="s">
        <v>62</v>
      </c>
      <c r="F360">
        <v>0</v>
      </c>
      <c r="G360">
        <v>155.3</v>
      </c>
      <c r="H360">
        <v>93</v>
      </c>
      <c r="I360">
        <v>26.4</v>
      </c>
      <c r="J360">
        <v>265.7</v>
      </c>
      <c r="K360">
        <v>95</v>
      </c>
      <c r="L360">
        <v>22.58</v>
      </c>
      <c r="M360">
        <v>145.7</v>
      </c>
      <c r="N360">
        <v>67</v>
      </c>
      <c r="O360">
        <v>6.56</v>
      </c>
      <c r="P360">
        <v>12.4</v>
      </c>
      <c r="Q360">
        <v>4</v>
      </c>
      <c r="R360">
        <v>3.35</v>
      </c>
      <c r="S360">
        <v>0</v>
      </c>
      <c r="T360" t="b">
        <v>0</v>
      </c>
      <c r="AK360">
        <v>198.3</v>
      </c>
    </row>
    <row r="361" spans="1:37">
      <c r="A361" t="s">
        <v>92</v>
      </c>
      <c r="B361">
        <v>59</v>
      </c>
      <c r="C361">
        <v>510</v>
      </c>
      <c r="D361" t="s">
        <v>62</v>
      </c>
      <c r="E361" t="s">
        <v>63</v>
      </c>
      <c r="F361">
        <v>29</v>
      </c>
      <c r="G361">
        <v>133.1</v>
      </c>
      <c r="H361">
        <v>114</v>
      </c>
      <c r="I361">
        <v>22.63</v>
      </c>
      <c r="J361">
        <v>221.2</v>
      </c>
      <c r="K361">
        <v>82</v>
      </c>
      <c r="L361">
        <v>18.8</v>
      </c>
      <c r="M361">
        <v>131.6</v>
      </c>
      <c r="N361">
        <v>103</v>
      </c>
      <c r="O361">
        <v>5.92</v>
      </c>
      <c r="P361">
        <v>6.8</v>
      </c>
      <c r="Q361">
        <v>3</v>
      </c>
      <c r="R361">
        <v>1.84</v>
      </c>
      <c r="S361">
        <v>1</v>
      </c>
      <c r="T361" t="b">
        <v>0</v>
      </c>
      <c r="AK361">
        <v>172.8</v>
      </c>
    </row>
    <row r="362" spans="1:37">
      <c r="A362" t="s">
        <v>69</v>
      </c>
      <c r="B362">
        <v>135</v>
      </c>
      <c r="C362">
        <v>510</v>
      </c>
      <c r="D362" t="s">
        <v>62</v>
      </c>
      <c r="E362" t="s">
        <v>62</v>
      </c>
      <c r="F362">
        <v>0</v>
      </c>
      <c r="G362">
        <v>246.8</v>
      </c>
      <c r="H362">
        <v>129</v>
      </c>
      <c r="I362">
        <v>41.96</v>
      </c>
      <c r="J362">
        <v>187.8</v>
      </c>
      <c r="K362">
        <v>121</v>
      </c>
      <c r="L362">
        <v>15.96</v>
      </c>
      <c r="M362">
        <v>154.5</v>
      </c>
      <c r="N362">
        <v>109</v>
      </c>
      <c r="O362">
        <v>6.95</v>
      </c>
      <c r="P362">
        <v>12.6</v>
      </c>
      <c r="Q362">
        <v>5</v>
      </c>
      <c r="R362">
        <v>3.4</v>
      </c>
      <c r="S362">
        <v>1</v>
      </c>
      <c r="T362" t="b">
        <v>0</v>
      </c>
      <c r="AK362">
        <v>217.4</v>
      </c>
    </row>
    <row r="363" spans="1:37">
      <c r="A363" t="s">
        <v>93</v>
      </c>
      <c r="B363">
        <v>85</v>
      </c>
      <c r="C363">
        <v>408</v>
      </c>
      <c r="D363" t="s">
        <v>63</v>
      </c>
      <c r="E363" t="s">
        <v>62</v>
      </c>
      <c r="F363">
        <v>0</v>
      </c>
      <c r="G363">
        <v>165.4</v>
      </c>
      <c r="H363">
        <v>107</v>
      </c>
      <c r="I363">
        <v>28.12</v>
      </c>
      <c r="J363">
        <v>196</v>
      </c>
      <c r="K363">
        <v>126</v>
      </c>
      <c r="L363">
        <v>16.66</v>
      </c>
      <c r="M363">
        <v>349.2</v>
      </c>
      <c r="N363">
        <v>110</v>
      </c>
      <c r="O363">
        <v>15.71</v>
      </c>
      <c r="P363">
        <v>9.6</v>
      </c>
      <c r="Q363">
        <v>7</v>
      </c>
      <c r="R363">
        <v>2.59</v>
      </c>
      <c r="S363">
        <v>2</v>
      </c>
      <c r="T363" t="b">
        <v>0</v>
      </c>
      <c r="AK363">
        <v>93.6</v>
      </c>
    </row>
    <row r="364" spans="1:37">
      <c r="A364" t="s">
        <v>80</v>
      </c>
      <c r="B364">
        <v>88</v>
      </c>
      <c r="C364">
        <v>510</v>
      </c>
      <c r="D364" t="s">
        <v>62</v>
      </c>
      <c r="E364" t="s">
        <v>62</v>
      </c>
      <c r="F364">
        <v>0</v>
      </c>
      <c r="G364">
        <v>138.3</v>
      </c>
      <c r="H364">
        <v>116</v>
      </c>
      <c r="I364">
        <v>23.51</v>
      </c>
      <c r="J364">
        <v>236</v>
      </c>
      <c r="K364">
        <v>138</v>
      </c>
      <c r="L364">
        <v>20.06</v>
      </c>
      <c r="M364">
        <v>179.1</v>
      </c>
      <c r="N364">
        <v>110</v>
      </c>
      <c r="O364">
        <v>8.06</v>
      </c>
      <c r="P364">
        <v>9.6</v>
      </c>
      <c r="Q364">
        <v>4</v>
      </c>
      <c r="R364">
        <v>2.59</v>
      </c>
      <c r="S364">
        <v>3</v>
      </c>
      <c r="T364" t="b">
        <v>0</v>
      </c>
      <c r="AK364">
        <v>98.2</v>
      </c>
    </row>
    <row r="365" spans="1:37">
      <c r="A365" t="s">
        <v>103</v>
      </c>
      <c r="B365">
        <v>55</v>
      </c>
      <c r="C365">
        <v>510</v>
      </c>
      <c r="D365" t="s">
        <v>62</v>
      </c>
      <c r="E365" t="s">
        <v>62</v>
      </c>
      <c r="F365">
        <v>0</v>
      </c>
      <c r="G365">
        <v>286.7</v>
      </c>
      <c r="H365">
        <v>100</v>
      </c>
      <c r="I365">
        <v>48.74</v>
      </c>
      <c r="J365">
        <v>134.4</v>
      </c>
      <c r="K365">
        <v>121</v>
      </c>
      <c r="L365">
        <v>11.42</v>
      </c>
      <c r="M365">
        <v>192.9</v>
      </c>
      <c r="N365">
        <v>122</v>
      </c>
      <c r="O365">
        <v>8.68</v>
      </c>
      <c r="P365">
        <v>6.9</v>
      </c>
      <c r="Q365">
        <v>5</v>
      </c>
      <c r="R365">
        <v>1.86</v>
      </c>
      <c r="S365">
        <v>2</v>
      </c>
      <c r="T365" t="b">
        <v>0</v>
      </c>
      <c r="AK365">
        <v>168.2</v>
      </c>
    </row>
    <row r="366" spans="1:37">
      <c r="A366" t="s">
        <v>89</v>
      </c>
      <c r="B366">
        <v>75</v>
      </c>
      <c r="C366">
        <v>415</v>
      </c>
      <c r="D366" t="s">
        <v>62</v>
      </c>
      <c r="E366" t="s">
        <v>62</v>
      </c>
      <c r="F366">
        <v>0</v>
      </c>
      <c r="G366">
        <v>117.3</v>
      </c>
      <c r="H366">
        <v>114</v>
      </c>
      <c r="I366">
        <v>19.94</v>
      </c>
      <c r="J366">
        <v>201.1</v>
      </c>
      <c r="K366">
        <v>61</v>
      </c>
      <c r="L366">
        <v>17.09</v>
      </c>
      <c r="M366">
        <v>107.9</v>
      </c>
      <c r="N366">
        <v>82</v>
      </c>
      <c r="O366">
        <v>4.86</v>
      </c>
      <c r="P366">
        <v>12.2</v>
      </c>
      <c r="Q366">
        <v>3</v>
      </c>
      <c r="R366">
        <v>3.29</v>
      </c>
      <c r="S366">
        <v>1</v>
      </c>
      <c r="T366" t="b">
        <v>0</v>
      </c>
      <c r="AK366">
        <v>202.9</v>
      </c>
    </row>
    <row r="367" spans="1:37">
      <c r="A367" t="s">
        <v>61</v>
      </c>
      <c r="B367">
        <v>86</v>
      </c>
      <c r="C367">
        <v>408</v>
      </c>
      <c r="D367" t="s">
        <v>62</v>
      </c>
      <c r="E367" t="s">
        <v>63</v>
      </c>
      <c r="F367">
        <v>23</v>
      </c>
      <c r="G367">
        <v>225.5</v>
      </c>
      <c r="H367">
        <v>107</v>
      </c>
      <c r="I367">
        <v>38.34</v>
      </c>
      <c r="J367">
        <v>246.3</v>
      </c>
      <c r="K367">
        <v>105</v>
      </c>
      <c r="L367">
        <v>20.94</v>
      </c>
      <c r="M367">
        <v>245.7</v>
      </c>
      <c r="N367">
        <v>81</v>
      </c>
      <c r="O367">
        <v>11.06</v>
      </c>
      <c r="P367">
        <v>9.8</v>
      </c>
      <c r="Q367">
        <v>2</v>
      </c>
      <c r="R367">
        <v>2.65</v>
      </c>
      <c r="S367">
        <v>0</v>
      </c>
      <c r="T367" t="b">
        <v>0</v>
      </c>
      <c r="AK367">
        <v>261.4</v>
      </c>
    </row>
    <row r="368" spans="1:37">
      <c r="A368" t="s">
        <v>64</v>
      </c>
      <c r="B368">
        <v>97</v>
      </c>
      <c r="C368">
        <v>408</v>
      </c>
      <c r="D368" t="s">
        <v>62</v>
      </c>
      <c r="E368" t="s">
        <v>62</v>
      </c>
      <c r="F368">
        <v>0</v>
      </c>
      <c r="G368">
        <v>256.4</v>
      </c>
      <c r="H368">
        <v>125</v>
      </c>
      <c r="I368">
        <v>43.59</v>
      </c>
      <c r="J368">
        <v>273.9</v>
      </c>
      <c r="K368">
        <v>100</v>
      </c>
      <c r="L368">
        <v>23.28</v>
      </c>
      <c r="M368">
        <v>222.7</v>
      </c>
      <c r="N368">
        <v>101</v>
      </c>
      <c r="O368">
        <v>10.02</v>
      </c>
      <c r="P368">
        <v>11.1</v>
      </c>
      <c r="Q368">
        <v>1</v>
      </c>
      <c r="R368">
        <v>3</v>
      </c>
      <c r="S368">
        <v>1</v>
      </c>
      <c r="T368" t="b">
        <v>1</v>
      </c>
      <c r="AK368">
        <v>253.7</v>
      </c>
    </row>
    <row r="369" spans="1:37">
      <c r="A369" t="s">
        <v>68</v>
      </c>
      <c r="B369">
        <v>88</v>
      </c>
      <c r="C369">
        <v>415</v>
      </c>
      <c r="D369" t="s">
        <v>62</v>
      </c>
      <c r="E369" t="s">
        <v>62</v>
      </c>
      <c r="F369">
        <v>0</v>
      </c>
      <c r="G369">
        <v>264.8</v>
      </c>
      <c r="H369">
        <v>124</v>
      </c>
      <c r="I369">
        <v>45.02</v>
      </c>
      <c r="J369">
        <v>245.4</v>
      </c>
      <c r="K369">
        <v>112</v>
      </c>
      <c r="L369">
        <v>20.86</v>
      </c>
      <c r="M369">
        <v>160.5</v>
      </c>
      <c r="N369">
        <v>115</v>
      </c>
      <c r="O369">
        <v>7.22</v>
      </c>
      <c r="P369">
        <v>14.8</v>
      </c>
      <c r="Q369">
        <v>2</v>
      </c>
      <c r="R369">
        <v>4</v>
      </c>
      <c r="S369">
        <v>1</v>
      </c>
      <c r="T369" t="b">
        <v>1</v>
      </c>
      <c r="AK369">
        <v>45</v>
      </c>
    </row>
    <row r="370" spans="1:37">
      <c r="A370" t="s">
        <v>107</v>
      </c>
      <c r="B370">
        <v>54</v>
      </c>
      <c r="C370">
        <v>408</v>
      </c>
      <c r="D370" t="s">
        <v>62</v>
      </c>
      <c r="E370" t="s">
        <v>62</v>
      </c>
      <c r="F370">
        <v>0</v>
      </c>
      <c r="G370">
        <v>159.8</v>
      </c>
      <c r="H370">
        <v>99</v>
      </c>
      <c r="I370">
        <v>27.17</v>
      </c>
      <c r="J370">
        <v>264</v>
      </c>
      <c r="K370">
        <v>64</v>
      </c>
      <c r="L370">
        <v>22.44</v>
      </c>
      <c r="M370">
        <v>115.7</v>
      </c>
      <c r="N370">
        <v>70</v>
      </c>
      <c r="O370">
        <v>5.21</v>
      </c>
      <c r="P370">
        <v>9.7</v>
      </c>
      <c r="Q370">
        <v>7</v>
      </c>
      <c r="R370">
        <v>2.62</v>
      </c>
      <c r="S370">
        <v>2</v>
      </c>
      <c r="T370" t="b">
        <v>0</v>
      </c>
      <c r="AK370">
        <v>47.4</v>
      </c>
    </row>
    <row r="371" spans="1:37">
      <c r="A371" t="s">
        <v>105</v>
      </c>
      <c r="B371">
        <v>11</v>
      </c>
      <c r="C371">
        <v>415</v>
      </c>
      <c r="D371" t="s">
        <v>62</v>
      </c>
      <c r="E371" t="s">
        <v>63</v>
      </c>
      <c r="F371">
        <v>28</v>
      </c>
      <c r="G371">
        <v>190.6</v>
      </c>
      <c r="H371">
        <v>86</v>
      </c>
      <c r="I371">
        <v>32.4</v>
      </c>
      <c r="J371">
        <v>220.1</v>
      </c>
      <c r="K371">
        <v>122</v>
      </c>
      <c r="L371">
        <v>18.71</v>
      </c>
      <c r="M371">
        <v>180.3</v>
      </c>
      <c r="N371">
        <v>80</v>
      </c>
      <c r="O371">
        <v>8.11</v>
      </c>
      <c r="P371">
        <v>6</v>
      </c>
      <c r="Q371">
        <v>3</v>
      </c>
      <c r="R371">
        <v>1.62</v>
      </c>
      <c r="S371">
        <v>3</v>
      </c>
      <c r="T371" t="b">
        <v>0</v>
      </c>
      <c r="AK371">
        <v>227.4</v>
      </c>
    </row>
    <row r="372" spans="1:37">
      <c r="A372" t="s">
        <v>101</v>
      </c>
      <c r="B372">
        <v>109</v>
      </c>
      <c r="C372">
        <v>415</v>
      </c>
      <c r="D372" t="s">
        <v>62</v>
      </c>
      <c r="E372" t="s">
        <v>62</v>
      </c>
      <c r="F372">
        <v>0</v>
      </c>
      <c r="G372">
        <v>184</v>
      </c>
      <c r="H372">
        <v>120</v>
      </c>
      <c r="I372">
        <v>31.28</v>
      </c>
      <c r="J372">
        <v>120.4</v>
      </c>
      <c r="K372">
        <v>119</v>
      </c>
      <c r="L372">
        <v>10.23</v>
      </c>
      <c r="M372">
        <v>153.7</v>
      </c>
      <c r="N372">
        <v>86</v>
      </c>
      <c r="O372">
        <v>6.92</v>
      </c>
      <c r="P372">
        <v>11</v>
      </c>
      <c r="Q372">
        <v>3</v>
      </c>
      <c r="R372">
        <v>2.97</v>
      </c>
      <c r="S372">
        <v>0</v>
      </c>
      <c r="T372" t="b">
        <v>0</v>
      </c>
      <c r="AK372">
        <v>124.8</v>
      </c>
    </row>
    <row r="373" spans="1:37">
      <c r="A373" t="s">
        <v>97</v>
      </c>
      <c r="B373">
        <v>90</v>
      </c>
      <c r="C373">
        <v>415</v>
      </c>
      <c r="D373" t="s">
        <v>62</v>
      </c>
      <c r="E373" t="s">
        <v>62</v>
      </c>
      <c r="F373">
        <v>0</v>
      </c>
      <c r="G373">
        <v>261.8</v>
      </c>
      <c r="H373">
        <v>128</v>
      </c>
      <c r="I373">
        <v>44.51</v>
      </c>
      <c r="J373">
        <v>220.6</v>
      </c>
      <c r="K373">
        <v>104</v>
      </c>
      <c r="L373">
        <v>18.75</v>
      </c>
      <c r="M373">
        <v>136.6</v>
      </c>
      <c r="N373">
        <v>91</v>
      </c>
      <c r="O373">
        <v>6.15</v>
      </c>
      <c r="P373">
        <v>9.6</v>
      </c>
      <c r="Q373">
        <v>5</v>
      </c>
      <c r="R373">
        <v>2.59</v>
      </c>
      <c r="S373">
        <v>1</v>
      </c>
      <c r="T373" t="b">
        <v>0</v>
      </c>
      <c r="AK373">
        <v>68.5</v>
      </c>
    </row>
    <row r="374" spans="1:37">
      <c r="A374" t="s">
        <v>104</v>
      </c>
      <c r="B374">
        <v>91</v>
      </c>
      <c r="C374">
        <v>408</v>
      </c>
      <c r="D374" t="s">
        <v>62</v>
      </c>
      <c r="E374" t="s">
        <v>62</v>
      </c>
      <c r="F374">
        <v>0</v>
      </c>
      <c r="G374">
        <v>133.7</v>
      </c>
      <c r="H374">
        <v>75</v>
      </c>
      <c r="I374">
        <v>22.73</v>
      </c>
      <c r="J374">
        <v>195.3</v>
      </c>
      <c r="K374">
        <v>87</v>
      </c>
      <c r="L374">
        <v>16.6</v>
      </c>
      <c r="M374">
        <v>280.5</v>
      </c>
      <c r="N374">
        <v>89</v>
      </c>
      <c r="O374">
        <v>12.62</v>
      </c>
      <c r="P374">
        <v>5.9</v>
      </c>
      <c r="Q374">
        <v>2</v>
      </c>
      <c r="R374">
        <v>1.59</v>
      </c>
      <c r="S374">
        <v>0</v>
      </c>
      <c r="T374" t="b">
        <v>0</v>
      </c>
      <c r="AK374">
        <v>163.5</v>
      </c>
    </row>
    <row r="375" spans="1:37">
      <c r="A375" t="s">
        <v>115</v>
      </c>
      <c r="B375">
        <v>105</v>
      </c>
      <c r="C375">
        <v>415</v>
      </c>
      <c r="D375" t="s">
        <v>62</v>
      </c>
      <c r="E375" t="s">
        <v>63</v>
      </c>
      <c r="F375">
        <v>23</v>
      </c>
      <c r="G375">
        <v>193.5</v>
      </c>
      <c r="H375">
        <v>85</v>
      </c>
      <c r="I375">
        <v>32.9</v>
      </c>
      <c r="J375">
        <v>220.2</v>
      </c>
      <c r="K375">
        <v>90</v>
      </c>
      <c r="L375">
        <v>18.72</v>
      </c>
      <c r="M375">
        <v>272.4</v>
      </c>
      <c r="N375">
        <v>111</v>
      </c>
      <c r="O375">
        <v>12.26</v>
      </c>
      <c r="P375">
        <v>8.5</v>
      </c>
      <c r="Q375">
        <v>5</v>
      </c>
      <c r="R375">
        <v>2.3</v>
      </c>
      <c r="S375">
        <v>0</v>
      </c>
      <c r="T375" t="b">
        <v>0</v>
      </c>
      <c r="AK375">
        <v>163</v>
      </c>
    </row>
    <row r="376" spans="1:37">
      <c r="A376" t="s">
        <v>104</v>
      </c>
      <c r="B376">
        <v>71</v>
      </c>
      <c r="C376">
        <v>415</v>
      </c>
      <c r="D376" t="s">
        <v>63</v>
      </c>
      <c r="E376" t="s">
        <v>62</v>
      </c>
      <c r="F376">
        <v>0</v>
      </c>
      <c r="G376">
        <v>178.2</v>
      </c>
      <c r="H376">
        <v>113</v>
      </c>
      <c r="I376">
        <v>30.29</v>
      </c>
      <c r="J376">
        <v>167.8</v>
      </c>
      <c r="K376">
        <v>94</v>
      </c>
      <c r="L376">
        <v>14.26</v>
      </c>
      <c r="M376">
        <v>182.1</v>
      </c>
      <c r="N376">
        <v>111</v>
      </c>
      <c r="O376">
        <v>8.19</v>
      </c>
      <c r="P376">
        <v>13.6</v>
      </c>
      <c r="Q376">
        <v>3</v>
      </c>
      <c r="R376">
        <v>3.67</v>
      </c>
      <c r="S376">
        <v>3</v>
      </c>
      <c r="T376" t="b">
        <v>1</v>
      </c>
      <c r="AK376">
        <v>213.7</v>
      </c>
    </row>
    <row r="377" spans="1:37">
      <c r="A377" t="s">
        <v>81</v>
      </c>
      <c r="B377">
        <v>132</v>
      </c>
      <c r="C377">
        <v>510</v>
      </c>
      <c r="D377" t="s">
        <v>62</v>
      </c>
      <c r="E377" t="s">
        <v>63</v>
      </c>
      <c r="F377">
        <v>36</v>
      </c>
      <c r="G377">
        <v>226.2</v>
      </c>
      <c r="H377">
        <v>103</v>
      </c>
      <c r="I377">
        <v>38.45</v>
      </c>
      <c r="J377">
        <v>181.6</v>
      </c>
      <c r="K377">
        <v>125</v>
      </c>
      <c r="L377">
        <v>15.44</v>
      </c>
      <c r="M377">
        <v>258.8</v>
      </c>
      <c r="N377">
        <v>102</v>
      </c>
      <c r="O377">
        <v>11.65</v>
      </c>
      <c r="P377">
        <v>10.5</v>
      </c>
      <c r="Q377">
        <v>5</v>
      </c>
      <c r="R377">
        <v>2.84</v>
      </c>
      <c r="S377">
        <v>3</v>
      </c>
      <c r="T377" t="b">
        <v>1</v>
      </c>
      <c r="AK377">
        <v>201.3</v>
      </c>
    </row>
    <row r="378" spans="1:37">
      <c r="A378" t="s">
        <v>91</v>
      </c>
      <c r="B378">
        <v>112</v>
      </c>
      <c r="C378">
        <v>415</v>
      </c>
      <c r="D378" t="s">
        <v>62</v>
      </c>
      <c r="E378" t="s">
        <v>62</v>
      </c>
      <c r="F378">
        <v>0</v>
      </c>
      <c r="G378">
        <v>170.4</v>
      </c>
      <c r="H378">
        <v>103</v>
      </c>
      <c r="I378">
        <v>28.97</v>
      </c>
      <c r="J378">
        <v>200.2</v>
      </c>
      <c r="K378">
        <v>71</v>
      </c>
      <c r="L378">
        <v>17.02</v>
      </c>
      <c r="M378">
        <v>258.3</v>
      </c>
      <c r="N378">
        <v>100</v>
      </c>
      <c r="O378">
        <v>11.62</v>
      </c>
      <c r="P378">
        <v>11.6</v>
      </c>
      <c r="Q378">
        <v>4</v>
      </c>
      <c r="R378">
        <v>3.13</v>
      </c>
      <c r="S378">
        <v>1</v>
      </c>
      <c r="T378" t="b">
        <v>0</v>
      </c>
      <c r="AK378">
        <v>48.4</v>
      </c>
    </row>
    <row r="379" spans="1:37">
      <c r="A379" t="s">
        <v>67</v>
      </c>
      <c r="B379">
        <v>41</v>
      </c>
      <c r="C379">
        <v>510</v>
      </c>
      <c r="D379" t="s">
        <v>62</v>
      </c>
      <c r="E379" t="s">
        <v>63</v>
      </c>
      <c r="F379">
        <v>34</v>
      </c>
      <c r="G379">
        <v>194.4</v>
      </c>
      <c r="H379">
        <v>63</v>
      </c>
      <c r="I379">
        <v>33.05</v>
      </c>
      <c r="J379">
        <v>254.9</v>
      </c>
      <c r="K379">
        <v>110</v>
      </c>
      <c r="L379">
        <v>21.67</v>
      </c>
      <c r="M379">
        <v>160.2</v>
      </c>
      <c r="N379">
        <v>115</v>
      </c>
      <c r="O379">
        <v>7.21</v>
      </c>
      <c r="P379">
        <v>17.2</v>
      </c>
      <c r="Q379">
        <v>9</v>
      </c>
      <c r="R379">
        <v>4.64</v>
      </c>
      <c r="S379">
        <v>2</v>
      </c>
      <c r="T379" t="b">
        <v>0</v>
      </c>
      <c r="AK379">
        <v>171.2</v>
      </c>
    </row>
    <row r="380" spans="1:37">
      <c r="A380" t="s">
        <v>84</v>
      </c>
      <c r="B380">
        <v>44</v>
      </c>
      <c r="C380">
        <v>415</v>
      </c>
      <c r="D380" t="s">
        <v>62</v>
      </c>
      <c r="E380" t="s">
        <v>62</v>
      </c>
      <c r="F380">
        <v>0</v>
      </c>
      <c r="G380">
        <v>240.3</v>
      </c>
      <c r="H380">
        <v>146</v>
      </c>
      <c r="I380">
        <v>40.85</v>
      </c>
      <c r="J380">
        <v>164.6</v>
      </c>
      <c r="K380">
        <v>83</v>
      </c>
      <c r="L380">
        <v>13.99</v>
      </c>
      <c r="M380">
        <v>240.7</v>
      </c>
      <c r="N380">
        <v>106</v>
      </c>
      <c r="O380">
        <v>10.83</v>
      </c>
      <c r="P380">
        <v>10.6</v>
      </c>
      <c r="Q380">
        <v>2</v>
      </c>
      <c r="R380">
        <v>2.86</v>
      </c>
      <c r="S380">
        <v>1</v>
      </c>
      <c r="T380" t="b">
        <v>0</v>
      </c>
      <c r="AK380">
        <v>166.5</v>
      </c>
    </row>
    <row r="381" spans="1:37">
      <c r="A381" t="s">
        <v>104</v>
      </c>
      <c r="B381">
        <v>78</v>
      </c>
      <c r="C381">
        <v>408</v>
      </c>
      <c r="D381" t="s">
        <v>62</v>
      </c>
      <c r="E381" t="s">
        <v>62</v>
      </c>
      <c r="F381">
        <v>0</v>
      </c>
      <c r="G381">
        <v>75</v>
      </c>
      <c r="H381">
        <v>116</v>
      </c>
      <c r="I381">
        <v>12.75</v>
      </c>
      <c r="J381">
        <v>248.7</v>
      </c>
      <c r="K381">
        <v>87</v>
      </c>
      <c r="L381">
        <v>21.14</v>
      </c>
      <c r="M381">
        <v>176</v>
      </c>
      <c r="N381">
        <v>83</v>
      </c>
      <c r="O381">
        <v>7.92</v>
      </c>
      <c r="P381">
        <v>9.5</v>
      </c>
      <c r="Q381">
        <v>6</v>
      </c>
      <c r="R381">
        <v>2.57</v>
      </c>
      <c r="S381">
        <v>3</v>
      </c>
      <c r="T381" t="b">
        <v>0</v>
      </c>
      <c r="AK381">
        <v>107.8</v>
      </c>
    </row>
    <row r="382" spans="1:37">
      <c r="A382" t="s">
        <v>86</v>
      </c>
      <c r="B382">
        <v>149</v>
      </c>
      <c r="C382">
        <v>408</v>
      </c>
      <c r="D382" t="s">
        <v>62</v>
      </c>
      <c r="E382" t="s">
        <v>62</v>
      </c>
      <c r="F382">
        <v>0</v>
      </c>
      <c r="G382">
        <v>69.1</v>
      </c>
      <c r="H382">
        <v>117</v>
      </c>
      <c r="I382">
        <v>11.75</v>
      </c>
      <c r="J382">
        <v>136.3</v>
      </c>
      <c r="K382">
        <v>100</v>
      </c>
      <c r="L382">
        <v>11.59</v>
      </c>
      <c r="M382">
        <v>181.7</v>
      </c>
      <c r="N382">
        <v>53</v>
      </c>
      <c r="O382">
        <v>8.18</v>
      </c>
      <c r="P382">
        <v>6.3</v>
      </c>
      <c r="Q382">
        <v>3</v>
      </c>
      <c r="R382">
        <v>1.7</v>
      </c>
      <c r="S382">
        <v>1</v>
      </c>
      <c r="T382" t="b">
        <v>0</v>
      </c>
      <c r="AK382">
        <v>141.3</v>
      </c>
    </row>
    <row r="383" spans="1:37">
      <c r="A383" t="s">
        <v>71</v>
      </c>
      <c r="B383">
        <v>72</v>
      </c>
      <c r="C383">
        <v>510</v>
      </c>
      <c r="D383" t="s">
        <v>62</v>
      </c>
      <c r="E383" t="s">
        <v>63</v>
      </c>
      <c r="F383">
        <v>33</v>
      </c>
      <c r="G383">
        <v>96.6</v>
      </c>
      <c r="H383">
        <v>59</v>
      </c>
      <c r="I383">
        <v>16.42</v>
      </c>
      <c r="J383">
        <v>315.4</v>
      </c>
      <c r="K383">
        <v>98</v>
      </c>
      <c r="L383">
        <v>26.81</v>
      </c>
      <c r="M383">
        <v>163.3</v>
      </c>
      <c r="N383">
        <v>117</v>
      </c>
      <c r="O383">
        <v>7.35</v>
      </c>
      <c r="P383">
        <v>6.2</v>
      </c>
      <c r="Q383">
        <v>4</v>
      </c>
      <c r="R383">
        <v>1.67</v>
      </c>
      <c r="S383">
        <v>4</v>
      </c>
      <c r="T383" t="b">
        <v>1</v>
      </c>
      <c r="AK383">
        <v>129.5</v>
      </c>
    </row>
    <row r="384" spans="1:37">
      <c r="A384" t="s">
        <v>92</v>
      </c>
      <c r="B384">
        <v>74</v>
      </c>
      <c r="C384">
        <v>510</v>
      </c>
      <c r="D384" t="s">
        <v>62</v>
      </c>
      <c r="E384" t="s">
        <v>62</v>
      </c>
      <c r="F384">
        <v>0</v>
      </c>
      <c r="G384">
        <v>148.5</v>
      </c>
      <c r="H384">
        <v>111</v>
      </c>
      <c r="I384">
        <v>25.25</v>
      </c>
      <c r="J384">
        <v>146.5</v>
      </c>
      <c r="K384">
        <v>42</v>
      </c>
      <c r="L384">
        <v>12.45</v>
      </c>
      <c r="M384">
        <v>289.2</v>
      </c>
      <c r="N384">
        <v>83</v>
      </c>
      <c r="O384">
        <v>13.01</v>
      </c>
      <c r="P384">
        <v>9.9</v>
      </c>
      <c r="Q384">
        <v>6</v>
      </c>
      <c r="R384">
        <v>2.67</v>
      </c>
      <c r="S384">
        <v>3</v>
      </c>
      <c r="T384" t="b">
        <v>0</v>
      </c>
      <c r="AK384">
        <v>100.1</v>
      </c>
    </row>
    <row r="385" spans="1:37">
      <c r="A385" t="s">
        <v>97</v>
      </c>
      <c r="B385">
        <v>50</v>
      </c>
      <c r="C385">
        <v>510</v>
      </c>
      <c r="D385" t="s">
        <v>62</v>
      </c>
      <c r="E385" t="s">
        <v>62</v>
      </c>
      <c r="F385">
        <v>0</v>
      </c>
      <c r="G385">
        <v>258.1</v>
      </c>
      <c r="H385">
        <v>106</v>
      </c>
      <c r="I385">
        <v>43.88</v>
      </c>
      <c r="J385">
        <v>161.4</v>
      </c>
      <c r="K385">
        <v>106</v>
      </c>
      <c r="L385">
        <v>13.72</v>
      </c>
      <c r="M385">
        <v>225.1</v>
      </c>
      <c r="N385">
        <v>110</v>
      </c>
      <c r="O385">
        <v>10.13</v>
      </c>
      <c r="P385">
        <v>11.7</v>
      </c>
      <c r="Q385">
        <v>5</v>
      </c>
      <c r="R385">
        <v>3.16</v>
      </c>
      <c r="S385">
        <v>1</v>
      </c>
      <c r="T385" t="b">
        <v>0</v>
      </c>
      <c r="AK385">
        <v>237.1</v>
      </c>
    </row>
    <row r="386" spans="1:37">
      <c r="A386" t="s">
        <v>89</v>
      </c>
      <c r="B386">
        <v>141</v>
      </c>
      <c r="C386">
        <v>510</v>
      </c>
      <c r="D386" t="s">
        <v>62</v>
      </c>
      <c r="E386" t="s">
        <v>63</v>
      </c>
      <c r="F386">
        <v>23</v>
      </c>
      <c r="G386">
        <v>149.7</v>
      </c>
      <c r="H386">
        <v>112</v>
      </c>
      <c r="I386">
        <v>25.45</v>
      </c>
      <c r="J386">
        <v>162.5</v>
      </c>
      <c r="K386">
        <v>118</v>
      </c>
      <c r="L386">
        <v>13.81</v>
      </c>
      <c r="M386">
        <v>220.3</v>
      </c>
      <c r="N386">
        <v>115</v>
      </c>
      <c r="O386">
        <v>9.91</v>
      </c>
      <c r="P386">
        <v>7.6</v>
      </c>
      <c r="Q386">
        <v>2</v>
      </c>
      <c r="R386">
        <v>2.05</v>
      </c>
      <c r="S386">
        <v>3</v>
      </c>
      <c r="T386" t="b">
        <v>0</v>
      </c>
      <c r="AK386">
        <v>78.2</v>
      </c>
    </row>
    <row r="387" spans="1:37">
      <c r="A387" t="s">
        <v>83</v>
      </c>
      <c r="B387">
        <v>140</v>
      </c>
      <c r="C387">
        <v>408</v>
      </c>
      <c r="D387" t="s">
        <v>62</v>
      </c>
      <c r="E387" t="s">
        <v>62</v>
      </c>
      <c r="F387">
        <v>0</v>
      </c>
      <c r="G387">
        <v>149.8</v>
      </c>
      <c r="H387">
        <v>134</v>
      </c>
      <c r="I387">
        <v>25.47</v>
      </c>
      <c r="J387">
        <v>164.4</v>
      </c>
      <c r="K387">
        <v>98</v>
      </c>
      <c r="L387">
        <v>13.97</v>
      </c>
      <c r="M387">
        <v>294.7</v>
      </c>
      <c r="N387">
        <v>124</v>
      </c>
      <c r="O387">
        <v>13.26</v>
      </c>
      <c r="P387">
        <v>8.1</v>
      </c>
      <c r="Q387">
        <v>2</v>
      </c>
      <c r="R387">
        <v>2.19</v>
      </c>
      <c r="S387">
        <v>1</v>
      </c>
      <c r="T387" t="b">
        <v>0</v>
      </c>
      <c r="AK387">
        <v>148.7</v>
      </c>
    </row>
    <row r="388" spans="1:37">
      <c r="A388" t="s">
        <v>77</v>
      </c>
      <c r="B388">
        <v>99</v>
      </c>
      <c r="C388">
        <v>408</v>
      </c>
      <c r="D388" t="s">
        <v>62</v>
      </c>
      <c r="E388" t="s">
        <v>62</v>
      </c>
      <c r="F388">
        <v>0</v>
      </c>
      <c r="G388">
        <v>190.4</v>
      </c>
      <c r="H388">
        <v>102</v>
      </c>
      <c r="I388">
        <v>32.37</v>
      </c>
      <c r="J388">
        <v>158.1</v>
      </c>
      <c r="K388">
        <v>107</v>
      </c>
      <c r="L388">
        <v>13.44</v>
      </c>
      <c r="M388">
        <v>271.5</v>
      </c>
      <c r="N388">
        <v>92</v>
      </c>
      <c r="O388">
        <v>12.22</v>
      </c>
      <c r="P388">
        <v>11.2</v>
      </c>
      <c r="Q388">
        <v>4</v>
      </c>
      <c r="R388">
        <v>3.02</v>
      </c>
      <c r="S388">
        <v>2</v>
      </c>
      <c r="T388" t="b">
        <v>0</v>
      </c>
      <c r="AK388">
        <v>194.6</v>
      </c>
    </row>
    <row r="389" spans="1:37">
      <c r="A389" t="s">
        <v>114</v>
      </c>
      <c r="B389">
        <v>166</v>
      </c>
      <c r="C389">
        <v>408</v>
      </c>
      <c r="D389" t="s">
        <v>62</v>
      </c>
      <c r="E389" t="s">
        <v>62</v>
      </c>
      <c r="F389">
        <v>0</v>
      </c>
      <c r="G389">
        <v>181.4</v>
      </c>
      <c r="H389">
        <v>108</v>
      </c>
      <c r="I389">
        <v>30.84</v>
      </c>
      <c r="J389">
        <v>253.8</v>
      </c>
      <c r="K389">
        <v>54</v>
      </c>
      <c r="L389">
        <v>21.57</v>
      </c>
      <c r="M389">
        <v>112.3</v>
      </c>
      <c r="N389">
        <v>94</v>
      </c>
      <c r="O389">
        <v>5.05</v>
      </c>
      <c r="P389">
        <v>11.6</v>
      </c>
      <c r="Q389">
        <v>6</v>
      </c>
      <c r="R389">
        <v>3.13</v>
      </c>
      <c r="S389">
        <v>1</v>
      </c>
      <c r="T389" t="b">
        <v>0</v>
      </c>
      <c r="AK389">
        <v>159.5</v>
      </c>
    </row>
    <row r="390" spans="1:37">
      <c r="A390" t="s">
        <v>91</v>
      </c>
      <c r="B390">
        <v>74</v>
      </c>
      <c r="C390">
        <v>415</v>
      </c>
      <c r="D390" t="s">
        <v>62</v>
      </c>
      <c r="E390" t="s">
        <v>62</v>
      </c>
      <c r="F390">
        <v>0</v>
      </c>
      <c r="G390">
        <v>155.7</v>
      </c>
      <c r="H390">
        <v>116</v>
      </c>
      <c r="I390">
        <v>26.47</v>
      </c>
      <c r="J390">
        <v>173.7</v>
      </c>
      <c r="K390">
        <v>63</v>
      </c>
      <c r="L390">
        <v>14.76</v>
      </c>
      <c r="M390">
        <v>257.4</v>
      </c>
      <c r="N390">
        <v>97</v>
      </c>
      <c r="O390">
        <v>11.58</v>
      </c>
      <c r="P390">
        <v>8.1</v>
      </c>
      <c r="Q390">
        <v>4</v>
      </c>
      <c r="R390">
        <v>2.19</v>
      </c>
      <c r="S390">
        <v>0</v>
      </c>
      <c r="T390" t="b">
        <v>0</v>
      </c>
      <c r="AK390">
        <v>194.5</v>
      </c>
    </row>
    <row r="391" spans="1:37">
      <c r="A391" t="s">
        <v>89</v>
      </c>
      <c r="B391">
        <v>117</v>
      </c>
      <c r="C391">
        <v>510</v>
      </c>
      <c r="D391" t="s">
        <v>62</v>
      </c>
      <c r="E391" t="s">
        <v>62</v>
      </c>
      <c r="F391">
        <v>0</v>
      </c>
      <c r="G391">
        <v>149.9</v>
      </c>
      <c r="H391">
        <v>95</v>
      </c>
      <c r="I391">
        <v>25.48</v>
      </c>
      <c r="J391">
        <v>256.1</v>
      </c>
      <c r="K391">
        <v>110</v>
      </c>
      <c r="L391">
        <v>21.77</v>
      </c>
      <c r="M391">
        <v>212.7</v>
      </c>
      <c r="N391">
        <v>92</v>
      </c>
      <c r="O391">
        <v>9.57</v>
      </c>
      <c r="P391">
        <v>13.3</v>
      </c>
      <c r="Q391">
        <v>13</v>
      </c>
      <c r="R391">
        <v>3.59</v>
      </c>
      <c r="S391">
        <v>2</v>
      </c>
      <c r="T391" t="b">
        <v>0</v>
      </c>
      <c r="AK391">
        <v>131.8</v>
      </c>
    </row>
    <row r="392" spans="1:37">
      <c r="A392" t="s">
        <v>89</v>
      </c>
      <c r="B392">
        <v>85</v>
      </c>
      <c r="C392">
        <v>510</v>
      </c>
      <c r="D392" t="s">
        <v>62</v>
      </c>
      <c r="E392" t="s">
        <v>62</v>
      </c>
      <c r="F392">
        <v>0</v>
      </c>
      <c r="G392">
        <v>222.3</v>
      </c>
      <c r="H392">
        <v>132</v>
      </c>
      <c r="I392">
        <v>37.79</v>
      </c>
      <c r="J392">
        <v>231.5</v>
      </c>
      <c r="K392">
        <v>101</v>
      </c>
      <c r="L392">
        <v>19.68</v>
      </c>
      <c r="M392">
        <v>223.5</v>
      </c>
      <c r="N392">
        <v>75</v>
      </c>
      <c r="O392">
        <v>10.06</v>
      </c>
      <c r="P392">
        <v>11</v>
      </c>
      <c r="Q392">
        <v>2</v>
      </c>
      <c r="R392">
        <v>2.97</v>
      </c>
      <c r="S392">
        <v>3</v>
      </c>
      <c r="T392" t="b">
        <v>0</v>
      </c>
      <c r="AK392">
        <v>146.8</v>
      </c>
    </row>
    <row r="393" spans="1:37">
      <c r="A393" t="s">
        <v>97</v>
      </c>
      <c r="B393">
        <v>36</v>
      </c>
      <c r="C393">
        <v>415</v>
      </c>
      <c r="D393" t="s">
        <v>62</v>
      </c>
      <c r="E393" t="s">
        <v>63</v>
      </c>
      <c r="F393">
        <v>16</v>
      </c>
      <c r="G393">
        <v>149.4</v>
      </c>
      <c r="H393">
        <v>111</v>
      </c>
      <c r="I393">
        <v>25.4</v>
      </c>
      <c r="J393">
        <v>131.8</v>
      </c>
      <c r="K393">
        <v>113</v>
      </c>
      <c r="L393">
        <v>11.2</v>
      </c>
      <c r="M393">
        <v>132.7</v>
      </c>
      <c r="N393">
        <v>87</v>
      </c>
      <c r="O393">
        <v>5.97</v>
      </c>
      <c r="P393">
        <v>6.7</v>
      </c>
      <c r="Q393">
        <v>2</v>
      </c>
      <c r="R393">
        <v>1.81</v>
      </c>
      <c r="S393">
        <v>0</v>
      </c>
      <c r="T393" t="b">
        <v>0</v>
      </c>
      <c r="AK393">
        <v>200.7</v>
      </c>
    </row>
    <row r="394" spans="1:37">
      <c r="A394" t="s">
        <v>96</v>
      </c>
      <c r="B394">
        <v>76</v>
      </c>
      <c r="C394">
        <v>415</v>
      </c>
      <c r="D394" t="s">
        <v>62</v>
      </c>
      <c r="E394" t="s">
        <v>62</v>
      </c>
      <c r="F394">
        <v>0</v>
      </c>
      <c r="G394">
        <v>204.2</v>
      </c>
      <c r="H394">
        <v>100</v>
      </c>
      <c r="I394">
        <v>34.71</v>
      </c>
      <c r="J394">
        <v>292.6</v>
      </c>
      <c r="K394">
        <v>139</v>
      </c>
      <c r="L394">
        <v>24.87</v>
      </c>
      <c r="M394">
        <v>244.3</v>
      </c>
      <c r="N394">
        <v>105</v>
      </c>
      <c r="O394">
        <v>10.99</v>
      </c>
      <c r="P394">
        <v>10.5</v>
      </c>
      <c r="Q394">
        <v>2</v>
      </c>
      <c r="R394">
        <v>2.84</v>
      </c>
      <c r="S394">
        <v>0</v>
      </c>
      <c r="T394" t="b">
        <v>0</v>
      </c>
      <c r="AK394">
        <v>145.6</v>
      </c>
    </row>
    <row r="395" spans="1:37">
      <c r="A395" t="s">
        <v>78</v>
      </c>
      <c r="B395">
        <v>165</v>
      </c>
      <c r="C395">
        <v>510</v>
      </c>
      <c r="D395" t="s">
        <v>62</v>
      </c>
      <c r="E395" t="s">
        <v>62</v>
      </c>
      <c r="F395">
        <v>0</v>
      </c>
      <c r="G395">
        <v>242.9</v>
      </c>
      <c r="H395">
        <v>126</v>
      </c>
      <c r="I395">
        <v>41.29</v>
      </c>
      <c r="J395">
        <v>209.8</v>
      </c>
      <c r="K395">
        <v>65</v>
      </c>
      <c r="L395">
        <v>17.83</v>
      </c>
      <c r="M395">
        <v>228.4</v>
      </c>
      <c r="N395">
        <v>126</v>
      </c>
      <c r="O395">
        <v>10.28</v>
      </c>
      <c r="P395">
        <v>0</v>
      </c>
      <c r="Q395">
        <v>0</v>
      </c>
      <c r="R395">
        <v>0</v>
      </c>
      <c r="S395">
        <v>1</v>
      </c>
      <c r="T395" t="b">
        <v>0</v>
      </c>
      <c r="AK395">
        <v>229.4</v>
      </c>
    </row>
    <row r="396" spans="1:37">
      <c r="A396" t="s">
        <v>75</v>
      </c>
      <c r="B396">
        <v>130</v>
      </c>
      <c r="C396">
        <v>415</v>
      </c>
      <c r="D396" t="s">
        <v>62</v>
      </c>
      <c r="E396" t="s">
        <v>62</v>
      </c>
      <c r="F396">
        <v>0</v>
      </c>
      <c r="G396">
        <v>150.4</v>
      </c>
      <c r="H396">
        <v>119</v>
      </c>
      <c r="I396">
        <v>25.57</v>
      </c>
      <c r="J396">
        <v>230.5</v>
      </c>
      <c r="K396">
        <v>99</v>
      </c>
      <c r="L396">
        <v>19.59</v>
      </c>
      <c r="M396">
        <v>186.3</v>
      </c>
      <c r="N396">
        <v>76</v>
      </c>
      <c r="O396">
        <v>8.38</v>
      </c>
      <c r="P396">
        <v>12.3</v>
      </c>
      <c r="Q396">
        <v>4</v>
      </c>
      <c r="R396">
        <v>3.32</v>
      </c>
      <c r="S396">
        <v>1</v>
      </c>
      <c r="T396" t="b">
        <v>0</v>
      </c>
      <c r="AK396">
        <v>211</v>
      </c>
    </row>
    <row r="397" spans="1:37">
      <c r="A397" t="s">
        <v>108</v>
      </c>
      <c r="B397">
        <v>92</v>
      </c>
      <c r="C397">
        <v>415</v>
      </c>
      <c r="D397" t="s">
        <v>63</v>
      </c>
      <c r="E397" t="s">
        <v>62</v>
      </c>
      <c r="F397">
        <v>0</v>
      </c>
      <c r="G397">
        <v>130.7</v>
      </c>
      <c r="H397">
        <v>113</v>
      </c>
      <c r="I397">
        <v>22.22</v>
      </c>
      <c r="J397">
        <v>260.6</v>
      </c>
      <c r="K397">
        <v>122</v>
      </c>
      <c r="L397">
        <v>22.15</v>
      </c>
      <c r="M397">
        <v>244.2</v>
      </c>
      <c r="N397">
        <v>98</v>
      </c>
      <c r="O397">
        <v>10.99</v>
      </c>
      <c r="P397">
        <v>9.4</v>
      </c>
      <c r="Q397">
        <v>2</v>
      </c>
      <c r="R397">
        <v>2.54</v>
      </c>
      <c r="S397">
        <v>2</v>
      </c>
      <c r="T397" t="b">
        <v>1</v>
      </c>
      <c r="AK397">
        <v>216</v>
      </c>
    </row>
    <row r="398" spans="1:37">
      <c r="A398" t="s">
        <v>91</v>
      </c>
      <c r="B398">
        <v>18</v>
      </c>
      <c r="C398">
        <v>408</v>
      </c>
      <c r="D398" t="s">
        <v>62</v>
      </c>
      <c r="E398" t="s">
        <v>62</v>
      </c>
      <c r="F398">
        <v>0</v>
      </c>
      <c r="G398">
        <v>273.6</v>
      </c>
      <c r="H398">
        <v>93</v>
      </c>
      <c r="I398">
        <v>46.51</v>
      </c>
      <c r="J398">
        <v>114.6</v>
      </c>
      <c r="K398">
        <v>116</v>
      </c>
      <c r="L398">
        <v>9.74</v>
      </c>
      <c r="M398">
        <v>250.6</v>
      </c>
      <c r="N398">
        <v>120</v>
      </c>
      <c r="O398">
        <v>11.28</v>
      </c>
      <c r="P398">
        <v>8.2</v>
      </c>
      <c r="Q398">
        <v>4</v>
      </c>
      <c r="R398">
        <v>2.21</v>
      </c>
      <c r="S398">
        <v>1</v>
      </c>
      <c r="T398" t="b">
        <v>0</v>
      </c>
      <c r="AK398">
        <v>293</v>
      </c>
    </row>
    <row r="399" spans="1:37">
      <c r="A399" t="s">
        <v>81</v>
      </c>
      <c r="B399">
        <v>161</v>
      </c>
      <c r="C399">
        <v>415</v>
      </c>
      <c r="D399" t="s">
        <v>63</v>
      </c>
      <c r="E399" t="s">
        <v>62</v>
      </c>
      <c r="F399">
        <v>0</v>
      </c>
      <c r="G399">
        <v>156.1</v>
      </c>
      <c r="H399">
        <v>114</v>
      </c>
      <c r="I399">
        <v>26.54</v>
      </c>
      <c r="J399">
        <v>180.3</v>
      </c>
      <c r="K399">
        <v>63</v>
      </c>
      <c r="L399">
        <v>15.33</v>
      </c>
      <c r="M399">
        <v>179.6</v>
      </c>
      <c r="N399">
        <v>115</v>
      </c>
      <c r="O399">
        <v>8.08</v>
      </c>
      <c r="P399">
        <v>11.1</v>
      </c>
      <c r="Q399">
        <v>9</v>
      </c>
      <c r="R399">
        <v>3</v>
      </c>
      <c r="S399">
        <v>2</v>
      </c>
      <c r="T399" t="b">
        <v>0</v>
      </c>
      <c r="AK399">
        <v>181.5</v>
      </c>
    </row>
    <row r="400" spans="1:37">
      <c r="A400" t="s">
        <v>98</v>
      </c>
      <c r="B400">
        <v>93</v>
      </c>
      <c r="C400">
        <v>415</v>
      </c>
      <c r="D400" t="s">
        <v>62</v>
      </c>
      <c r="E400" t="s">
        <v>63</v>
      </c>
      <c r="F400">
        <v>36</v>
      </c>
      <c r="G400">
        <v>178.7</v>
      </c>
      <c r="H400">
        <v>134</v>
      </c>
      <c r="I400">
        <v>30.38</v>
      </c>
      <c r="J400">
        <v>178.6</v>
      </c>
      <c r="K400">
        <v>102</v>
      </c>
      <c r="L400">
        <v>15.18</v>
      </c>
      <c r="M400">
        <v>126.8</v>
      </c>
      <c r="N400">
        <v>82</v>
      </c>
      <c r="O400">
        <v>5.71</v>
      </c>
      <c r="P400">
        <v>8</v>
      </c>
      <c r="Q400">
        <v>4</v>
      </c>
      <c r="R400">
        <v>2.16</v>
      </c>
      <c r="S400">
        <v>2</v>
      </c>
      <c r="T400" t="b">
        <v>0</v>
      </c>
      <c r="AK400">
        <v>74.3</v>
      </c>
    </row>
    <row r="401" spans="1:37">
      <c r="A401" t="s">
        <v>67</v>
      </c>
      <c r="B401">
        <v>144</v>
      </c>
      <c r="C401">
        <v>415</v>
      </c>
      <c r="D401" t="s">
        <v>62</v>
      </c>
      <c r="E401" t="s">
        <v>62</v>
      </c>
      <c r="F401">
        <v>0</v>
      </c>
      <c r="G401">
        <v>177.5</v>
      </c>
      <c r="H401">
        <v>93</v>
      </c>
      <c r="I401">
        <v>30.18</v>
      </c>
      <c r="J401">
        <v>287.4</v>
      </c>
      <c r="K401">
        <v>75</v>
      </c>
      <c r="L401">
        <v>24.43</v>
      </c>
      <c r="M401">
        <v>180.5</v>
      </c>
      <c r="N401">
        <v>118</v>
      </c>
      <c r="O401">
        <v>8.12</v>
      </c>
      <c r="P401">
        <v>11.9</v>
      </c>
      <c r="Q401">
        <v>3</v>
      </c>
      <c r="R401">
        <v>3.21</v>
      </c>
      <c r="S401">
        <v>2</v>
      </c>
      <c r="T401" t="b">
        <v>0</v>
      </c>
      <c r="AK401">
        <v>62.3</v>
      </c>
    </row>
    <row r="402" spans="1:37">
      <c r="A402" t="s">
        <v>71</v>
      </c>
      <c r="B402">
        <v>95</v>
      </c>
      <c r="C402">
        <v>415</v>
      </c>
      <c r="D402" t="s">
        <v>62</v>
      </c>
      <c r="E402" t="s">
        <v>62</v>
      </c>
      <c r="F402">
        <v>0</v>
      </c>
      <c r="G402">
        <v>175.2</v>
      </c>
      <c r="H402">
        <v>91</v>
      </c>
      <c r="I402">
        <v>29.78</v>
      </c>
      <c r="J402">
        <v>244.4</v>
      </c>
      <c r="K402">
        <v>109</v>
      </c>
      <c r="L402">
        <v>20.77</v>
      </c>
      <c r="M402">
        <v>75.8</v>
      </c>
      <c r="N402">
        <v>95</v>
      </c>
      <c r="O402">
        <v>3.41</v>
      </c>
      <c r="P402">
        <v>7.5</v>
      </c>
      <c r="Q402">
        <v>2</v>
      </c>
      <c r="R402">
        <v>2.03</v>
      </c>
      <c r="S402">
        <v>1</v>
      </c>
      <c r="T402" t="b">
        <v>0</v>
      </c>
      <c r="AK402">
        <v>228.6</v>
      </c>
    </row>
    <row r="403" spans="1:37">
      <c r="A403" t="s">
        <v>81</v>
      </c>
      <c r="B403">
        <v>124</v>
      </c>
      <c r="C403">
        <v>415</v>
      </c>
      <c r="D403" t="s">
        <v>62</v>
      </c>
      <c r="E403" t="s">
        <v>63</v>
      </c>
      <c r="F403">
        <v>28</v>
      </c>
      <c r="G403">
        <v>251.4</v>
      </c>
      <c r="H403">
        <v>104</v>
      </c>
      <c r="I403">
        <v>42.74</v>
      </c>
      <c r="J403">
        <v>225.1</v>
      </c>
      <c r="K403">
        <v>89</v>
      </c>
      <c r="L403">
        <v>19.13</v>
      </c>
      <c r="M403">
        <v>251.9</v>
      </c>
      <c r="N403">
        <v>121</v>
      </c>
      <c r="O403">
        <v>11.34</v>
      </c>
      <c r="P403">
        <v>7.5</v>
      </c>
      <c r="Q403">
        <v>5</v>
      </c>
      <c r="R403">
        <v>2.03</v>
      </c>
      <c r="S403">
        <v>1</v>
      </c>
      <c r="T403" t="b">
        <v>0</v>
      </c>
      <c r="AK403">
        <v>309.9</v>
      </c>
    </row>
    <row r="404" spans="1:37">
      <c r="A404" t="s">
        <v>110</v>
      </c>
      <c r="B404">
        <v>93</v>
      </c>
      <c r="C404">
        <v>415</v>
      </c>
      <c r="D404" t="s">
        <v>63</v>
      </c>
      <c r="E404" t="s">
        <v>62</v>
      </c>
      <c r="F404">
        <v>0</v>
      </c>
      <c r="G404">
        <v>216.9</v>
      </c>
      <c r="H404">
        <v>61</v>
      </c>
      <c r="I404">
        <v>36.87</v>
      </c>
      <c r="J404">
        <v>207.4</v>
      </c>
      <c r="K404">
        <v>120</v>
      </c>
      <c r="L404">
        <v>17.63</v>
      </c>
      <c r="M404">
        <v>221.7</v>
      </c>
      <c r="N404">
        <v>110</v>
      </c>
      <c r="O404">
        <v>9.98</v>
      </c>
      <c r="P404">
        <v>17.5</v>
      </c>
      <c r="Q404">
        <v>5</v>
      </c>
      <c r="R404">
        <v>4.73</v>
      </c>
      <c r="S404">
        <v>1</v>
      </c>
      <c r="T404" t="b">
        <v>1</v>
      </c>
      <c r="AK404">
        <v>201.9</v>
      </c>
    </row>
    <row r="405" spans="1:37">
      <c r="A405" t="s">
        <v>110</v>
      </c>
      <c r="B405">
        <v>109</v>
      </c>
      <c r="C405">
        <v>415</v>
      </c>
      <c r="D405" t="s">
        <v>63</v>
      </c>
      <c r="E405" t="s">
        <v>63</v>
      </c>
      <c r="F405">
        <v>26</v>
      </c>
      <c r="G405">
        <v>217.2</v>
      </c>
      <c r="H405">
        <v>138</v>
      </c>
      <c r="I405">
        <v>36.92</v>
      </c>
      <c r="J405">
        <v>145.5</v>
      </c>
      <c r="K405">
        <v>111</v>
      </c>
      <c r="L405">
        <v>12.37</v>
      </c>
      <c r="M405">
        <v>280.7</v>
      </c>
      <c r="N405">
        <v>76</v>
      </c>
      <c r="O405">
        <v>12.63</v>
      </c>
      <c r="P405">
        <v>9.3</v>
      </c>
      <c r="Q405">
        <v>3</v>
      </c>
      <c r="R405">
        <v>2.51</v>
      </c>
      <c r="S405">
        <v>0</v>
      </c>
      <c r="T405" t="b">
        <v>0</v>
      </c>
      <c r="AK405">
        <v>149.8</v>
      </c>
    </row>
    <row r="406" spans="1:37">
      <c r="A406" t="s">
        <v>103</v>
      </c>
      <c r="B406">
        <v>80</v>
      </c>
      <c r="C406">
        <v>510</v>
      </c>
      <c r="D406" t="s">
        <v>62</v>
      </c>
      <c r="E406" t="s">
        <v>62</v>
      </c>
      <c r="F406">
        <v>0</v>
      </c>
      <c r="G406">
        <v>206.3</v>
      </c>
      <c r="H406">
        <v>97</v>
      </c>
      <c r="I406">
        <v>35.07</v>
      </c>
      <c r="J406">
        <v>154.9</v>
      </c>
      <c r="K406">
        <v>98</v>
      </c>
      <c r="L406">
        <v>13.17</v>
      </c>
      <c r="M406">
        <v>263.6</v>
      </c>
      <c r="N406">
        <v>82</v>
      </c>
      <c r="O406">
        <v>11.86</v>
      </c>
      <c r="P406">
        <v>12.4</v>
      </c>
      <c r="Q406">
        <v>12</v>
      </c>
      <c r="R406">
        <v>3.35</v>
      </c>
      <c r="S406">
        <v>0</v>
      </c>
      <c r="T406" t="b">
        <v>0</v>
      </c>
      <c r="AK406">
        <v>183.8</v>
      </c>
    </row>
    <row r="407" spans="1:37">
      <c r="A407" t="s">
        <v>90</v>
      </c>
      <c r="B407">
        <v>41</v>
      </c>
      <c r="C407">
        <v>415</v>
      </c>
      <c r="D407" t="s">
        <v>62</v>
      </c>
      <c r="E407" t="s">
        <v>62</v>
      </c>
      <c r="F407">
        <v>0</v>
      </c>
      <c r="G407">
        <v>159.3</v>
      </c>
      <c r="H407">
        <v>66</v>
      </c>
      <c r="I407">
        <v>27.08</v>
      </c>
      <c r="J407">
        <v>125.9</v>
      </c>
      <c r="K407">
        <v>75</v>
      </c>
      <c r="L407">
        <v>10.7</v>
      </c>
      <c r="M407">
        <v>261.9</v>
      </c>
      <c r="N407">
        <v>76</v>
      </c>
      <c r="O407">
        <v>11.79</v>
      </c>
      <c r="P407">
        <v>11.1</v>
      </c>
      <c r="Q407">
        <v>5</v>
      </c>
      <c r="R407">
        <v>3</v>
      </c>
      <c r="S407">
        <v>1</v>
      </c>
      <c r="T407" t="b">
        <v>0</v>
      </c>
      <c r="AK407">
        <v>186.7</v>
      </c>
    </row>
    <row r="408" spans="1:37">
      <c r="A408" t="s">
        <v>64</v>
      </c>
      <c r="B408">
        <v>136</v>
      </c>
      <c r="C408">
        <v>415</v>
      </c>
      <c r="D408" t="s">
        <v>62</v>
      </c>
      <c r="E408" t="s">
        <v>63</v>
      </c>
      <c r="F408">
        <v>31</v>
      </c>
      <c r="G408">
        <v>143.1</v>
      </c>
      <c r="H408">
        <v>88</v>
      </c>
      <c r="I408">
        <v>24.33</v>
      </c>
      <c r="J408">
        <v>236.6</v>
      </c>
      <c r="K408">
        <v>65</v>
      </c>
      <c r="L408">
        <v>20.11</v>
      </c>
      <c r="M408">
        <v>227.8</v>
      </c>
      <c r="N408">
        <v>120</v>
      </c>
      <c r="O408">
        <v>10.25</v>
      </c>
      <c r="P408">
        <v>11.4</v>
      </c>
      <c r="Q408">
        <v>5</v>
      </c>
      <c r="R408">
        <v>3.08</v>
      </c>
      <c r="S408">
        <v>2</v>
      </c>
      <c r="T408" t="b">
        <v>0</v>
      </c>
      <c r="AK408">
        <v>223.2</v>
      </c>
    </row>
    <row r="409" spans="1:37">
      <c r="A409" t="s">
        <v>61</v>
      </c>
      <c r="B409">
        <v>143</v>
      </c>
      <c r="C409">
        <v>408</v>
      </c>
      <c r="D409" t="s">
        <v>62</v>
      </c>
      <c r="E409" t="s">
        <v>63</v>
      </c>
      <c r="F409">
        <v>24</v>
      </c>
      <c r="G409">
        <v>186.6</v>
      </c>
      <c r="H409">
        <v>69</v>
      </c>
      <c r="I409">
        <v>31.72</v>
      </c>
      <c r="J409">
        <v>222</v>
      </c>
      <c r="K409">
        <v>116</v>
      </c>
      <c r="L409">
        <v>18.87</v>
      </c>
      <c r="M409">
        <v>234.9</v>
      </c>
      <c r="N409">
        <v>138</v>
      </c>
      <c r="O409">
        <v>10.57</v>
      </c>
      <c r="P409">
        <v>11.6</v>
      </c>
      <c r="Q409">
        <v>5</v>
      </c>
      <c r="R409">
        <v>3.13</v>
      </c>
      <c r="S409">
        <v>1</v>
      </c>
      <c r="T409" t="b">
        <v>0</v>
      </c>
      <c r="AK409">
        <v>164.2</v>
      </c>
    </row>
    <row r="410" spans="1:37">
      <c r="A410" t="s">
        <v>109</v>
      </c>
      <c r="B410">
        <v>118</v>
      </c>
      <c r="C410">
        <v>415</v>
      </c>
      <c r="D410" t="s">
        <v>62</v>
      </c>
      <c r="E410" t="s">
        <v>63</v>
      </c>
      <c r="F410">
        <v>26</v>
      </c>
      <c r="G410">
        <v>170.8</v>
      </c>
      <c r="H410">
        <v>114</v>
      </c>
      <c r="I410">
        <v>29.04</v>
      </c>
      <c r="J410">
        <v>199.5</v>
      </c>
      <c r="K410">
        <v>125</v>
      </c>
      <c r="L410">
        <v>16.96</v>
      </c>
      <c r="M410">
        <v>169.7</v>
      </c>
      <c r="N410">
        <v>98</v>
      </c>
      <c r="O410">
        <v>7.64</v>
      </c>
      <c r="P410">
        <v>9.6</v>
      </c>
      <c r="Q410">
        <v>5</v>
      </c>
      <c r="R410">
        <v>2.59</v>
      </c>
      <c r="S410">
        <v>5</v>
      </c>
      <c r="T410" t="b">
        <v>1</v>
      </c>
      <c r="AK410">
        <v>150.5</v>
      </c>
    </row>
    <row r="411" spans="1:37">
      <c r="A411" t="s">
        <v>78</v>
      </c>
      <c r="B411">
        <v>193</v>
      </c>
      <c r="C411">
        <v>408</v>
      </c>
      <c r="D411" t="s">
        <v>62</v>
      </c>
      <c r="E411" t="s">
        <v>63</v>
      </c>
      <c r="F411">
        <v>17</v>
      </c>
      <c r="G411">
        <v>124</v>
      </c>
      <c r="H411">
        <v>102</v>
      </c>
      <c r="I411">
        <v>21.08</v>
      </c>
      <c r="J411">
        <v>202.9</v>
      </c>
      <c r="K411">
        <v>81</v>
      </c>
      <c r="L411">
        <v>17.25</v>
      </c>
      <c r="M411">
        <v>205.1</v>
      </c>
      <c r="N411">
        <v>129</v>
      </c>
      <c r="O411">
        <v>9.23</v>
      </c>
      <c r="P411">
        <v>12.3</v>
      </c>
      <c r="Q411">
        <v>3</v>
      </c>
      <c r="R411">
        <v>3.32</v>
      </c>
      <c r="S411">
        <v>1</v>
      </c>
      <c r="T411" t="b">
        <v>0</v>
      </c>
      <c r="AK411">
        <v>55.3</v>
      </c>
    </row>
    <row r="412" spans="1:37">
      <c r="A412" t="s">
        <v>84</v>
      </c>
      <c r="B412">
        <v>73</v>
      </c>
      <c r="C412">
        <v>415</v>
      </c>
      <c r="D412" t="s">
        <v>62</v>
      </c>
      <c r="E412" t="s">
        <v>62</v>
      </c>
      <c r="F412">
        <v>0</v>
      </c>
      <c r="G412">
        <v>198.3</v>
      </c>
      <c r="H412">
        <v>94</v>
      </c>
      <c r="I412">
        <v>33.71</v>
      </c>
      <c r="J412">
        <v>279.3</v>
      </c>
      <c r="K412">
        <v>101</v>
      </c>
      <c r="L412">
        <v>23.74</v>
      </c>
      <c r="M412">
        <v>146.2</v>
      </c>
      <c r="N412">
        <v>87</v>
      </c>
      <c r="O412">
        <v>6.58</v>
      </c>
      <c r="P412">
        <v>14.8</v>
      </c>
      <c r="Q412">
        <v>8</v>
      </c>
      <c r="R412">
        <v>4</v>
      </c>
      <c r="S412">
        <v>3</v>
      </c>
      <c r="T412" t="b">
        <v>0</v>
      </c>
      <c r="AK412">
        <v>221.8</v>
      </c>
    </row>
    <row r="413" spans="1:37">
      <c r="A413" t="s">
        <v>79</v>
      </c>
      <c r="B413">
        <v>62</v>
      </c>
      <c r="C413">
        <v>408</v>
      </c>
      <c r="D413" t="s">
        <v>62</v>
      </c>
      <c r="E413" t="s">
        <v>62</v>
      </c>
      <c r="F413">
        <v>0</v>
      </c>
      <c r="G413">
        <v>172.8</v>
      </c>
      <c r="H413">
        <v>101</v>
      </c>
      <c r="I413">
        <v>29.38</v>
      </c>
      <c r="J413">
        <v>204.8</v>
      </c>
      <c r="K413">
        <v>97</v>
      </c>
      <c r="L413">
        <v>17.41</v>
      </c>
      <c r="M413">
        <v>240.8</v>
      </c>
      <c r="N413">
        <v>90</v>
      </c>
      <c r="O413">
        <v>10.84</v>
      </c>
      <c r="P413">
        <v>9.1</v>
      </c>
      <c r="Q413">
        <v>8</v>
      </c>
      <c r="R413">
        <v>2.46</v>
      </c>
      <c r="S413">
        <v>2</v>
      </c>
      <c r="T413" t="b">
        <v>0</v>
      </c>
      <c r="AK413">
        <v>169.6</v>
      </c>
    </row>
    <row r="414" spans="1:37">
      <c r="A414" t="s">
        <v>95</v>
      </c>
      <c r="B414">
        <v>30</v>
      </c>
      <c r="C414">
        <v>415</v>
      </c>
      <c r="D414" t="s">
        <v>62</v>
      </c>
      <c r="E414" t="s">
        <v>63</v>
      </c>
      <c r="F414">
        <v>30</v>
      </c>
      <c r="G414">
        <v>217.4</v>
      </c>
      <c r="H414">
        <v>74</v>
      </c>
      <c r="I414">
        <v>36.96</v>
      </c>
      <c r="J414">
        <v>213.8</v>
      </c>
      <c r="K414">
        <v>86</v>
      </c>
      <c r="L414">
        <v>18.17</v>
      </c>
      <c r="M414">
        <v>227.2</v>
      </c>
      <c r="N414">
        <v>104</v>
      </c>
      <c r="O414">
        <v>10.22</v>
      </c>
      <c r="P414">
        <v>6.6</v>
      </c>
      <c r="Q414">
        <v>3</v>
      </c>
      <c r="R414">
        <v>1.78</v>
      </c>
      <c r="S414">
        <v>0</v>
      </c>
      <c r="T414" t="b">
        <v>0</v>
      </c>
      <c r="AK414">
        <v>218.9</v>
      </c>
    </row>
    <row r="415" spans="1:37">
      <c r="A415" t="s">
        <v>67</v>
      </c>
      <c r="B415">
        <v>60</v>
      </c>
      <c r="C415">
        <v>408</v>
      </c>
      <c r="D415" t="s">
        <v>63</v>
      </c>
      <c r="E415" t="s">
        <v>63</v>
      </c>
      <c r="F415">
        <v>29</v>
      </c>
      <c r="G415">
        <v>265.9</v>
      </c>
      <c r="H415">
        <v>113</v>
      </c>
      <c r="I415">
        <v>45.2</v>
      </c>
      <c r="J415">
        <v>215.8</v>
      </c>
      <c r="K415">
        <v>94</v>
      </c>
      <c r="L415">
        <v>18.34</v>
      </c>
      <c r="M415">
        <v>108.1</v>
      </c>
      <c r="N415">
        <v>82</v>
      </c>
      <c r="O415">
        <v>4.86</v>
      </c>
      <c r="P415">
        <v>14</v>
      </c>
      <c r="Q415">
        <v>12</v>
      </c>
      <c r="R415">
        <v>3.78</v>
      </c>
      <c r="S415">
        <v>0</v>
      </c>
      <c r="T415" t="b">
        <v>1</v>
      </c>
      <c r="AK415">
        <v>176.3</v>
      </c>
    </row>
    <row r="416" spans="1:37">
      <c r="A416" t="s">
        <v>77</v>
      </c>
      <c r="B416">
        <v>148</v>
      </c>
      <c r="C416">
        <v>510</v>
      </c>
      <c r="D416" t="s">
        <v>62</v>
      </c>
      <c r="E416" t="s">
        <v>63</v>
      </c>
      <c r="F416">
        <v>14</v>
      </c>
      <c r="G416">
        <v>93.6</v>
      </c>
      <c r="H416">
        <v>137</v>
      </c>
      <c r="I416">
        <v>15.91</v>
      </c>
      <c r="J416">
        <v>193.8</v>
      </c>
      <c r="K416">
        <v>72</v>
      </c>
      <c r="L416">
        <v>16.47</v>
      </c>
      <c r="M416">
        <v>144.9</v>
      </c>
      <c r="N416">
        <v>84</v>
      </c>
      <c r="O416">
        <v>6.52</v>
      </c>
      <c r="P416">
        <v>17.5</v>
      </c>
      <c r="Q416">
        <v>5</v>
      </c>
      <c r="R416">
        <v>4.73</v>
      </c>
      <c r="S416">
        <v>1</v>
      </c>
      <c r="T416" t="b">
        <v>0</v>
      </c>
      <c r="AK416">
        <v>207.2</v>
      </c>
    </row>
    <row r="417" spans="1:37">
      <c r="A417" t="s">
        <v>109</v>
      </c>
      <c r="B417">
        <v>96</v>
      </c>
      <c r="C417">
        <v>510</v>
      </c>
      <c r="D417" t="s">
        <v>62</v>
      </c>
      <c r="E417" t="s">
        <v>62</v>
      </c>
      <c r="F417">
        <v>0</v>
      </c>
      <c r="G417">
        <v>98.2</v>
      </c>
      <c r="H417">
        <v>100</v>
      </c>
      <c r="I417">
        <v>16.69</v>
      </c>
      <c r="J417">
        <v>307.2</v>
      </c>
      <c r="K417">
        <v>88</v>
      </c>
      <c r="L417">
        <v>26.11</v>
      </c>
      <c r="M417">
        <v>182.5</v>
      </c>
      <c r="N417">
        <v>120</v>
      </c>
      <c r="O417">
        <v>8.21</v>
      </c>
      <c r="P417">
        <v>7.6</v>
      </c>
      <c r="Q417">
        <v>1</v>
      </c>
      <c r="R417">
        <v>2.05</v>
      </c>
      <c r="S417">
        <v>2</v>
      </c>
      <c r="T417" t="b">
        <v>0</v>
      </c>
      <c r="AK417">
        <v>205.7</v>
      </c>
    </row>
    <row r="418" spans="1:37">
      <c r="A418" t="s">
        <v>103</v>
      </c>
      <c r="B418">
        <v>87</v>
      </c>
      <c r="C418">
        <v>415</v>
      </c>
      <c r="D418" t="s">
        <v>62</v>
      </c>
      <c r="E418" t="s">
        <v>62</v>
      </c>
      <c r="F418">
        <v>0</v>
      </c>
      <c r="G418">
        <v>168.2</v>
      </c>
      <c r="H418">
        <v>92</v>
      </c>
      <c r="I418">
        <v>28.59</v>
      </c>
      <c r="J418">
        <v>224.7</v>
      </c>
      <c r="K418">
        <v>100</v>
      </c>
      <c r="L418">
        <v>19.1</v>
      </c>
      <c r="M418">
        <v>169.5</v>
      </c>
      <c r="N418">
        <v>99</v>
      </c>
      <c r="O418">
        <v>7.63</v>
      </c>
      <c r="P418">
        <v>12.9</v>
      </c>
      <c r="Q418">
        <v>3</v>
      </c>
      <c r="R418">
        <v>3.48</v>
      </c>
      <c r="S418">
        <v>1</v>
      </c>
      <c r="T418" t="b">
        <v>0</v>
      </c>
      <c r="AK418">
        <v>151.4</v>
      </c>
    </row>
    <row r="419" spans="1:37">
      <c r="A419" t="s">
        <v>93</v>
      </c>
      <c r="B419">
        <v>41</v>
      </c>
      <c r="C419">
        <v>408</v>
      </c>
      <c r="D419" t="s">
        <v>62</v>
      </c>
      <c r="E419" t="s">
        <v>62</v>
      </c>
      <c r="F419">
        <v>0</v>
      </c>
      <c r="G419">
        <v>202.9</v>
      </c>
      <c r="H419">
        <v>97</v>
      </c>
      <c r="I419">
        <v>34.49</v>
      </c>
      <c r="J419">
        <v>153.8</v>
      </c>
      <c r="K419">
        <v>104</v>
      </c>
      <c r="L419">
        <v>13.07</v>
      </c>
      <c r="M419">
        <v>113.5</v>
      </c>
      <c r="N419">
        <v>92</v>
      </c>
      <c r="O419">
        <v>5.11</v>
      </c>
      <c r="P419">
        <v>9</v>
      </c>
      <c r="Q419">
        <v>3</v>
      </c>
      <c r="R419">
        <v>2.43</v>
      </c>
      <c r="S419">
        <v>3</v>
      </c>
      <c r="T419" t="b">
        <v>0</v>
      </c>
      <c r="AK419">
        <v>157.5</v>
      </c>
    </row>
    <row r="420" spans="1:37">
      <c r="A420" t="s">
        <v>71</v>
      </c>
      <c r="B420">
        <v>112</v>
      </c>
      <c r="C420">
        <v>415</v>
      </c>
      <c r="D420" t="s">
        <v>62</v>
      </c>
      <c r="E420" t="s">
        <v>62</v>
      </c>
      <c r="F420">
        <v>0</v>
      </c>
      <c r="G420">
        <v>261.4</v>
      </c>
      <c r="H420">
        <v>108</v>
      </c>
      <c r="I420">
        <v>44.44</v>
      </c>
      <c r="J420">
        <v>154.5</v>
      </c>
      <c r="K420">
        <v>102</v>
      </c>
      <c r="L420">
        <v>13.13</v>
      </c>
      <c r="M420">
        <v>130.9</v>
      </c>
      <c r="N420">
        <v>90</v>
      </c>
      <c r="O420">
        <v>5.89</v>
      </c>
      <c r="P420">
        <v>11.6</v>
      </c>
      <c r="Q420">
        <v>2</v>
      </c>
      <c r="R420">
        <v>3.13</v>
      </c>
      <c r="S420">
        <v>1</v>
      </c>
      <c r="T420" t="b">
        <v>0</v>
      </c>
      <c r="AK420">
        <v>159</v>
      </c>
    </row>
    <row r="421" spans="1:37">
      <c r="A421" t="s">
        <v>111</v>
      </c>
      <c r="B421">
        <v>88</v>
      </c>
      <c r="C421">
        <v>510</v>
      </c>
      <c r="D421" t="s">
        <v>62</v>
      </c>
      <c r="E421" t="s">
        <v>62</v>
      </c>
      <c r="F421">
        <v>0</v>
      </c>
      <c r="G421">
        <v>73.3</v>
      </c>
      <c r="H421">
        <v>86</v>
      </c>
      <c r="I421">
        <v>12.46</v>
      </c>
      <c r="J421">
        <v>161.4</v>
      </c>
      <c r="K421">
        <v>82</v>
      </c>
      <c r="L421">
        <v>13.72</v>
      </c>
      <c r="M421">
        <v>239.6</v>
      </c>
      <c r="N421">
        <v>76</v>
      </c>
      <c r="O421">
        <v>10.78</v>
      </c>
      <c r="P421">
        <v>8.2</v>
      </c>
      <c r="Q421">
        <v>3</v>
      </c>
      <c r="R421">
        <v>2.21</v>
      </c>
      <c r="S421">
        <v>4</v>
      </c>
      <c r="T421" t="b">
        <v>1</v>
      </c>
      <c r="AK421">
        <v>214.1</v>
      </c>
    </row>
    <row r="422" spans="1:37">
      <c r="A422" t="s">
        <v>107</v>
      </c>
      <c r="B422">
        <v>122</v>
      </c>
      <c r="C422">
        <v>408</v>
      </c>
      <c r="D422" t="s">
        <v>62</v>
      </c>
      <c r="E422" t="s">
        <v>63</v>
      </c>
      <c r="F422">
        <v>27</v>
      </c>
      <c r="G422">
        <v>253.7</v>
      </c>
      <c r="H422">
        <v>84</v>
      </c>
      <c r="I422">
        <v>43.13</v>
      </c>
      <c r="J422">
        <v>229.2</v>
      </c>
      <c r="K422">
        <v>109</v>
      </c>
      <c r="L422">
        <v>19.48</v>
      </c>
      <c r="M422">
        <v>190.5</v>
      </c>
      <c r="N422">
        <v>123</v>
      </c>
      <c r="O422">
        <v>8.57</v>
      </c>
      <c r="P422">
        <v>9.2</v>
      </c>
      <c r="Q422">
        <v>5</v>
      </c>
      <c r="R422">
        <v>2.48</v>
      </c>
      <c r="S422">
        <v>7</v>
      </c>
      <c r="T422" t="b">
        <v>0</v>
      </c>
      <c r="AK422">
        <v>102.6</v>
      </c>
    </row>
    <row r="423" spans="1:37">
      <c r="A423" t="s">
        <v>69</v>
      </c>
      <c r="B423">
        <v>61</v>
      </c>
      <c r="C423">
        <v>408</v>
      </c>
      <c r="D423" t="s">
        <v>62</v>
      </c>
      <c r="E423" t="s">
        <v>62</v>
      </c>
      <c r="F423">
        <v>0</v>
      </c>
      <c r="G423">
        <v>45</v>
      </c>
      <c r="H423">
        <v>108</v>
      </c>
      <c r="I423">
        <v>7.65</v>
      </c>
      <c r="J423">
        <v>151.3</v>
      </c>
      <c r="K423">
        <v>74</v>
      </c>
      <c r="L423">
        <v>12.86</v>
      </c>
      <c r="M423">
        <v>152.9</v>
      </c>
      <c r="N423">
        <v>94</v>
      </c>
      <c r="O423">
        <v>6.88</v>
      </c>
      <c r="P423">
        <v>9.8</v>
      </c>
      <c r="Q423">
        <v>6</v>
      </c>
      <c r="R423">
        <v>2.65</v>
      </c>
      <c r="S423">
        <v>2</v>
      </c>
      <c r="T423" t="b">
        <v>0</v>
      </c>
      <c r="AK423">
        <v>202.8</v>
      </c>
    </row>
    <row r="424" spans="1:37">
      <c r="A424" t="s">
        <v>66</v>
      </c>
      <c r="B424">
        <v>176</v>
      </c>
      <c r="C424">
        <v>408</v>
      </c>
      <c r="D424" t="s">
        <v>62</v>
      </c>
      <c r="E424" t="s">
        <v>62</v>
      </c>
      <c r="F424">
        <v>0</v>
      </c>
      <c r="G424">
        <v>47.4</v>
      </c>
      <c r="H424">
        <v>125</v>
      </c>
      <c r="I424">
        <v>8.06</v>
      </c>
      <c r="J424">
        <v>167.8</v>
      </c>
      <c r="K424">
        <v>90</v>
      </c>
      <c r="L424">
        <v>14.26</v>
      </c>
      <c r="M424">
        <v>163.1</v>
      </c>
      <c r="N424">
        <v>107</v>
      </c>
      <c r="O424">
        <v>7.34</v>
      </c>
      <c r="P424">
        <v>10.5</v>
      </c>
      <c r="Q424">
        <v>8</v>
      </c>
      <c r="R424">
        <v>2.84</v>
      </c>
      <c r="S424">
        <v>2</v>
      </c>
      <c r="T424" t="b">
        <v>0</v>
      </c>
      <c r="AK424">
        <v>57.5</v>
      </c>
    </row>
    <row r="425" spans="1:37">
      <c r="A425" t="s">
        <v>110</v>
      </c>
      <c r="B425">
        <v>30</v>
      </c>
      <c r="C425">
        <v>510</v>
      </c>
      <c r="D425" t="s">
        <v>62</v>
      </c>
      <c r="E425" t="s">
        <v>62</v>
      </c>
      <c r="F425">
        <v>0</v>
      </c>
      <c r="G425">
        <v>227.4</v>
      </c>
      <c r="H425">
        <v>88</v>
      </c>
      <c r="I425">
        <v>38.66</v>
      </c>
      <c r="J425">
        <v>182.5</v>
      </c>
      <c r="K425">
        <v>100</v>
      </c>
      <c r="L425">
        <v>15.51</v>
      </c>
      <c r="M425">
        <v>191.7</v>
      </c>
      <c r="N425">
        <v>134</v>
      </c>
      <c r="O425">
        <v>8.63</v>
      </c>
      <c r="P425">
        <v>12.5</v>
      </c>
      <c r="Q425">
        <v>3</v>
      </c>
      <c r="R425">
        <v>3.38</v>
      </c>
      <c r="S425">
        <v>0</v>
      </c>
      <c r="T425" t="b">
        <v>0</v>
      </c>
      <c r="AK425">
        <v>139.5</v>
      </c>
    </row>
    <row r="426" spans="1:37">
      <c r="A426" t="s">
        <v>77</v>
      </c>
      <c r="B426">
        <v>46</v>
      </c>
      <c r="C426">
        <v>415</v>
      </c>
      <c r="D426" t="s">
        <v>62</v>
      </c>
      <c r="E426" t="s">
        <v>62</v>
      </c>
      <c r="F426">
        <v>0</v>
      </c>
      <c r="G426">
        <v>124.8</v>
      </c>
      <c r="H426">
        <v>133</v>
      </c>
      <c r="I426">
        <v>21.22</v>
      </c>
      <c r="J426">
        <v>157.3</v>
      </c>
      <c r="K426">
        <v>143</v>
      </c>
      <c r="L426">
        <v>13.37</v>
      </c>
      <c r="M426">
        <v>199.3</v>
      </c>
      <c r="N426">
        <v>72</v>
      </c>
      <c r="O426">
        <v>8.97</v>
      </c>
      <c r="P426">
        <v>8.6</v>
      </c>
      <c r="Q426">
        <v>4</v>
      </c>
      <c r="R426">
        <v>2.32</v>
      </c>
      <c r="S426">
        <v>2</v>
      </c>
      <c r="T426" t="b">
        <v>0</v>
      </c>
      <c r="AK426">
        <v>187.8</v>
      </c>
    </row>
    <row r="427" spans="1:37">
      <c r="A427" t="s">
        <v>105</v>
      </c>
      <c r="B427">
        <v>100</v>
      </c>
      <c r="C427">
        <v>510</v>
      </c>
      <c r="D427" t="s">
        <v>63</v>
      </c>
      <c r="E427" t="s">
        <v>62</v>
      </c>
      <c r="F427">
        <v>0</v>
      </c>
      <c r="G427">
        <v>68.5</v>
      </c>
      <c r="H427">
        <v>110</v>
      </c>
      <c r="I427">
        <v>11.65</v>
      </c>
      <c r="J427">
        <v>337.1</v>
      </c>
      <c r="K427">
        <v>115</v>
      </c>
      <c r="L427">
        <v>28.65</v>
      </c>
      <c r="M427">
        <v>205.2</v>
      </c>
      <c r="N427">
        <v>99</v>
      </c>
      <c r="O427">
        <v>9.23</v>
      </c>
      <c r="P427">
        <v>12.1</v>
      </c>
      <c r="Q427">
        <v>9</v>
      </c>
      <c r="R427">
        <v>3.27</v>
      </c>
      <c r="S427">
        <v>0</v>
      </c>
      <c r="T427" t="b">
        <v>0</v>
      </c>
      <c r="AK427">
        <v>193.7</v>
      </c>
    </row>
    <row r="428" spans="1:37">
      <c r="A428" t="s">
        <v>106</v>
      </c>
      <c r="B428">
        <v>47</v>
      </c>
      <c r="C428">
        <v>415</v>
      </c>
      <c r="D428" t="s">
        <v>62</v>
      </c>
      <c r="E428" t="s">
        <v>63</v>
      </c>
      <c r="F428">
        <v>37</v>
      </c>
      <c r="G428">
        <v>163.5</v>
      </c>
      <c r="H428">
        <v>77</v>
      </c>
      <c r="I428">
        <v>27.8</v>
      </c>
      <c r="J428">
        <v>203.1</v>
      </c>
      <c r="K428">
        <v>102</v>
      </c>
      <c r="L428">
        <v>17.26</v>
      </c>
      <c r="M428">
        <v>232</v>
      </c>
      <c r="N428">
        <v>87</v>
      </c>
      <c r="O428">
        <v>10.44</v>
      </c>
      <c r="P428">
        <v>7.8</v>
      </c>
      <c r="Q428">
        <v>4</v>
      </c>
      <c r="R428">
        <v>2.11</v>
      </c>
      <c r="S428">
        <v>2</v>
      </c>
      <c r="T428" t="b">
        <v>0</v>
      </c>
      <c r="AK428">
        <v>156.4</v>
      </c>
    </row>
    <row r="429" spans="1:37">
      <c r="A429" t="s">
        <v>67</v>
      </c>
      <c r="B429">
        <v>77</v>
      </c>
      <c r="C429">
        <v>415</v>
      </c>
      <c r="D429" t="s">
        <v>62</v>
      </c>
      <c r="E429" t="s">
        <v>62</v>
      </c>
      <c r="F429">
        <v>0</v>
      </c>
      <c r="G429">
        <v>163</v>
      </c>
      <c r="H429">
        <v>112</v>
      </c>
      <c r="I429">
        <v>27.71</v>
      </c>
      <c r="J429">
        <v>219.1</v>
      </c>
      <c r="K429">
        <v>89</v>
      </c>
      <c r="L429">
        <v>18.62</v>
      </c>
      <c r="M429">
        <v>233.4</v>
      </c>
      <c r="N429">
        <v>66</v>
      </c>
      <c r="O429">
        <v>10.5</v>
      </c>
      <c r="P429">
        <v>6.7</v>
      </c>
      <c r="Q429">
        <v>3</v>
      </c>
      <c r="R429">
        <v>1.81</v>
      </c>
      <c r="S429">
        <v>2</v>
      </c>
      <c r="T429" t="b">
        <v>0</v>
      </c>
      <c r="AK429">
        <v>239.8</v>
      </c>
    </row>
    <row r="430" spans="1:37">
      <c r="A430" t="s">
        <v>94</v>
      </c>
      <c r="B430">
        <v>98</v>
      </c>
      <c r="C430">
        <v>415</v>
      </c>
      <c r="D430" t="s">
        <v>62</v>
      </c>
      <c r="E430" t="s">
        <v>63</v>
      </c>
      <c r="F430">
        <v>38</v>
      </c>
      <c r="G430">
        <v>213.7</v>
      </c>
      <c r="H430">
        <v>61</v>
      </c>
      <c r="I430">
        <v>36.33</v>
      </c>
      <c r="J430">
        <v>253</v>
      </c>
      <c r="K430">
        <v>104</v>
      </c>
      <c r="L430">
        <v>21.51</v>
      </c>
      <c r="M430">
        <v>207.7</v>
      </c>
      <c r="N430">
        <v>73</v>
      </c>
      <c r="O430">
        <v>9.35</v>
      </c>
      <c r="P430">
        <v>10.7</v>
      </c>
      <c r="Q430">
        <v>5</v>
      </c>
      <c r="R430">
        <v>2.89</v>
      </c>
      <c r="S430">
        <v>2</v>
      </c>
      <c r="T430" t="b">
        <v>0</v>
      </c>
      <c r="AK430">
        <v>172</v>
      </c>
    </row>
    <row r="431" spans="1:37">
      <c r="A431" t="s">
        <v>66</v>
      </c>
      <c r="B431">
        <v>125</v>
      </c>
      <c r="C431">
        <v>415</v>
      </c>
      <c r="D431" t="s">
        <v>62</v>
      </c>
      <c r="E431" t="s">
        <v>63</v>
      </c>
      <c r="F431">
        <v>36</v>
      </c>
      <c r="G431">
        <v>201.3</v>
      </c>
      <c r="H431">
        <v>117</v>
      </c>
      <c r="I431">
        <v>34.22</v>
      </c>
      <c r="J431">
        <v>42.2</v>
      </c>
      <c r="K431">
        <v>78</v>
      </c>
      <c r="L431">
        <v>3.59</v>
      </c>
      <c r="M431">
        <v>125.7</v>
      </c>
      <c r="N431">
        <v>104</v>
      </c>
      <c r="O431">
        <v>5.66</v>
      </c>
      <c r="P431">
        <v>5.4</v>
      </c>
      <c r="Q431">
        <v>3</v>
      </c>
      <c r="R431">
        <v>1.46</v>
      </c>
      <c r="S431">
        <v>1</v>
      </c>
      <c r="T431" t="b">
        <v>0</v>
      </c>
      <c r="AK431">
        <v>195.4</v>
      </c>
    </row>
    <row r="432" spans="1:37">
      <c r="A432" t="s">
        <v>84</v>
      </c>
      <c r="B432">
        <v>194</v>
      </c>
      <c r="C432">
        <v>408</v>
      </c>
      <c r="D432" t="s">
        <v>62</v>
      </c>
      <c r="E432" t="s">
        <v>62</v>
      </c>
      <c r="F432">
        <v>0</v>
      </c>
      <c r="G432">
        <v>48.4</v>
      </c>
      <c r="H432">
        <v>101</v>
      </c>
      <c r="I432">
        <v>8.23</v>
      </c>
      <c r="J432">
        <v>281.1</v>
      </c>
      <c r="K432">
        <v>138</v>
      </c>
      <c r="L432">
        <v>23.89</v>
      </c>
      <c r="M432">
        <v>218.5</v>
      </c>
      <c r="N432">
        <v>87</v>
      </c>
      <c r="O432">
        <v>9.83</v>
      </c>
      <c r="P432">
        <v>18.2</v>
      </c>
      <c r="Q432">
        <v>1</v>
      </c>
      <c r="R432">
        <v>4.91</v>
      </c>
      <c r="S432">
        <v>1</v>
      </c>
      <c r="T432" t="b">
        <v>0</v>
      </c>
      <c r="AK432">
        <v>191.3</v>
      </c>
    </row>
    <row r="433" spans="1:37">
      <c r="A433" t="s">
        <v>80</v>
      </c>
      <c r="B433">
        <v>128</v>
      </c>
      <c r="C433">
        <v>415</v>
      </c>
      <c r="D433" t="s">
        <v>62</v>
      </c>
      <c r="E433" t="s">
        <v>63</v>
      </c>
      <c r="F433">
        <v>40</v>
      </c>
      <c r="G433">
        <v>171.2</v>
      </c>
      <c r="H433">
        <v>88</v>
      </c>
      <c r="I433">
        <v>29.1</v>
      </c>
      <c r="J433">
        <v>145.7</v>
      </c>
      <c r="K433">
        <v>109</v>
      </c>
      <c r="L433">
        <v>12.38</v>
      </c>
      <c r="M433">
        <v>196.8</v>
      </c>
      <c r="N433">
        <v>93</v>
      </c>
      <c r="O433">
        <v>8.86</v>
      </c>
      <c r="P433">
        <v>14</v>
      </c>
      <c r="Q433">
        <v>6</v>
      </c>
      <c r="R433">
        <v>3.78</v>
      </c>
      <c r="S433">
        <v>1</v>
      </c>
      <c r="T433" t="b">
        <v>0</v>
      </c>
      <c r="AK433">
        <v>122.4</v>
      </c>
    </row>
    <row r="434" spans="1:37">
      <c r="A434" t="s">
        <v>97</v>
      </c>
      <c r="B434">
        <v>190</v>
      </c>
      <c r="C434">
        <v>415</v>
      </c>
      <c r="D434" t="s">
        <v>62</v>
      </c>
      <c r="E434" t="s">
        <v>63</v>
      </c>
      <c r="F434">
        <v>22</v>
      </c>
      <c r="G434">
        <v>166.5</v>
      </c>
      <c r="H434">
        <v>93</v>
      </c>
      <c r="I434">
        <v>28.31</v>
      </c>
      <c r="J434">
        <v>183</v>
      </c>
      <c r="K434">
        <v>92</v>
      </c>
      <c r="L434">
        <v>15.56</v>
      </c>
      <c r="M434">
        <v>121</v>
      </c>
      <c r="N434">
        <v>102</v>
      </c>
      <c r="O434">
        <v>5.44</v>
      </c>
      <c r="P434">
        <v>8.5</v>
      </c>
      <c r="Q434">
        <v>3</v>
      </c>
      <c r="R434">
        <v>2.3</v>
      </c>
      <c r="S434">
        <v>0</v>
      </c>
      <c r="T434" t="b">
        <v>0</v>
      </c>
      <c r="AK434">
        <v>161.4</v>
      </c>
    </row>
    <row r="435" spans="1:37">
      <c r="A435" t="s">
        <v>106</v>
      </c>
      <c r="B435">
        <v>59</v>
      </c>
      <c r="C435">
        <v>408</v>
      </c>
      <c r="D435" t="s">
        <v>62</v>
      </c>
      <c r="E435" t="s">
        <v>62</v>
      </c>
      <c r="F435">
        <v>0</v>
      </c>
      <c r="G435">
        <v>107.8</v>
      </c>
      <c r="H435">
        <v>113</v>
      </c>
      <c r="I435">
        <v>18.33</v>
      </c>
      <c r="J435">
        <v>216.6</v>
      </c>
      <c r="K435">
        <v>125</v>
      </c>
      <c r="L435">
        <v>18.41</v>
      </c>
      <c r="M435">
        <v>217.5</v>
      </c>
      <c r="N435">
        <v>92</v>
      </c>
      <c r="O435">
        <v>9.79</v>
      </c>
      <c r="P435">
        <v>9.9</v>
      </c>
      <c r="Q435">
        <v>3</v>
      </c>
      <c r="R435">
        <v>2.67</v>
      </c>
      <c r="S435">
        <v>2</v>
      </c>
      <c r="T435" t="b">
        <v>0</v>
      </c>
      <c r="AK435">
        <v>144.2</v>
      </c>
    </row>
    <row r="436" spans="1:37">
      <c r="A436" t="s">
        <v>67</v>
      </c>
      <c r="B436">
        <v>47</v>
      </c>
      <c r="C436">
        <v>408</v>
      </c>
      <c r="D436" t="s">
        <v>62</v>
      </c>
      <c r="E436" t="s">
        <v>63</v>
      </c>
      <c r="F436">
        <v>28</v>
      </c>
      <c r="G436">
        <v>141.3</v>
      </c>
      <c r="H436">
        <v>94</v>
      </c>
      <c r="I436">
        <v>24.02</v>
      </c>
      <c r="J436">
        <v>168</v>
      </c>
      <c r="K436">
        <v>108</v>
      </c>
      <c r="L436">
        <v>14.28</v>
      </c>
      <c r="M436">
        <v>113.5</v>
      </c>
      <c r="N436">
        <v>84</v>
      </c>
      <c r="O436">
        <v>5.11</v>
      </c>
      <c r="P436">
        <v>7.8</v>
      </c>
      <c r="Q436">
        <v>2</v>
      </c>
      <c r="R436">
        <v>2.11</v>
      </c>
      <c r="S436">
        <v>1</v>
      </c>
      <c r="T436" t="b">
        <v>0</v>
      </c>
      <c r="AK436">
        <v>256.2</v>
      </c>
    </row>
    <row r="437" spans="1:37">
      <c r="A437" t="s">
        <v>102</v>
      </c>
      <c r="B437">
        <v>152</v>
      </c>
      <c r="C437">
        <v>415</v>
      </c>
      <c r="D437" t="s">
        <v>63</v>
      </c>
      <c r="E437" t="s">
        <v>63</v>
      </c>
      <c r="F437">
        <v>20</v>
      </c>
      <c r="G437">
        <v>237.5</v>
      </c>
      <c r="H437">
        <v>120</v>
      </c>
      <c r="I437">
        <v>40.38</v>
      </c>
      <c r="J437">
        <v>253.4</v>
      </c>
      <c r="K437">
        <v>94</v>
      </c>
      <c r="L437">
        <v>21.54</v>
      </c>
      <c r="M437">
        <v>265.2</v>
      </c>
      <c r="N437">
        <v>80</v>
      </c>
      <c r="O437">
        <v>11.93</v>
      </c>
      <c r="P437">
        <v>14.2</v>
      </c>
      <c r="Q437">
        <v>3</v>
      </c>
      <c r="R437">
        <v>3.83</v>
      </c>
      <c r="S437">
        <v>9</v>
      </c>
      <c r="T437" t="b">
        <v>1</v>
      </c>
      <c r="AK437">
        <v>112.7</v>
      </c>
    </row>
    <row r="438" spans="1:37">
      <c r="A438" t="s">
        <v>73</v>
      </c>
      <c r="B438">
        <v>95</v>
      </c>
      <c r="C438">
        <v>510</v>
      </c>
      <c r="D438" t="s">
        <v>62</v>
      </c>
      <c r="E438" t="s">
        <v>63</v>
      </c>
      <c r="F438">
        <v>27</v>
      </c>
      <c r="G438">
        <v>129.5</v>
      </c>
      <c r="H438">
        <v>106</v>
      </c>
      <c r="I438">
        <v>22.02</v>
      </c>
      <c r="J438">
        <v>248.9</v>
      </c>
      <c r="K438">
        <v>90</v>
      </c>
      <c r="L438">
        <v>21.16</v>
      </c>
      <c r="M438">
        <v>268</v>
      </c>
      <c r="N438">
        <v>115</v>
      </c>
      <c r="O438">
        <v>12.06</v>
      </c>
      <c r="P438">
        <v>11.9</v>
      </c>
      <c r="Q438">
        <v>3</v>
      </c>
      <c r="R438">
        <v>3.21</v>
      </c>
      <c r="S438">
        <v>1</v>
      </c>
      <c r="T438" t="b">
        <v>0</v>
      </c>
      <c r="AK438">
        <v>194.8</v>
      </c>
    </row>
    <row r="439" spans="1:37">
      <c r="A439" t="s">
        <v>116</v>
      </c>
      <c r="B439">
        <v>31</v>
      </c>
      <c r="C439">
        <v>415</v>
      </c>
      <c r="D439" t="s">
        <v>62</v>
      </c>
      <c r="E439" t="s">
        <v>63</v>
      </c>
      <c r="F439">
        <v>31</v>
      </c>
      <c r="G439">
        <v>100.1</v>
      </c>
      <c r="H439">
        <v>54</v>
      </c>
      <c r="I439">
        <v>17.02</v>
      </c>
      <c r="J439">
        <v>246.3</v>
      </c>
      <c r="K439">
        <v>97</v>
      </c>
      <c r="L439">
        <v>20.94</v>
      </c>
      <c r="M439">
        <v>255</v>
      </c>
      <c r="N439">
        <v>131</v>
      </c>
      <c r="O439">
        <v>11.48</v>
      </c>
      <c r="P439">
        <v>5.9</v>
      </c>
      <c r="Q439">
        <v>3</v>
      </c>
      <c r="R439">
        <v>1.59</v>
      </c>
      <c r="S439">
        <v>0</v>
      </c>
      <c r="T439" t="b">
        <v>0</v>
      </c>
      <c r="AK439">
        <v>100.8</v>
      </c>
    </row>
    <row r="440" spans="1:37">
      <c r="A440" t="s">
        <v>66</v>
      </c>
      <c r="B440">
        <v>121</v>
      </c>
      <c r="C440">
        <v>408</v>
      </c>
      <c r="D440" t="s">
        <v>62</v>
      </c>
      <c r="E440" t="s">
        <v>63</v>
      </c>
      <c r="F440">
        <v>31</v>
      </c>
      <c r="G440">
        <v>237.1</v>
      </c>
      <c r="H440">
        <v>63</v>
      </c>
      <c r="I440">
        <v>40.31</v>
      </c>
      <c r="J440">
        <v>205.6</v>
      </c>
      <c r="K440">
        <v>117</v>
      </c>
      <c r="L440">
        <v>17.48</v>
      </c>
      <c r="M440">
        <v>196.7</v>
      </c>
      <c r="N440">
        <v>85</v>
      </c>
      <c r="O440">
        <v>8.85</v>
      </c>
      <c r="P440">
        <v>10.1</v>
      </c>
      <c r="Q440">
        <v>5</v>
      </c>
      <c r="R440">
        <v>2.73</v>
      </c>
      <c r="S440">
        <v>4</v>
      </c>
      <c r="T440" t="b">
        <v>0</v>
      </c>
      <c r="AK440">
        <v>82.5</v>
      </c>
    </row>
    <row r="441" spans="1:37">
      <c r="A441" t="s">
        <v>90</v>
      </c>
      <c r="B441">
        <v>111</v>
      </c>
      <c r="C441">
        <v>415</v>
      </c>
      <c r="D441" t="s">
        <v>62</v>
      </c>
      <c r="E441" t="s">
        <v>62</v>
      </c>
      <c r="F441">
        <v>0</v>
      </c>
      <c r="G441">
        <v>172.8</v>
      </c>
      <c r="H441">
        <v>58</v>
      </c>
      <c r="I441">
        <v>29.38</v>
      </c>
      <c r="J441">
        <v>183.1</v>
      </c>
      <c r="K441">
        <v>108</v>
      </c>
      <c r="L441">
        <v>15.56</v>
      </c>
      <c r="M441">
        <v>158.8</v>
      </c>
      <c r="N441">
        <v>104</v>
      </c>
      <c r="O441">
        <v>7.15</v>
      </c>
      <c r="P441">
        <v>7.9</v>
      </c>
      <c r="Q441">
        <v>3</v>
      </c>
      <c r="R441">
        <v>2.13</v>
      </c>
      <c r="S441">
        <v>4</v>
      </c>
      <c r="T441" t="b">
        <v>1</v>
      </c>
      <c r="AK441">
        <v>146.4</v>
      </c>
    </row>
    <row r="442" spans="1:37">
      <c r="A442" t="s">
        <v>89</v>
      </c>
      <c r="B442">
        <v>44</v>
      </c>
      <c r="C442">
        <v>510</v>
      </c>
      <c r="D442" t="s">
        <v>62</v>
      </c>
      <c r="E442" t="s">
        <v>62</v>
      </c>
      <c r="F442">
        <v>0</v>
      </c>
      <c r="G442">
        <v>288.1</v>
      </c>
      <c r="H442">
        <v>112</v>
      </c>
      <c r="I442">
        <v>48.98</v>
      </c>
      <c r="J442">
        <v>258</v>
      </c>
      <c r="K442">
        <v>92</v>
      </c>
      <c r="L442">
        <v>21.93</v>
      </c>
      <c r="M442">
        <v>192.4</v>
      </c>
      <c r="N442">
        <v>90</v>
      </c>
      <c r="O442">
        <v>8.66</v>
      </c>
      <c r="P442">
        <v>10.2</v>
      </c>
      <c r="Q442">
        <v>4</v>
      </c>
      <c r="R442">
        <v>2.75</v>
      </c>
      <c r="S442">
        <v>3</v>
      </c>
      <c r="T442" t="b">
        <v>1</v>
      </c>
      <c r="AK442">
        <v>177.9</v>
      </c>
    </row>
    <row r="443" spans="1:37">
      <c r="A443" t="s">
        <v>97</v>
      </c>
      <c r="B443">
        <v>61</v>
      </c>
      <c r="C443">
        <v>510</v>
      </c>
      <c r="D443" t="s">
        <v>63</v>
      </c>
      <c r="E443" t="s">
        <v>62</v>
      </c>
      <c r="F443">
        <v>0</v>
      </c>
      <c r="G443">
        <v>78.2</v>
      </c>
      <c r="H443">
        <v>103</v>
      </c>
      <c r="I443">
        <v>13.29</v>
      </c>
      <c r="J443">
        <v>195.9</v>
      </c>
      <c r="K443">
        <v>149</v>
      </c>
      <c r="L443">
        <v>16.65</v>
      </c>
      <c r="M443">
        <v>108</v>
      </c>
      <c r="N443">
        <v>100</v>
      </c>
      <c r="O443">
        <v>4.86</v>
      </c>
      <c r="P443">
        <v>10.1</v>
      </c>
      <c r="Q443">
        <v>6</v>
      </c>
      <c r="R443">
        <v>2.73</v>
      </c>
      <c r="S443">
        <v>2</v>
      </c>
      <c r="T443" t="b">
        <v>0</v>
      </c>
      <c r="AK443">
        <v>153.5</v>
      </c>
    </row>
    <row r="444" spans="1:37">
      <c r="A444" t="s">
        <v>103</v>
      </c>
      <c r="B444">
        <v>65</v>
      </c>
      <c r="C444">
        <v>415</v>
      </c>
      <c r="D444" t="s">
        <v>62</v>
      </c>
      <c r="E444" t="s">
        <v>62</v>
      </c>
      <c r="F444">
        <v>0</v>
      </c>
      <c r="G444">
        <v>148.7</v>
      </c>
      <c r="H444">
        <v>80</v>
      </c>
      <c r="I444">
        <v>25.28</v>
      </c>
      <c r="J444">
        <v>259</v>
      </c>
      <c r="K444">
        <v>94</v>
      </c>
      <c r="L444">
        <v>22.02</v>
      </c>
      <c r="M444">
        <v>149.5</v>
      </c>
      <c r="N444">
        <v>107</v>
      </c>
      <c r="O444">
        <v>6.73</v>
      </c>
      <c r="P444">
        <v>12.7</v>
      </c>
      <c r="Q444">
        <v>6</v>
      </c>
      <c r="R444">
        <v>3.43</v>
      </c>
      <c r="S444">
        <v>2</v>
      </c>
      <c r="T444" t="b">
        <v>0</v>
      </c>
      <c r="AK444">
        <v>180.1</v>
      </c>
    </row>
    <row r="445" spans="1:37">
      <c r="A445" t="s">
        <v>84</v>
      </c>
      <c r="B445">
        <v>74</v>
      </c>
      <c r="C445">
        <v>415</v>
      </c>
      <c r="D445" t="s">
        <v>62</v>
      </c>
      <c r="E445" t="s">
        <v>63</v>
      </c>
      <c r="F445">
        <v>25</v>
      </c>
      <c r="G445">
        <v>194.6</v>
      </c>
      <c r="H445">
        <v>84</v>
      </c>
      <c r="I445">
        <v>33.08</v>
      </c>
      <c r="J445">
        <v>119.9</v>
      </c>
      <c r="K445">
        <v>103</v>
      </c>
      <c r="L445">
        <v>10.19</v>
      </c>
      <c r="M445">
        <v>175.5</v>
      </c>
      <c r="N445">
        <v>75</v>
      </c>
      <c r="O445">
        <v>7.9</v>
      </c>
      <c r="P445">
        <v>13.1</v>
      </c>
      <c r="Q445">
        <v>2</v>
      </c>
      <c r="R445">
        <v>3.54</v>
      </c>
      <c r="S445">
        <v>2</v>
      </c>
      <c r="T445" t="b">
        <v>0</v>
      </c>
      <c r="AK445">
        <v>265.3</v>
      </c>
    </row>
    <row r="446" spans="1:37">
      <c r="A446" t="s">
        <v>65</v>
      </c>
      <c r="B446">
        <v>123</v>
      </c>
      <c r="C446">
        <v>408</v>
      </c>
      <c r="D446" t="s">
        <v>62</v>
      </c>
      <c r="E446" t="s">
        <v>62</v>
      </c>
      <c r="F446">
        <v>0</v>
      </c>
      <c r="G446">
        <v>159.5</v>
      </c>
      <c r="H446">
        <v>77</v>
      </c>
      <c r="I446">
        <v>27.12</v>
      </c>
      <c r="J446">
        <v>303.8</v>
      </c>
      <c r="K446">
        <v>92</v>
      </c>
      <c r="L446">
        <v>25.82</v>
      </c>
      <c r="M446">
        <v>226.9</v>
      </c>
      <c r="N446">
        <v>120</v>
      </c>
      <c r="O446">
        <v>10.21</v>
      </c>
      <c r="P446">
        <v>12</v>
      </c>
      <c r="Q446">
        <v>4</v>
      </c>
      <c r="R446">
        <v>3.24</v>
      </c>
      <c r="S446">
        <v>0</v>
      </c>
      <c r="T446" t="b">
        <v>0</v>
      </c>
      <c r="AK446">
        <v>128.6</v>
      </c>
    </row>
    <row r="447" spans="1:37">
      <c r="A447" t="s">
        <v>80</v>
      </c>
      <c r="B447">
        <v>58</v>
      </c>
      <c r="C447">
        <v>408</v>
      </c>
      <c r="D447" t="s">
        <v>62</v>
      </c>
      <c r="E447" t="s">
        <v>63</v>
      </c>
      <c r="F447">
        <v>20</v>
      </c>
      <c r="G447">
        <v>194.5</v>
      </c>
      <c r="H447">
        <v>110</v>
      </c>
      <c r="I447">
        <v>33.07</v>
      </c>
      <c r="J447">
        <v>213.7</v>
      </c>
      <c r="K447">
        <v>89</v>
      </c>
      <c r="L447">
        <v>18.16</v>
      </c>
      <c r="M447">
        <v>236.6</v>
      </c>
      <c r="N447">
        <v>92</v>
      </c>
      <c r="O447">
        <v>10.65</v>
      </c>
      <c r="P447">
        <v>9.5</v>
      </c>
      <c r="Q447">
        <v>2</v>
      </c>
      <c r="R447">
        <v>2.57</v>
      </c>
      <c r="S447">
        <v>1</v>
      </c>
      <c r="T447" t="b">
        <v>0</v>
      </c>
      <c r="AK447">
        <v>165.3</v>
      </c>
    </row>
    <row r="448" spans="1:37">
      <c r="A448" t="s">
        <v>76</v>
      </c>
      <c r="B448">
        <v>74</v>
      </c>
      <c r="C448">
        <v>408</v>
      </c>
      <c r="D448" t="s">
        <v>62</v>
      </c>
      <c r="E448" t="s">
        <v>62</v>
      </c>
      <c r="F448">
        <v>0</v>
      </c>
      <c r="G448">
        <v>174.1</v>
      </c>
      <c r="H448">
        <v>96</v>
      </c>
      <c r="I448">
        <v>29.6</v>
      </c>
      <c r="J448">
        <v>251.1</v>
      </c>
      <c r="K448">
        <v>94</v>
      </c>
      <c r="L448">
        <v>21.34</v>
      </c>
      <c r="M448">
        <v>257.6</v>
      </c>
      <c r="N448">
        <v>123</v>
      </c>
      <c r="O448">
        <v>11.59</v>
      </c>
      <c r="P448">
        <v>8.3</v>
      </c>
      <c r="Q448">
        <v>5</v>
      </c>
      <c r="R448">
        <v>2.24</v>
      </c>
      <c r="S448">
        <v>2</v>
      </c>
      <c r="T448" t="b">
        <v>1</v>
      </c>
      <c r="AK448">
        <v>195</v>
      </c>
    </row>
    <row r="449" spans="1:37">
      <c r="A449" t="s">
        <v>82</v>
      </c>
      <c r="B449">
        <v>125</v>
      </c>
      <c r="C449">
        <v>415</v>
      </c>
      <c r="D449" t="s">
        <v>62</v>
      </c>
      <c r="E449" t="s">
        <v>62</v>
      </c>
      <c r="F449">
        <v>0</v>
      </c>
      <c r="G449">
        <v>131.8</v>
      </c>
      <c r="H449">
        <v>97</v>
      </c>
      <c r="I449">
        <v>22.41</v>
      </c>
      <c r="J449">
        <v>136.7</v>
      </c>
      <c r="K449">
        <v>100</v>
      </c>
      <c r="L449">
        <v>11.62</v>
      </c>
      <c r="M449">
        <v>308.2</v>
      </c>
      <c r="N449">
        <v>119</v>
      </c>
      <c r="O449">
        <v>13.87</v>
      </c>
      <c r="P449">
        <v>7.7</v>
      </c>
      <c r="Q449">
        <v>6</v>
      </c>
      <c r="R449">
        <v>2.08</v>
      </c>
      <c r="S449">
        <v>2</v>
      </c>
      <c r="T449" t="b">
        <v>0</v>
      </c>
      <c r="AK449">
        <v>213.8</v>
      </c>
    </row>
    <row r="450" spans="1:37">
      <c r="A450" t="s">
        <v>73</v>
      </c>
      <c r="B450">
        <v>53</v>
      </c>
      <c r="C450">
        <v>408</v>
      </c>
      <c r="D450" t="s">
        <v>62</v>
      </c>
      <c r="E450" t="s">
        <v>63</v>
      </c>
      <c r="F450">
        <v>18</v>
      </c>
      <c r="G450">
        <v>146.8</v>
      </c>
      <c r="H450">
        <v>107</v>
      </c>
      <c r="I450">
        <v>24.96</v>
      </c>
      <c r="J450">
        <v>310</v>
      </c>
      <c r="K450">
        <v>84</v>
      </c>
      <c r="L450">
        <v>26.35</v>
      </c>
      <c r="M450">
        <v>178.7</v>
      </c>
      <c r="N450">
        <v>130</v>
      </c>
      <c r="O450">
        <v>8.04</v>
      </c>
      <c r="P450">
        <v>7.2</v>
      </c>
      <c r="Q450">
        <v>7</v>
      </c>
      <c r="R450">
        <v>1.94</v>
      </c>
      <c r="S450">
        <v>0</v>
      </c>
      <c r="T450" t="b">
        <v>0</v>
      </c>
      <c r="AK450">
        <v>205.5</v>
      </c>
    </row>
    <row r="451" spans="1:37">
      <c r="A451" t="s">
        <v>85</v>
      </c>
      <c r="B451">
        <v>99</v>
      </c>
      <c r="C451">
        <v>408</v>
      </c>
      <c r="D451" t="s">
        <v>62</v>
      </c>
      <c r="E451" t="s">
        <v>63</v>
      </c>
      <c r="F451">
        <v>28</v>
      </c>
      <c r="G451">
        <v>200.7</v>
      </c>
      <c r="H451">
        <v>88</v>
      </c>
      <c r="I451">
        <v>34.12</v>
      </c>
      <c r="J451">
        <v>264.2</v>
      </c>
      <c r="K451">
        <v>116</v>
      </c>
      <c r="L451">
        <v>22.46</v>
      </c>
      <c r="M451">
        <v>172.7</v>
      </c>
      <c r="N451">
        <v>102</v>
      </c>
      <c r="O451">
        <v>7.77</v>
      </c>
      <c r="P451">
        <v>9.1</v>
      </c>
      <c r="Q451">
        <v>5</v>
      </c>
      <c r="R451">
        <v>2.46</v>
      </c>
      <c r="S451">
        <v>1</v>
      </c>
      <c r="T451" t="b">
        <v>0</v>
      </c>
      <c r="AK451">
        <v>252.9</v>
      </c>
    </row>
    <row r="452" spans="1:37">
      <c r="A452" t="s">
        <v>77</v>
      </c>
      <c r="B452">
        <v>99</v>
      </c>
      <c r="C452">
        <v>415</v>
      </c>
      <c r="D452" t="s">
        <v>62</v>
      </c>
      <c r="E452" t="s">
        <v>62</v>
      </c>
      <c r="F452">
        <v>0</v>
      </c>
      <c r="G452">
        <v>145.6</v>
      </c>
      <c r="H452">
        <v>106</v>
      </c>
      <c r="I452">
        <v>24.75</v>
      </c>
      <c r="J452">
        <v>98.3</v>
      </c>
      <c r="K452">
        <v>106</v>
      </c>
      <c r="L452">
        <v>8.36</v>
      </c>
      <c r="M452">
        <v>230.8</v>
      </c>
      <c r="N452">
        <v>83</v>
      </c>
      <c r="O452">
        <v>10.39</v>
      </c>
      <c r="P452">
        <v>10.9</v>
      </c>
      <c r="Q452">
        <v>5</v>
      </c>
      <c r="R452">
        <v>2.94</v>
      </c>
      <c r="S452">
        <v>1</v>
      </c>
      <c r="T452" t="b">
        <v>0</v>
      </c>
      <c r="AK452">
        <v>192</v>
      </c>
    </row>
    <row r="453" spans="1:37">
      <c r="A453" t="s">
        <v>116</v>
      </c>
      <c r="B453">
        <v>66</v>
      </c>
      <c r="C453">
        <v>415</v>
      </c>
      <c r="D453" t="s">
        <v>62</v>
      </c>
      <c r="E453" t="s">
        <v>63</v>
      </c>
      <c r="F453">
        <v>29</v>
      </c>
      <c r="G453">
        <v>229.4</v>
      </c>
      <c r="H453">
        <v>104</v>
      </c>
      <c r="I453">
        <v>39</v>
      </c>
      <c r="J453">
        <v>257.4</v>
      </c>
      <c r="K453">
        <v>84</v>
      </c>
      <c r="L453">
        <v>21.88</v>
      </c>
      <c r="M453">
        <v>231.5</v>
      </c>
      <c r="N453">
        <v>119</v>
      </c>
      <c r="O453">
        <v>10.42</v>
      </c>
      <c r="P453">
        <v>8</v>
      </c>
      <c r="Q453">
        <v>1</v>
      </c>
      <c r="R453">
        <v>2.16</v>
      </c>
      <c r="S453">
        <v>2</v>
      </c>
      <c r="T453" t="b">
        <v>0</v>
      </c>
      <c r="AK453">
        <v>69.1</v>
      </c>
    </row>
    <row r="454" spans="1:37">
      <c r="A454" t="s">
        <v>108</v>
      </c>
      <c r="B454">
        <v>97</v>
      </c>
      <c r="C454">
        <v>510</v>
      </c>
      <c r="D454" t="s">
        <v>62</v>
      </c>
      <c r="E454" t="s">
        <v>62</v>
      </c>
      <c r="F454">
        <v>0</v>
      </c>
      <c r="G454">
        <v>211</v>
      </c>
      <c r="H454">
        <v>76</v>
      </c>
      <c r="I454">
        <v>35.87</v>
      </c>
      <c r="J454">
        <v>189</v>
      </c>
      <c r="K454">
        <v>100</v>
      </c>
      <c r="L454">
        <v>16.07</v>
      </c>
      <c r="M454">
        <v>123</v>
      </c>
      <c r="N454">
        <v>102</v>
      </c>
      <c r="O454">
        <v>5.54</v>
      </c>
      <c r="P454">
        <v>4.7</v>
      </c>
      <c r="Q454">
        <v>4</v>
      </c>
      <c r="R454">
        <v>1.27</v>
      </c>
      <c r="S454">
        <v>3</v>
      </c>
      <c r="T454" t="b">
        <v>0</v>
      </c>
      <c r="AK454">
        <v>235.5</v>
      </c>
    </row>
    <row r="455" spans="1:37">
      <c r="A455" t="s">
        <v>91</v>
      </c>
      <c r="B455">
        <v>85</v>
      </c>
      <c r="C455">
        <v>510</v>
      </c>
      <c r="D455" t="s">
        <v>63</v>
      </c>
      <c r="E455" t="s">
        <v>62</v>
      </c>
      <c r="F455">
        <v>0</v>
      </c>
      <c r="G455">
        <v>216</v>
      </c>
      <c r="H455">
        <v>73</v>
      </c>
      <c r="I455">
        <v>36.72</v>
      </c>
      <c r="J455">
        <v>188.2</v>
      </c>
      <c r="K455">
        <v>117</v>
      </c>
      <c r="L455">
        <v>16</v>
      </c>
      <c r="M455">
        <v>147.1</v>
      </c>
      <c r="N455">
        <v>98</v>
      </c>
      <c r="O455">
        <v>6.62</v>
      </c>
      <c r="P455">
        <v>3.6</v>
      </c>
      <c r="Q455">
        <v>7</v>
      </c>
      <c r="R455">
        <v>0.97</v>
      </c>
      <c r="S455">
        <v>2</v>
      </c>
      <c r="T455" t="b">
        <v>0</v>
      </c>
      <c r="AK455">
        <v>213.4</v>
      </c>
    </row>
    <row r="456" spans="1:37">
      <c r="A456" t="s">
        <v>96</v>
      </c>
      <c r="B456">
        <v>108</v>
      </c>
      <c r="C456">
        <v>510</v>
      </c>
      <c r="D456" t="s">
        <v>62</v>
      </c>
      <c r="E456" t="s">
        <v>62</v>
      </c>
      <c r="F456">
        <v>0</v>
      </c>
      <c r="G456">
        <v>293</v>
      </c>
      <c r="H456">
        <v>88</v>
      </c>
      <c r="I456">
        <v>49.81</v>
      </c>
      <c r="J456">
        <v>160.6</v>
      </c>
      <c r="K456">
        <v>101</v>
      </c>
      <c r="L456">
        <v>13.65</v>
      </c>
      <c r="M456">
        <v>143.9</v>
      </c>
      <c r="N456">
        <v>87</v>
      </c>
      <c r="O456">
        <v>6.48</v>
      </c>
      <c r="P456">
        <v>10</v>
      </c>
      <c r="Q456">
        <v>6</v>
      </c>
      <c r="R456">
        <v>2.7</v>
      </c>
      <c r="S456">
        <v>2</v>
      </c>
      <c r="T456" t="b">
        <v>0</v>
      </c>
      <c r="AK456">
        <v>263.8</v>
      </c>
    </row>
    <row r="457" spans="1:37">
      <c r="A457" t="s">
        <v>100</v>
      </c>
      <c r="B457">
        <v>133</v>
      </c>
      <c r="C457">
        <v>408</v>
      </c>
      <c r="D457" t="s">
        <v>63</v>
      </c>
      <c r="E457" t="s">
        <v>63</v>
      </c>
      <c r="F457">
        <v>32</v>
      </c>
      <c r="G457">
        <v>221.1</v>
      </c>
      <c r="H457">
        <v>137</v>
      </c>
      <c r="I457">
        <v>37.59</v>
      </c>
      <c r="J457">
        <v>264.9</v>
      </c>
      <c r="K457">
        <v>99</v>
      </c>
      <c r="L457">
        <v>22.52</v>
      </c>
      <c r="M457">
        <v>168.9</v>
      </c>
      <c r="N457">
        <v>108</v>
      </c>
      <c r="O457">
        <v>7.6</v>
      </c>
      <c r="P457">
        <v>15.4</v>
      </c>
      <c r="Q457">
        <v>4</v>
      </c>
      <c r="R457">
        <v>4.16</v>
      </c>
      <c r="S457">
        <v>2</v>
      </c>
      <c r="T457" t="b">
        <v>1</v>
      </c>
      <c r="AK457">
        <v>183.4</v>
      </c>
    </row>
    <row r="458" spans="1:37">
      <c r="A458" t="s">
        <v>95</v>
      </c>
      <c r="B458">
        <v>51</v>
      </c>
      <c r="C458">
        <v>510</v>
      </c>
      <c r="D458" t="s">
        <v>62</v>
      </c>
      <c r="E458" t="s">
        <v>62</v>
      </c>
      <c r="F458">
        <v>0</v>
      </c>
      <c r="G458">
        <v>181.5</v>
      </c>
      <c r="H458">
        <v>108</v>
      </c>
      <c r="I458">
        <v>30.86</v>
      </c>
      <c r="J458">
        <v>196.9</v>
      </c>
      <c r="K458">
        <v>87</v>
      </c>
      <c r="L458">
        <v>16.74</v>
      </c>
      <c r="M458">
        <v>187.2</v>
      </c>
      <c r="N458">
        <v>119</v>
      </c>
      <c r="O458">
        <v>8.42</v>
      </c>
      <c r="P458">
        <v>10.3</v>
      </c>
      <c r="Q458">
        <v>2</v>
      </c>
      <c r="R458">
        <v>2.78</v>
      </c>
      <c r="S458">
        <v>1</v>
      </c>
      <c r="T458" t="b">
        <v>0</v>
      </c>
      <c r="AK458">
        <v>242.5</v>
      </c>
    </row>
    <row r="459" spans="1:37">
      <c r="A459" t="s">
        <v>102</v>
      </c>
      <c r="B459">
        <v>186</v>
      </c>
      <c r="C459">
        <v>415</v>
      </c>
      <c r="D459" t="s">
        <v>62</v>
      </c>
      <c r="E459" t="s">
        <v>63</v>
      </c>
      <c r="F459">
        <v>26</v>
      </c>
      <c r="G459">
        <v>74.3</v>
      </c>
      <c r="H459">
        <v>107</v>
      </c>
      <c r="I459">
        <v>12.63</v>
      </c>
      <c r="J459">
        <v>177.3</v>
      </c>
      <c r="K459">
        <v>116</v>
      </c>
      <c r="L459">
        <v>15.07</v>
      </c>
      <c r="M459">
        <v>296.3</v>
      </c>
      <c r="N459">
        <v>90</v>
      </c>
      <c r="O459">
        <v>13.33</v>
      </c>
      <c r="P459">
        <v>14.5</v>
      </c>
      <c r="Q459">
        <v>3</v>
      </c>
      <c r="R459">
        <v>3.92</v>
      </c>
      <c r="S459">
        <v>2</v>
      </c>
      <c r="T459" t="b">
        <v>0</v>
      </c>
      <c r="AK459">
        <v>151</v>
      </c>
    </row>
    <row r="460" spans="1:37">
      <c r="A460" t="s">
        <v>93</v>
      </c>
      <c r="B460">
        <v>44</v>
      </c>
      <c r="C460">
        <v>415</v>
      </c>
      <c r="D460" t="s">
        <v>63</v>
      </c>
      <c r="E460" t="s">
        <v>62</v>
      </c>
      <c r="F460">
        <v>0</v>
      </c>
      <c r="G460">
        <v>62.3</v>
      </c>
      <c r="H460">
        <v>92</v>
      </c>
      <c r="I460">
        <v>10.59</v>
      </c>
      <c r="J460">
        <v>275</v>
      </c>
      <c r="K460">
        <v>82</v>
      </c>
      <c r="L460">
        <v>23.38</v>
      </c>
      <c r="M460">
        <v>138.7</v>
      </c>
      <c r="N460">
        <v>108</v>
      </c>
      <c r="O460">
        <v>6.24</v>
      </c>
      <c r="P460">
        <v>10.8</v>
      </c>
      <c r="Q460">
        <v>3</v>
      </c>
      <c r="R460">
        <v>2.92</v>
      </c>
      <c r="S460">
        <v>1</v>
      </c>
      <c r="T460" t="b">
        <v>0</v>
      </c>
      <c r="AK460">
        <v>138.1</v>
      </c>
    </row>
    <row r="461" spans="1:37">
      <c r="A461" t="s">
        <v>81</v>
      </c>
      <c r="B461">
        <v>64</v>
      </c>
      <c r="C461">
        <v>408</v>
      </c>
      <c r="D461" t="s">
        <v>62</v>
      </c>
      <c r="E461" t="s">
        <v>63</v>
      </c>
      <c r="F461">
        <v>31</v>
      </c>
      <c r="G461">
        <v>228.6</v>
      </c>
      <c r="H461">
        <v>88</v>
      </c>
      <c r="I461">
        <v>38.86</v>
      </c>
      <c r="J461">
        <v>248.5</v>
      </c>
      <c r="K461">
        <v>109</v>
      </c>
      <c r="L461">
        <v>21.12</v>
      </c>
      <c r="M461">
        <v>167.1</v>
      </c>
      <c r="N461">
        <v>124</v>
      </c>
      <c r="O461">
        <v>7.52</v>
      </c>
      <c r="P461">
        <v>9</v>
      </c>
      <c r="Q461">
        <v>1</v>
      </c>
      <c r="R461">
        <v>2.43</v>
      </c>
      <c r="S461">
        <v>3</v>
      </c>
      <c r="T461" t="b">
        <v>0</v>
      </c>
      <c r="AK461">
        <v>211.2</v>
      </c>
    </row>
    <row r="462" spans="1:37">
      <c r="A462" t="s">
        <v>99</v>
      </c>
      <c r="B462">
        <v>114</v>
      </c>
      <c r="C462">
        <v>415</v>
      </c>
      <c r="D462" t="s">
        <v>62</v>
      </c>
      <c r="E462" t="s">
        <v>63</v>
      </c>
      <c r="F462">
        <v>36</v>
      </c>
      <c r="G462">
        <v>309.9</v>
      </c>
      <c r="H462">
        <v>90</v>
      </c>
      <c r="I462">
        <v>52.68</v>
      </c>
      <c r="J462">
        <v>200.3</v>
      </c>
      <c r="K462">
        <v>89</v>
      </c>
      <c r="L462">
        <v>17.03</v>
      </c>
      <c r="M462">
        <v>183.5</v>
      </c>
      <c r="N462">
        <v>105</v>
      </c>
      <c r="O462">
        <v>8.26</v>
      </c>
      <c r="P462">
        <v>14.2</v>
      </c>
      <c r="Q462">
        <v>2</v>
      </c>
      <c r="R462">
        <v>3.83</v>
      </c>
      <c r="S462">
        <v>1</v>
      </c>
      <c r="T462" t="b">
        <v>0</v>
      </c>
      <c r="AK462">
        <v>197.1</v>
      </c>
    </row>
    <row r="463" spans="1:37">
      <c r="A463" t="s">
        <v>81</v>
      </c>
      <c r="B463">
        <v>92</v>
      </c>
      <c r="C463">
        <v>415</v>
      </c>
      <c r="D463" t="s">
        <v>62</v>
      </c>
      <c r="E463" t="s">
        <v>62</v>
      </c>
      <c r="F463">
        <v>0</v>
      </c>
      <c r="G463">
        <v>201.9</v>
      </c>
      <c r="H463">
        <v>74</v>
      </c>
      <c r="I463">
        <v>34.32</v>
      </c>
      <c r="J463">
        <v>226.8</v>
      </c>
      <c r="K463">
        <v>119</v>
      </c>
      <c r="L463">
        <v>19.28</v>
      </c>
      <c r="M463">
        <v>217.5</v>
      </c>
      <c r="N463">
        <v>80</v>
      </c>
      <c r="O463">
        <v>9.79</v>
      </c>
      <c r="P463">
        <v>13.7</v>
      </c>
      <c r="Q463">
        <v>6</v>
      </c>
      <c r="R463">
        <v>3.7</v>
      </c>
      <c r="S463">
        <v>3</v>
      </c>
      <c r="T463" t="b">
        <v>0</v>
      </c>
      <c r="AK463">
        <v>205.3</v>
      </c>
    </row>
    <row r="464" spans="1:37">
      <c r="A464" t="s">
        <v>94</v>
      </c>
      <c r="B464">
        <v>110</v>
      </c>
      <c r="C464">
        <v>408</v>
      </c>
      <c r="D464" t="s">
        <v>62</v>
      </c>
      <c r="E464" t="s">
        <v>62</v>
      </c>
      <c r="F464">
        <v>0</v>
      </c>
      <c r="G464">
        <v>149.8</v>
      </c>
      <c r="H464">
        <v>112</v>
      </c>
      <c r="I464">
        <v>25.47</v>
      </c>
      <c r="J464">
        <v>180</v>
      </c>
      <c r="K464">
        <v>93</v>
      </c>
      <c r="L464">
        <v>15.3</v>
      </c>
      <c r="M464">
        <v>140</v>
      </c>
      <c r="N464">
        <v>119</v>
      </c>
      <c r="O464">
        <v>6.3</v>
      </c>
      <c r="P464">
        <v>11.7</v>
      </c>
      <c r="Q464">
        <v>4</v>
      </c>
      <c r="R464">
        <v>3.16</v>
      </c>
      <c r="S464">
        <v>2</v>
      </c>
      <c r="T464" t="b">
        <v>0</v>
      </c>
      <c r="AK464">
        <v>181.8</v>
      </c>
    </row>
    <row r="465" spans="1:37">
      <c r="A465" t="s">
        <v>82</v>
      </c>
      <c r="B465">
        <v>90</v>
      </c>
      <c r="C465">
        <v>408</v>
      </c>
      <c r="D465" t="s">
        <v>62</v>
      </c>
      <c r="E465" t="s">
        <v>63</v>
      </c>
      <c r="F465">
        <v>30</v>
      </c>
      <c r="G465">
        <v>183.8</v>
      </c>
      <c r="H465">
        <v>76</v>
      </c>
      <c r="I465">
        <v>31.25</v>
      </c>
      <c r="J465">
        <v>229.7</v>
      </c>
      <c r="K465">
        <v>95</v>
      </c>
      <c r="L465">
        <v>19.52</v>
      </c>
      <c r="M465">
        <v>144.1</v>
      </c>
      <c r="N465">
        <v>124</v>
      </c>
      <c r="O465">
        <v>6.48</v>
      </c>
      <c r="P465">
        <v>7.7</v>
      </c>
      <c r="Q465">
        <v>3</v>
      </c>
      <c r="R465">
        <v>2.08</v>
      </c>
      <c r="S465">
        <v>1</v>
      </c>
      <c r="T465" t="b">
        <v>0</v>
      </c>
      <c r="AK465">
        <v>252</v>
      </c>
    </row>
    <row r="466" spans="1:37">
      <c r="A466" t="s">
        <v>116</v>
      </c>
      <c r="B466">
        <v>72</v>
      </c>
      <c r="C466">
        <v>408</v>
      </c>
      <c r="D466" t="s">
        <v>62</v>
      </c>
      <c r="E466" t="s">
        <v>63</v>
      </c>
      <c r="F466">
        <v>21</v>
      </c>
      <c r="G466">
        <v>186.7</v>
      </c>
      <c r="H466">
        <v>108</v>
      </c>
      <c r="I466">
        <v>31.74</v>
      </c>
      <c r="J466">
        <v>335</v>
      </c>
      <c r="K466">
        <v>86</v>
      </c>
      <c r="L466">
        <v>28.48</v>
      </c>
      <c r="M466">
        <v>187.2</v>
      </c>
      <c r="N466">
        <v>119</v>
      </c>
      <c r="O466">
        <v>8.42</v>
      </c>
      <c r="P466">
        <v>16.5</v>
      </c>
      <c r="Q466">
        <v>4</v>
      </c>
      <c r="R466">
        <v>4.46</v>
      </c>
      <c r="S466">
        <v>1</v>
      </c>
      <c r="T466" t="b">
        <v>0</v>
      </c>
      <c r="AK466">
        <v>231.2</v>
      </c>
    </row>
    <row r="467" spans="1:37">
      <c r="A467" t="s">
        <v>96</v>
      </c>
      <c r="B467">
        <v>113</v>
      </c>
      <c r="C467">
        <v>415</v>
      </c>
      <c r="D467" t="s">
        <v>62</v>
      </c>
      <c r="E467" t="s">
        <v>62</v>
      </c>
      <c r="F467">
        <v>0</v>
      </c>
      <c r="G467">
        <v>209.4</v>
      </c>
      <c r="H467">
        <v>151</v>
      </c>
      <c r="I467">
        <v>35.6</v>
      </c>
      <c r="J467">
        <v>347.3</v>
      </c>
      <c r="K467">
        <v>113</v>
      </c>
      <c r="L467">
        <v>29.52</v>
      </c>
      <c r="M467">
        <v>246</v>
      </c>
      <c r="N467">
        <v>116</v>
      </c>
      <c r="O467">
        <v>11.07</v>
      </c>
      <c r="P467">
        <v>7.4</v>
      </c>
      <c r="Q467">
        <v>2</v>
      </c>
      <c r="R467">
        <v>2</v>
      </c>
      <c r="S467">
        <v>1</v>
      </c>
      <c r="T467" t="b">
        <v>1</v>
      </c>
      <c r="AK467">
        <v>200.1</v>
      </c>
    </row>
    <row r="468" spans="1:37">
      <c r="A468" t="s">
        <v>113</v>
      </c>
      <c r="B468">
        <v>171</v>
      </c>
      <c r="C468">
        <v>415</v>
      </c>
      <c r="D468" t="s">
        <v>62</v>
      </c>
      <c r="E468" t="s">
        <v>63</v>
      </c>
      <c r="F468">
        <v>25</v>
      </c>
      <c r="G468">
        <v>223.2</v>
      </c>
      <c r="H468">
        <v>77</v>
      </c>
      <c r="I468">
        <v>37.94</v>
      </c>
      <c r="J468">
        <v>183.2</v>
      </c>
      <c r="K468">
        <v>118</v>
      </c>
      <c r="L468">
        <v>15.57</v>
      </c>
      <c r="M468">
        <v>150.8</v>
      </c>
      <c r="N468">
        <v>90</v>
      </c>
      <c r="O468">
        <v>6.79</v>
      </c>
      <c r="P468">
        <v>10.2</v>
      </c>
      <c r="Q468">
        <v>3</v>
      </c>
      <c r="R468">
        <v>2.75</v>
      </c>
      <c r="S468">
        <v>3</v>
      </c>
      <c r="T468" t="b">
        <v>0</v>
      </c>
      <c r="AK468">
        <v>175.3</v>
      </c>
    </row>
    <row r="469" spans="1:37">
      <c r="A469" t="s">
        <v>103</v>
      </c>
      <c r="B469">
        <v>104</v>
      </c>
      <c r="C469">
        <v>415</v>
      </c>
      <c r="D469" t="s">
        <v>62</v>
      </c>
      <c r="E469" t="s">
        <v>62</v>
      </c>
      <c r="F469">
        <v>0</v>
      </c>
      <c r="G469">
        <v>164.2</v>
      </c>
      <c r="H469">
        <v>109</v>
      </c>
      <c r="I469">
        <v>27.91</v>
      </c>
      <c r="J469">
        <v>155.4</v>
      </c>
      <c r="K469">
        <v>90</v>
      </c>
      <c r="L469">
        <v>13.21</v>
      </c>
      <c r="M469">
        <v>168.9</v>
      </c>
      <c r="N469">
        <v>117</v>
      </c>
      <c r="O469">
        <v>7.6</v>
      </c>
      <c r="P469">
        <v>10.7</v>
      </c>
      <c r="Q469">
        <v>8</v>
      </c>
      <c r="R469">
        <v>2.89</v>
      </c>
      <c r="S469">
        <v>1</v>
      </c>
      <c r="T469" t="b">
        <v>0</v>
      </c>
      <c r="AK469">
        <v>125.1</v>
      </c>
    </row>
    <row r="470" spans="1:37">
      <c r="A470" t="s">
        <v>108</v>
      </c>
      <c r="B470">
        <v>165</v>
      </c>
      <c r="C470">
        <v>408</v>
      </c>
      <c r="D470" t="s">
        <v>62</v>
      </c>
      <c r="E470" t="s">
        <v>62</v>
      </c>
      <c r="F470">
        <v>0</v>
      </c>
      <c r="G470">
        <v>150.5</v>
      </c>
      <c r="H470">
        <v>75</v>
      </c>
      <c r="I470">
        <v>25.59</v>
      </c>
      <c r="J470">
        <v>193.1</v>
      </c>
      <c r="K470">
        <v>93</v>
      </c>
      <c r="L470">
        <v>16.41</v>
      </c>
      <c r="M470">
        <v>311.6</v>
      </c>
      <c r="N470">
        <v>93</v>
      </c>
      <c r="O470">
        <v>14.02</v>
      </c>
      <c r="P470">
        <v>10.3</v>
      </c>
      <c r="Q470">
        <v>2</v>
      </c>
      <c r="R470">
        <v>2.78</v>
      </c>
      <c r="S470">
        <v>1</v>
      </c>
      <c r="T470" t="b">
        <v>0</v>
      </c>
      <c r="AK470">
        <v>241.2</v>
      </c>
    </row>
    <row r="471" spans="1:37">
      <c r="A471" t="s">
        <v>99</v>
      </c>
      <c r="B471">
        <v>104</v>
      </c>
      <c r="C471">
        <v>510</v>
      </c>
      <c r="D471" t="s">
        <v>62</v>
      </c>
      <c r="E471" t="s">
        <v>62</v>
      </c>
      <c r="F471">
        <v>0</v>
      </c>
      <c r="G471">
        <v>234.2</v>
      </c>
      <c r="H471">
        <v>128</v>
      </c>
      <c r="I471">
        <v>39.81</v>
      </c>
      <c r="J471">
        <v>293.1</v>
      </c>
      <c r="K471">
        <v>92</v>
      </c>
      <c r="L471">
        <v>24.91</v>
      </c>
      <c r="M471">
        <v>183.9</v>
      </c>
      <c r="N471">
        <v>79</v>
      </c>
      <c r="O471">
        <v>8.28</v>
      </c>
      <c r="P471">
        <v>9.8</v>
      </c>
      <c r="Q471">
        <v>6</v>
      </c>
      <c r="R471">
        <v>2.65</v>
      </c>
      <c r="S471">
        <v>0</v>
      </c>
      <c r="T471" t="b">
        <v>1</v>
      </c>
      <c r="AK471">
        <v>217.1</v>
      </c>
    </row>
    <row r="472" spans="1:37">
      <c r="A472" t="s">
        <v>92</v>
      </c>
      <c r="B472">
        <v>110</v>
      </c>
      <c r="C472">
        <v>408</v>
      </c>
      <c r="D472" t="s">
        <v>62</v>
      </c>
      <c r="E472" t="s">
        <v>62</v>
      </c>
      <c r="F472">
        <v>0</v>
      </c>
      <c r="G472">
        <v>55.3</v>
      </c>
      <c r="H472">
        <v>102</v>
      </c>
      <c r="I472">
        <v>9.4</v>
      </c>
      <c r="J472">
        <v>164.7</v>
      </c>
      <c r="K472">
        <v>124</v>
      </c>
      <c r="L472">
        <v>14</v>
      </c>
      <c r="M472">
        <v>200.7</v>
      </c>
      <c r="N472">
        <v>108</v>
      </c>
      <c r="O472">
        <v>9.03</v>
      </c>
      <c r="P472">
        <v>10.2</v>
      </c>
      <c r="Q472">
        <v>5</v>
      </c>
      <c r="R472">
        <v>2.75</v>
      </c>
      <c r="S472">
        <v>1</v>
      </c>
      <c r="T472" t="b">
        <v>0</v>
      </c>
      <c r="AK472">
        <v>195.4</v>
      </c>
    </row>
    <row r="473" spans="1:37">
      <c r="A473" t="s">
        <v>80</v>
      </c>
      <c r="B473">
        <v>90</v>
      </c>
      <c r="C473">
        <v>408</v>
      </c>
      <c r="D473" t="s">
        <v>63</v>
      </c>
      <c r="E473" t="s">
        <v>62</v>
      </c>
      <c r="F473">
        <v>0</v>
      </c>
      <c r="G473">
        <v>221.8</v>
      </c>
      <c r="H473">
        <v>97</v>
      </c>
      <c r="I473">
        <v>37.71</v>
      </c>
      <c r="J473">
        <v>203.8</v>
      </c>
      <c r="K473">
        <v>134</v>
      </c>
      <c r="L473">
        <v>17.32</v>
      </c>
      <c r="M473">
        <v>215.8</v>
      </c>
      <c r="N473">
        <v>154</v>
      </c>
      <c r="O473">
        <v>9.71</v>
      </c>
      <c r="P473">
        <v>8.4</v>
      </c>
      <c r="Q473">
        <v>4</v>
      </c>
      <c r="R473">
        <v>2.27</v>
      </c>
      <c r="S473">
        <v>1</v>
      </c>
      <c r="T473" t="b">
        <v>0</v>
      </c>
      <c r="AK473">
        <v>256.7</v>
      </c>
    </row>
    <row r="474" spans="1:37">
      <c r="A474" t="s">
        <v>87</v>
      </c>
      <c r="B474">
        <v>114</v>
      </c>
      <c r="C474">
        <v>415</v>
      </c>
      <c r="D474" t="s">
        <v>62</v>
      </c>
      <c r="E474" t="s">
        <v>62</v>
      </c>
      <c r="F474">
        <v>0</v>
      </c>
      <c r="G474">
        <v>169.6</v>
      </c>
      <c r="H474">
        <v>85</v>
      </c>
      <c r="I474">
        <v>28.83</v>
      </c>
      <c r="J474">
        <v>58.9</v>
      </c>
      <c r="K474">
        <v>86</v>
      </c>
      <c r="L474">
        <v>5.01</v>
      </c>
      <c r="M474">
        <v>179.3</v>
      </c>
      <c r="N474">
        <v>124</v>
      </c>
      <c r="O474">
        <v>8.07</v>
      </c>
      <c r="P474">
        <v>7.4</v>
      </c>
      <c r="Q474">
        <v>8</v>
      </c>
      <c r="R474">
        <v>2</v>
      </c>
      <c r="S474">
        <v>1</v>
      </c>
      <c r="T474" t="b">
        <v>0</v>
      </c>
      <c r="AK474">
        <v>30.9</v>
      </c>
    </row>
    <row r="475" spans="1:37">
      <c r="A475" t="s">
        <v>67</v>
      </c>
      <c r="B475">
        <v>109</v>
      </c>
      <c r="C475">
        <v>408</v>
      </c>
      <c r="D475" t="s">
        <v>62</v>
      </c>
      <c r="E475" t="s">
        <v>62</v>
      </c>
      <c r="F475">
        <v>0</v>
      </c>
      <c r="G475">
        <v>218.9</v>
      </c>
      <c r="H475">
        <v>105</v>
      </c>
      <c r="I475">
        <v>37.21</v>
      </c>
      <c r="J475">
        <v>299.9</v>
      </c>
      <c r="K475">
        <v>87</v>
      </c>
      <c r="L475">
        <v>25.49</v>
      </c>
      <c r="M475">
        <v>158.6</v>
      </c>
      <c r="N475">
        <v>110</v>
      </c>
      <c r="O475">
        <v>7.14</v>
      </c>
      <c r="P475">
        <v>11.3</v>
      </c>
      <c r="Q475">
        <v>4</v>
      </c>
      <c r="R475">
        <v>3.05</v>
      </c>
      <c r="S475">
        <v>2</v>
      </c>
      <c r="T475" t="b">
        <v>0</v>
      </c>
      <c r="AK475">
        <v>187.4</v>
      </c>
    </row>
    <row r="476" spans="1:37">
      <c r="A476" t="s">
        <v>66</v>
      </c>
      <c r="B476">
        <v>92</v>
      </c>
      <c r="C476">
        <v>510</v>
      </c>
      <c r="D476" t="s">
        <v>62</v>
      </c>
      <c r="E476" t="s">
        <v>62</v>
      </c>
      <c r="F476">
        <v>0</v>
      </c>
      <c r="G476">
        <v>176.3</v>
      </c>
      <c r="H476">
        <v>85</v>
      </c>
      <c r="I476">
        <v>29.97</v>
      </c>
      <c r="J476">
        <v>93.4</v>
      </c>
      <c r="K476">
        <v>125</v>
      </c>
      <c r="L476">
        <v>7.94</v>
      </c>
      <c r="M476">
        <v>207.2</v>
      </c>
      <c r="N476">
        <v>107</v>
      </c>
      <c r="O476">
        <v>9.32</v>
      </c>
      <c r="P476">
        <v>9.6</v>
      </c>
      <c r="Q476">
        <v>1</v>
      </c>
      <c r="R476">
        <v>2.59</v>
      </c>
      <c r="S476">
        <v>2</v>
      </c>
      <c r="T476" t="b">
        <v>0</v>
      </c>
      <c r="AK476">
        <v>277.5</v>
      </c>
    </row>
    <row r="477" spans="1:37">
      <c r="A477" t="s">
        <v>108</v>
      </c>
      <c r="B477">
        <v>82</v>
      </c>
      <c r="C477">
        <v>510</v>
      </c>
      <c r="D477" t="s">
        <v>62</v>
      </c>
      <c r="E477" t="s">
        <v>63</v>
      </c>
      <c r="F477">
        <v>29</v>
      </c>
      <c r="G477">
        <v>207.2</v>
      </c>
      <c r="H477">
        <v>111</v>
      </c>
      <c r="I477">
        <v>35.22</v>
      </c>
      <c r="J477">
        <v>254.1</v>
      </c>
      <c r="K477">
        <v>137</v>
      </c>
      <c r="L477">
        <v>21.6</v>
      </c>
      <c r="M477">
        <v>169.3</v>
      </c>
      <c r="N477">
        <v>92</v>
      </c>
      <c r="O477">
        <v>7.62</v>
      </c>
      <c r="P477">
        <v>9.5</v>
      </c>
      <c r="Q477">
        <v>5</v>
      </c>
      <c r="R477">
        <v>2.57</v>
      </c>
      <c r="S477">
        <v>2</v>
      </c>
      <c r="T477" t="b">
        <v>0</v>
      </c>
      <c r="AK477">
        <v>147.2</v>
      </c>
    </row>
    <row r="478" spans="1:37">
      <c r="A478" t="s">
        <v>71</v>
      </c>
      <c r="B478">
        <v>90</v>
      </c>
      <c r="C478">
        <v>415</v>
      </c>
      <c r="D478" t="s">
        <v>62</v>
      </c>
      <c r="E478" t="s">
        <v>62</v>
      </c>
      <c r="F478">
        <v>0</v>
      </c>
      <c r="G478">
        <v>205.7</v>
      </c>
      <c r="H478">
        <v>138</v>
      </c>
      <c r="I478">
        <v>34.97</v>
      </c>
      <c r="J478">
        <v>161.9</v>
      </c>
      <c r="K478">
        <v>83</v>
      </c>
      <c r="L478">
        <v>13.76</v>
      </c>
      <c r="M478">
        <v>269.7</v>
      </c>
      <c r="N478">
        <v>104</v>
      </c>
      <c r="O478">
        <v>12.14</v>
      </c>
      <c r="P478">
        <v>12.5</v>
      </c>
      <c r="Q478">
        <v>6</v>
      </c>
      <c r="R478">
        <v>3.38</v>
      </c>
      <c r="S478">
        <v>2</v>
      </c>
      <c r="T478" t="b">
        <v>0</v>
      </c>
      <c r="AK478">
        <v>185.8</v>
      </c>
    </row>
    <row r="479" spans="1:37">
      <c r="A479" t="s">
        <v>114</v>
      </c>
      <c r="B479">
        <v>87</v>
      </c>
      <c r="C479">
        <v>408</v>
      </c>
      <c r="D479" t="s">
        <v>62</v>
      </c>
      <c r="E479" t="s">
        <v>63</v>
      </c>
      <c r="F479">
        <v>28</v>
      </c>
      <c r="G479">
        <v>151.4</v>
      </c>
      <c r="H479">
        <v>95</v>
      </c>
      <c r="I479">
        <v>25.74</v>
      </c>
      <c r="J479">
        <v>152.4</v>
      </c>
      <c r="K479">
        <v>97</v>
      </c>
      <c r="L479">
        <v>12.95</v>
      </c>
      <c r="M479">
        <v>250.1</v>
      </c>
      <c r="N479">
        <v>109</v>
      </c>
      <c r="O479">
        <v>11.25</v>
      </c>
      <c r="P479">
        <v>0</v>
      </c>
      <c r="Q479">
        <v>0</v>
      </c>
      <c r="R479">
        <v>0</v>
      </c>
      <c r="S479">
        <v>1</v>
      </c>
      <c r="T479" t="b">
        <v>0</v>
      </c>
      <c r="AK479">
        <v>97.6</v>
      </c>
    </row>
    <row r="480" spans="1:37">
      <c r="A480" t="s">
        <v>102</v>
      </c>
      <c r="B480">
        <v>124</v>
      </c>
      <c r="C480">
        <v>510</v>
      </c>
      <c r="D480" t="s">
        <v>62</v>
      </c>
      <c r="E480" t="s">
        <v>62</v>
      </c>
      <c r="F480">
        <v>0</v>
      </c>
      <c r="G480">
        <v>157.5</v>
      </c>
      <c r="H480">
        <v>70</v>
      </c>
      <c r="I480">
        <v>26.78</v>
      </c>
      <c r="J480">
        <v>130.7</v>
      </c>
      <c r="K480">
        <v>79</v>
      </c>
      <c r="L480">
        <v>11.11</v>
      </c>
      <c r="M480">
        <v>193.4</v>
      </c>
      <c r="N480">
        <v>98</v>
      </c>
      <c r="O480">
        <v>8.7</v>
      </c>
      <c r="P480">
        <v>9.6</v>
      </c>
      <c r="Q480">
        <v>4</v>
      </c>
      <c r="R480">
        <v>2.59</v>
      </c>
      <c r="S480">
        <v>3</v>
      </c>
      <c r="T480" t="b">
        <v>0</v>
      </c>
      <c r="AK480">
        <v>206</v>
      </c>
    </row>
    <row r="481" spans="1:37">
      <c r="A481" t="s">
        <v>83</v>
      </c>
      <c r="B481">
        <v>84</v>
      </c>
      <c r="C481">
        <v>415</v>
      </c>
      <c r="D481" t="s">
        <v>62</v>
      </c>
      <c r="E481" t="s">
        <v>62</v>
      </c>
      <c r="F481">
        <v>0</v>
      </c>
      <c r="G481">
        <v>159</v>
      </c>
      <c r="H481">
        <v>80</v>
      </c>
      <c r="I481">
        <v>27.03</v>
      </c>
      <c r="J481">
        <v>167.9</v>
      </c>
      <c r="K481">
        <v>128</v>
      </c>
      <c r="L481">
        <v>14.27</v>
      </c>
      <c r="M481">
        <v>167.6</v>
      </c>
      <c r="N481">
        <v>101</v>
      </c>
      <c r="O481">
        <v>7.54</v>
      </c>
      <c r="P481">
        <v>12.3</v>
      </c>
      <c r="Q481">
        <v>5</v>
      </c>
      <c r="R481">
        <v>3.32</v>
      </c>
      <c r="S481">
        <v>1</v>
      </c>
      <c r="T481" t="b">
        <v>0</v>
      </c>
      <c r="AK481">
        <v>216.8</v>
      </c>
    </row>
    <row r="482" spans="1:37">
      <c r="A482" t="s">
        <v>64</v>
      </c>
      <c r="B482">
        <v>75</v>
      </c>
      <c r="C482">
        <v>510</v>
      </c>
      <c r="D482" t="s">
        <v>62</v>
      </c>
      <c r="E482" t="s">
        <v>63</v>
      </c>
      <c r="F482">
        <v>46</v>
      </c>
      <c r="G482">
        <v>214.1</v>
      </c>
      <c r="H482">
        <v>62</v>
      </c>
      <c r="I482">
        <v>36.4</v>
      </c>
      <c r="J482">
        <v>200.9</v>
      </c>
      <c r="K482">
        <v>111</v>
      </c>
      <c r="L482">
        <v>17.08</v>
      </c>
      <c r="M482">
        <v>246.8</v>
      </c>
      <c r="N482">
        <v>126</v>
      </c>
      <c r="O482">
        <v>11.11</v>
      </c>
      <c r="P482">
        <v>9.2</v>
      </c>
      <c r="Q482">
        <v>6</v>
      </c>
      <c r="R482">
        <v>2.48</v>
      </c>
      <c r="S482">
        <v>0</v>
      </c>
      <c r="T482" t="b">
        <v>0</v>
      </c>
      <c r="AK482">
        <v>103.3</v>
      </c>
    </row>
    <row r="483" spans="1:37">
      <c r="A483" t="s">
        <v>110</v>
      </c>
      <c r="B483">
        <v>102</v>
      </c>
      <c r="C483">
        <v>510</v>
      </c>
      <c r="D483" t="s">
        <v>62</v>
      </c>
      <c r="E483" t="s">
        <v>62</v>
      </c>
      <c r="F483">
        <v>0</v>
      </c>
      <c r="G483">
        <v>102.6</v>
      </c>
      <c r="H483">
        <v>89</v>
      </c>
      <c r="I483">
        <v>17.44</v>
      </c>
      <c r="J483">
        <v>246</v>
      </c>
      <c r="K483">
        <v>77</v>
      </c>
      <c r="L483">
        <v>20.91</v>
      </c>
      <c r="M483">
        <v>170.5</v>
      </c>
      <c r="N483">
        <v>140</v>
      </c>
      <c r="O483">
        <v>7.67</v>
      </c>
      <c r="P483">
        <v>9.1</v>
      </c>
      <c r="Q483">
        <v>4</v>
      </c>
      <c r="R483">
        <v>2.46</v>
      </c>
      <c r="S483">
        <v>2</v>
      </c>
      <c r="T483" t="b">
        <v>0</v>
      </c>
      <c r="AK483">
        <v>139.4</v>
      </c>
    </row>
    <row r="484" spans="1:37">
      <c r="A484" t="s">
        <v>68</v>
      </c>
      <c r="B484">
        <v>62</v>
      </c>
      <c r="C484">
        <v>415</v>
      </c>
      <c r="D484" t="s">
        <v>63</v>
      </c>
      <c r="E484" t="s">
        <v>62</v>
      </c>
      <c r="F484">
        <v>0</v>
      </c>
      <c r="G484">
        <v>159.7</v>
      </c>
      <c r="H484">
        <v>86</v>
      </c>
      <c r="I484">
        <v>27.15</v>
      </c>
      <c r="J484">
        <v>197.5</v>
      </c>
      <c r="K484">
        <v>76</v>
      </c>
      <c r="L484">
        <v>16.79</v>
      </c>
      <c r="M484">
        <v>121.6</v>
      </c>
      <c r="N484">
        <v>105</v>
      </c>
      <c r="O484">
        <v>5.47</v>
      </c>
      <c r="P484">
        <v>13.9</v>
      </c>
      <c r="Q484">
        <v>6</v>
      </c>
      <c r="R484">
        <v>3.75</v>
      </c>
      <c r="S484">
        <v>0</v>
      </c>
      <c r="T484" t="b">
        <v>1</v>
      </c>
      <c r="AK484">
        <v>191.2</v>
      </c>
    </row>
    <row r="485" spans="1:37">
      <c r="A485" t="s">
        <v>71</v>
      </c>
      <c r="B485">
        <v>143</v>
      </c>
      <c r="C485">
        <v>510</v>
      </c>
      <c r="D485" t="s">
        <v>62</v>
      </c>
      <c r="E485" t="s">
        <v>62</v>
      </c>
      <c r="F485">
        <v>0</v>
      </c>
      <c r="G485">
        <v>202.8</v>
      </c>
      <c r="H485">
        <v>109</v>
      </c>
      <c r="I485">
        <v>34.48</v>
      </c>
      <c r="J485">
        <v>165.8</v>
      </c>
      <c r="K485">
        <v>104</v>
      </c>
      <c r="L485">
        <v>14.09</v>
      </c>
      <c r="M485">
        <v>143.9</v>
      </c>
      <c r="N485">
        <v>71</v>
      </c>
      <c r="O485">
        <v>6.48</v>
      </c>
      <c r="P485">
        <v>4.6</v>
      </c>
      <c r="Q485">
        <v>4</v>
      </c>
      <c r="R485">
        <v>1.24</v>
      </c>
      <c r="S485">
        <v>1</v>
      </c>
      <c r="T485" t="b">
        <v>0</v>
      </c>
      <c r="AK485">
        <v>160</v>
      </c>
    </row>
    <row r="486" spans="1:37">
      <c r="A486" t="s">
        <v>110</v>
      </c>
      <c r="B486">
        <v>53</v>
      </c>
      <c r="C486">
        <v>415</v>
      </c>
      <c r="D486" t="s">
        <v>62</v>
      </c>
      <c r="E486" t="s">
        <v>62</v>
      </c>
      <c r="F486">
        <v>0</v>
      </c>
      <c r="G486">
        <v>57.5</v>
      </c>
      <c r="H486">
        <v>95</v>
      </c>
      <c r="I486">
        <v>9.78</v>
      </c>
      <c r="J486">
        <v>265.5</v>
      </c>
      <c r="K486">
        <v>131</v>
      </c>
      <c r="L486">
        <v>22.57</v>
      </c>
      <c r="M486">
        <v>244.3</v>
      </c>
      <c r="N486">
        <v>128</v>
      </c>
      <c r="O486">
        <v>10.99</v>
      </c>
      <c r="P486">
        <v>11.6</v>
      </c>
      <c r="Q486">
        <v>6</v>
      </c>
      <c r="R486">
        <v>3.13</v>
      </c>
      <c r="S486">
        <v>3</v>
      </c>
      <c r="T486" t="b">
        <v>0</v>
      </c>
      <c r="AK486">
        <v>221.7</v>
      </c>
    </row>
    <row r="487" spans="1:37">
      <c r="A487" t="s">
        <v>69</v>
      </c>
      <c r="B487">
        <v>112</v>
      </c>
      <c r="C487">
        <v>415</v>
      </c>
      <c r="D487" t="s">
        <v>62</v>
      </c>
      <c r="E487" t="s">
        <v>62</v>
      </c>
      <c r="F487">
        <v>0</v>
      </c>
      <c r="G487">
        <v>335.5</v>
      </c>
      <c r="H487">
        <v>77</v>
      </c>
      <c r="I487">
        <v>57.04</v>
      </c>
      <c r="J487">
        <v>212.5</v>
      </c>
      <c r="K487">
        <v>109</v>
      </c>
      <c r="L487">
        <v>18.06</v>
      </c>
      <c r="M487">
        <v>265</v>
      </c>
      <c r="N487">
        <v>132</v>
      </c>
      <c r="O487">
        <v>11.93</v>
      </c>
      <c r="P487">
        <v>12.7</v>
      </c>
      <c r="Q487">
        <v>8</v>
      </c>
      <c r="R487">
        <v>3.43</v>
      </c>
      <c r="S487">
        <v>2</v>
      </c>
      <c r="T487" t="b">
        <v>1</v>
      </c>
      <c r="AK487">
        <v>62.9</v>
      </c>
    </row>
    <row r="488" spans="1:37">
      <c r="A488" t="s">
        <v>73</v>
      </c>
      <c r="B488">
        <v>129</v>
      </c>
      <c r="C488">
        <v>415</v>
      </c>
      <c r="D488" t="s">
        <v>62</v>
      </c>
      <c r="E488" t="s">
        <v>62</v>
      </c>
      <c r="F488">
        <v>0</v>
      </c>
      <c r="G488">
        <v>139.5</v>
      </c>
      <c r="H488">
        <v>119</v>
      </c>
      <c r="I488">
        <v>23.72</v>
      </c>
      <c r="J488">
        <v>289.3</v>
      </c>
      <c r="K488">
        <v>105</v>
      </c>
      <c r="L488">
        <v>24.59</v>
      </c>
      <c r="M488">
        <v>129.4</v>
      </c>
      <c r="N488">
        <v>97</v>
      </c>
      <c r="O488">
        <v>5.82</v>
      </c>
      <c r="P488">
        <v>13.1</v>
      </c>
      <c r="Q488">
        <v>8</v>
      </c>
      <c r="R488">
        <v>3.54</v>
      </c>
      <c r="S488">
        <v>0</v>
      </c>
      <c r="T488" t="b">
        <v>0</v>
      </c>
      <c r="AK488">
        <v>215.6</v>
      </c>
    </row>
    <row r="489" spans="1:37">
      <c r="A489" t="s">
        <v>85</v>
      </c>
      <c r="B489">
        <v>28</v>
      </c>
      <c r="C489">
        <v>415</v>
      </c>
      <c r="D489" t="s">
        <v>62</v>
      </c>
      <c r="E489" t="s">
        <v>62</v>
      </c>
      <c r="F489">
        <v>0</v>
      </c>
      <c r="G489">
        <v>187.8</v>
      </c>
      <c r="H489">
        <v>94</v>
      </c>
      <c r="I489">
        <v>31.93</v>
      </c>
      <c r="J489">
        <v>248.6</v>
      </c>
      <c r="K489">
        <v>86</v>
      </c>
      <c r="L489">
        <v>21.13</v>
      </c>
      <c r="M489">
        <v>208.8</v>
      </c>
      <c r="N489">
        <v>124</v>
      </c>
      <c r="O489">
        <v>9.4</v>
      </c>
      <c r="P489">
        <v>10.6</v>
      </c>
      <c r="Q489">
        <v>5</v>
      </c>
      <c r="R489">
        <v>2.86</v>
      </c>
      <c r="S489">
        <v>0</v>
      </c>
      <c r="T489" t="b">
        <v>0</v>
      </c>
      <c r="AK489">
        <v>165.3</v>
      </c>
    </row>
    <row r="490" spans="1:37">
      <c r="A490" t="s">
        <v>107</v>
      </c>
      <c r="B490">
        <v>90</v>
      </c>
      <c r="C490">
        <v>415</v>
      </c>
      <c r="D490" t="s">
        <v>62</v>
      </c>
      <c r="E490" t="s">
        <v>62</v>
      </c>
      <c r="F490">
        <v>0</v>
      </c>
      <c r="G490">
        <v>193.7</v>
      </c>
      <c r="H490">
        <v>83</v>
      </c>
      <c r="I490">
        <v>32.93</v>
      </c>
      <c r="J490">
        <v>154.2</v>
      </c>
      <c r="K490">
        <v>79</v>
      </c>
      <c r="L490">
        <v>13.11</v>
      </c>
      <c r="M490">
        <v>299</v>
      </c>
      <c r="N490">
        <v>60</v>
      </c>
      <c r="O490">
        <v>13.46</v>
      </c>
      <c r="P490">
        <v>12.7</v>
      </c>
      <c r="Q490">
        <v>3</v>
      </c>
      <c r="R490">
        <v>3.43</v>
      </c>
      <c r="S490">
        <v>1</v>
      </c>
      <c r="T490" t="b">
        <v>0</v>
      </c>
      <c r="AK490">
        <v>203.2</v>
      </c>
    </row>
    <row r="491" spans="1:37">
      <c r="A491" t="s">
        <v>94</v>
      </c>
      <c r="B491">
        <v>151</v>
      </c>
      <c r="C491">
        <v>510</v>
      </c>
      <c r="D491" t="s">
        <v>62</v>
      </c>
      <c r="E491" t="s">
        <v>62</v>
      </c>
      <c r="F491">
        <v>0</v>
      </c>
      <c r="G491">
        <v>156.4</v>
      </c>
      <c r="H491">
        <v>108</v>
      </c>
      <c r="I491">
        <v>26.59</v>
      </c>
      <c r="J491">
        <v>233.4</v>
      </c>
      <c r="K491">
        <v>118</v>
      </c>
      <c r="L491">
        <v>19.84</v>
      </c>
      <c r="M491">
        <v>195.7</v>
      </c>
      <c r="N491">
        <v>141</v>
      </c>
      <c r="O491">
        <v>8.81</v>
      </c>
      <c r="P491">
        <v>7.7</v>
      </c>
      <c r="Q491">
        <v>6</v>
      </c>
      <c r="R491">
        <v>2.08</v>
      </c>
      <c r="S491">
        <v>4</v>
      </c>
      <c r="T491" t="b">
        <v>0</v>
      </c>
      <c r="AK491">
        <v>195.3</v>
      </c>
    </row>
    <row r="492" spans="1:37">
      <c r="A492" t="s">
        <v>105</v>
      </c>
      <c r="B492">
        <v>41</v>
      </c>
      <c r="C492">
        <v>408</v>
      </c>
      <c r="D492" t="s">
        <v>62</v>
      </c>
      <c r="E492" t="s">
        <v>63</v>
      </c>
      <c r="F492">
        <v>37</v>
      </c>
      <c r="G492">
        <v>239.8</v>
      </c>
      <c r="H492">
        <v>110</v>
      </c>
      <c r="I492">
        <v>40.77</v>
      </c>
      <c r="J492">
        <v>221.9</v>
      </c>
      <c r="K492">
        <v>115</v>
      </c>
      <c r="L492">
        <v>18.86</v>
      </c>
      <c r="M492">
        <v>189.1</v>
      </c>
      <c r="N492">
        <v>100</v>
      </c>
      <c r="O492">
        <v>8.51</v>
      </c>
      <c r="P492">
        <v>7.3</v>
      </c>
      <c r="Q492">
        <v>1</v>
      </c>
      <c r="R492">
        <v>1.97</v>
      </c>
      <c r="S492">
        <v>2</v>
      </c>
      <c r="T492" t="b">
        <v>0</v>
      </c>
      <c r="AK492">
        <v>143.7</v>
      </c>
    </row>
    <row r="493" spans="1:37">
      <c r="A493" t="s">
        <v>97</v>
      </c>
      <c r="B493">
        <v>48</v>
      </c>
      <c r="C493">
        <v>510</v>
      </c>
      <c r="D493" t="s">
        <v>62</v>
      </c>
      <c r="E493" t="s">
        <v>63</v>
      </c>
      <c r="F493">
        <v>43</v>
      </c>
      <c r="G493">
        <v>172</v>
      </c>
      <c r="H493">
        <v>111</v>
      </c>
      <c r="I493">
        <v>29.24</v>
      </c>
      <c r="J493">
        <v>200.2</v>
      </c>
      <c r="K493">
        <v>64</v>
      </c>
      <c r="L493">
        <v>17.02</v>
      </c>
      <c r="M493">
        <v>233.1</v>
      </c>
      <c r="N493">
        <v>96</v>
      </c>
      <c r="O493">
        <v>10.49</v>
      </c>
      <c r="P493">
        <v>8</v>
      </c>
      <c r="Q493">
        <v>5</v>
      </c>
      <c r="R493">
        <v>2.16</v>
      </c>
      <c r="S493">
        <v>1</v>
      </c>
      <c r="T493" t="b">
        <v>0</v>
      </c>
      <c r="AK493">
        <v>114.4</v>
      </c>
    </row>
    <row r="494" spans="1:37">
      <c r="A494" t="s">
        <v>79</v>
      </c>
      <c r="B494">
        <v>153</v>
      </c>
      <c r="C494">
        <v>510</v>
      </c>
      <c r="D494" t="s">
        <v>62</v>
      </c>
      <c r="E494" t="s">
        <v>62</v>
      </c>
      <c r="F494">
        <v>0</v>
      </c>
      <c r="G494">
        <v>195.4</v>
      </c>
      <c r="H494">
        <v>107</v>
      </c>
      <c r="I494">
        <v>33.22</v>
      </c>
      <c r="J494">
        <v>154.6</v>
      </c>
      <c r="K494">
        <v>96</v>
      </c>
      <c r="L494">
        <v>13.14</v>
      </c>
      <c r="M494">
        <v>142.8</v>
      </c>
      <c r="N494">
        <v>97</v>
      </c>
      <c r="O494">
        <v>6.43</v>
      </c>
      <c r="P494">
        <v>11.6</v>
      </c>
      <c r="Q494">
        <v>6</v>
      </c>
      <c r="R494">
        <v>3.13</v>
      </c>
      <c r="S494">
        <v>1</v>
      </c>
      <c r="T494" t="b">
        <v>0</v>
      </c>
      <c r="AK494">
        <v>175.9</v>
      </c>
    </row>
    <row r="495" spans="1:37">
      <c r="A495" t="s">
        <v>61</v>
      </c>
      <c r="B495">
        <v>110</v>
      </c>
      <c r="C495">
        <v>415</v>
      </c>
      <c r="D495" t="s">
        <v>63</v>
      </c>
      <c r="E495" t="s">
        <v>62</v>
      </c>
      <c r="F495">
        <v>0</v>
      </c>
      <c r="G495">
        <v>293.3</v>
      </c>
      <c r="H495">
        <v>79</v>
      </c>
      <c r="I495">
        <v>49.86</v>
      </c>
      <c r="J495">
        <v>188.5</v>
      </c>
      <c r="K495">
        <v>90</v>
      </c>
      <c r="L495">
        <v>16.02</v>
      </c>
      <c r="M495">
        <v>266.9</v>
      </c>
      <c r="N495">
        <v>91</v>
      </c>
      <c r="O495">
        <v>12.01</v>
      </c>
      <c r="P495">
        <v>14.5</v>
      </c>
      <c r="Q495">
        <v>4</v>
      </c>
      <c r="R495">
        <v>3.92</v>
      </c>
      <c r="S495">
        <v>0</v>
      </c>
      <c r="T495" t="b">
        <v>1</v>
      </c>
      <c r="AK495">
        <v>234.5</v>
      </c>
    </row>
    <row r="496" spans="1:37">
      <c r="A496" t="s">
        <v>61</v>
      </c>
      <c r="B496">
        <v>163</v>
      </c>
      <c r="C496">
        <v>415</v>
      </c>
      <c r="D496" t="s">
        <v>62</v>
      </c>
      <c r="E496" t="s">
        <v>62</v>
      </c>
      <c r="F496">
        <v>0</v>
      </c>
      <c r="G496">
        <v>191.3</v>
      </c>
      <c r="H496">
        <v>89</v>
      </c>
      <c r="I496">
        <v>32.52</v>
      </c>
      <c r="J496">
        <v>193.9</v>
      </c>
      <c r="K496">
        <v>87</v>
      </c>
      <c r="L496">
        <v>16.48</v>
      </c>
      <c r="M496">
        <v>268.4</v>
      </c>
      <c r="N496">
        <v>121</v>
      </c>
      <c r="O496">
        <v>12.08</v>
      </c>
      <c r="P496">
        <v>12.8</v>
      </c>
      <c r="Q496">
        <v>4</v>
      </c>
      <c r="R496">
        <v>3.46</v>
      </c>
      <c r="S496">
        <v>1</v>
      </c>
      <c r="T496" t="b">
        <v>0</v>
      </c>
      <c r="AK496">
        <v>210.7</v>
      </c>
    </row>
    <row r="497" spans="1:37">
      <c r="A497" t="s">
        <v>105</v>
      </c>
      <c r="B497">
        <v>126</v>
      </c>
      <c r="C497">
        <v>510</v>
      </c>
      <c r="D497" t="s">
        <v>62</v>
      </c>
      <c r="E497" t="s">
        <v>62</v>
      </c>
      <c r="F497">
        <v>0</v>
      </c>
      <c r="G497">
        <v>122.4</v>
      </c>
      <c r="H497">
        <v>88</v>
      </c>
      <c r="I497">
        <v>20.81</v>
      </c>
      <c r="J497">
        <v>143.8</v>
      </c>
      <c r="K497">
        <v>111</v>
      </c>
      <c r="L497">
        <v>12.22</v>
      </c>
      <c r="M497">
        <v>157</v>
      </c>
      <c r="N497">
        <v>106</v>
      </c>
      <c r="O497">
        <v>7.07</v>
      </c>
      <c r="P497">
        <v>11.5</v>
      </c>
      <c r="Q497">
        <v>3</v>
      </c>
      <c r="R497">
        <v>3.11</v>
      </c>
      <c r="S497">
        <v>1</v>
      </c>
      <c r="T497" t="b">
        <v>0</v>
      </c>
      <c r="AK497">
        <v>182.3</v>
      </c>
    </row>
    <row r="498" spans="1:37">
      <c r="A498" t="s">
        <v>105</v>
      </c>
      <c r="B498">
        <v>126</v>
      </c>
      <c r="C498">
        <v>415</v>
      </c>
      <c r="D498" t="s">
        <v>62</v>
      </c>
      <c r="E498" t="s">
        <v>62</v>
      </c>
      <c r="F498">
        <v>0</v>
      </c>
      <c r="G498">
        <v>161.4</v>
      </c>
      <c r="H498">
        <v>110</v>
      </c>
      <c r="I498">
        <v>27.44</v>
      </c>
      <c r="J498">
        <v>220.6</v>
      </c>
      <c r="K498">
        <v>125</v>
      </c>
      <c r="L498">
        <v>18.75</v>
      </c>
      <c r="M498">
        <v>249.2</v>
      </c>
      <c r="N498">
        <v>78</v>
      </c>
      <c r="O498">
        <v>11.21</v>
      </c>
      <c r="P498">
        <v>5.1</v>
      </c>
      <c r="Q498">
        <v>2</v>
      </c>
      <c r="R498">
        <v>1.38</v>
      </c>
      <c r="S498">
        <v>0</v>
      </c>
      <c r="T498" t="b">
        <v>0</v>
      </c>
      <c r="AK498">
        <v>190.3</v>
      </c>
    </row>
    <row r="499" spans="1:37">
      <c r="A499" t="s">
        <v>80</v>
      </c>
      <c r="B499">
        <v>97</v>
      </c>
      <c r="C499">
        <v>510</v>
      </c>
      <c r="D499" t="s">
        <v>62</v>
      </c>
      <c r="E499" t="s">
        <v>62</v>
      </c>
      <c r="F499">
        <v>0</v>
      </c>
      <c r="G499">
        <v>144.2</v>
      </c>
      <c r="H499">
        <v>91</v>
      </c>
      <c r="I499">
        <v>24.51</v>
      </c>
      <c r="J499">
        <v>226.7</v>
      </c>
      <c r="K499">
        <v>137</v>
      </c>
      <c r="L499">
        <v>19.27</v>
      </c>
      <c r="M499">
        <v>144.6</v>
      </c>
      <c r="N499">
        <v>72</v>
      </c>
      <c r="O499">
        <v>6.51</v>
      </c>
      <c r="P499">
        <v>13.8</v>
      </c>
      <c r="Q499">
        <v>4</v>
      </c>
      <c r="R499">
        <v>3.73</v>
      </c>
      <c r="S499">
        <v>3</v>
      </c>
      <c r="T499" t="b">
        <v>0</v>
      </c>
      <c r="AK499">
        <v>177.1</v>
      </c>
    </row>
    <row r="500" spans="1:37">
      <c r="A500" t="s">
        <v>65</v>
      </c>
      <c r="B500">
        <v>95</v>
      </c>
      <c r="C500">
        <v>408</v>
      </c>
      <c r="D500" t="s">
        <v>63</v>
      </c>
      <c r="E500" t="s">
        <v>63</v>
      </c>
      <c r="F500">
        <v>37</v>
      </c>
      <c r="G500">
        <v>220.2</v>
      </c>
      <c r="H500">
        <v>109</v>
      </c>
      <c r="I500">
        <v>37.43</v>
      </c>
      <c r="J500">
        <v>185.3</v>
      </c>
      <c r="K500">
        <v>99</v>
      </c>
      <c r="L500">
        <v>15.75</v>
      </c>
      <c r="M500">
        <v>205.1</v>
      </c>
      <c r="N500">
        <v>82</v>
      </c>
      <c r="O500">
        <v>9.23</v>
      </c>
      <c r="P500">
        <v>4.1</v>
      </c>
      <c r="Q500">
        <v>2</v>
      </c>
      <c r="R500">
        <v>1.11</v>
      </c>
      <c r="S500">
        <v>0</v>
      </c>
      <c r="T500" t="b">
        <v>1</v>
      </c>
      <c r="AK500">
        <v>215.6</v>
      </c>
    </row>
    <row r="501" spans="1:37">
      <c r="A501" t="s">
        <v>95</v>
      </c>
      <c r="B501">
        <v>87</v>
      </c>
      <c r="C501">
        <v>510</v>
      </c>
      <c r="D501" t="s">
        <v>62</v>
      </c>
      <c r="E501" t="s">
        <v>62</v>
      </c>
      <c r="F501">
        <v>0</v>
      </c>
      <c r="G501">
        <v>256.2</v>
      </c>
      <c r="H501">
        <v>105</v>
      </c>
      <c r="I501">
        <v>43.55</v>
      </c>
      <c r="J501">
        <v>160.7</v>
      </c>
      <c r="K501">
        <v>102</v>
      </c>
      <c r="L501">
        <v>13.66</v>
      </c>
      <c r="M501">
        <v>249.4</v>
      </c>
      <c r="N501">
        <v>80</v>
      </c>
      <c r="O501">
        <v>11.22</v>
      </c>
      <c r="P501">
        <v>7.4</v>
      </c>
      <c r="Q501">
        <v>2</v>
      </c>
      <c r="R501">
        <v>2</v>
      </c>
      <c r="S501">
        <v>4</v>
      </c>
      <c r="T501" t="b">
        <v>0</v>
      </c>
      <c r="AK501">
        <v>137.4</v>
      </c>
    </row>
    <row r="502" spans="1:37">
      <c r="A502" t="s">
        <v>78</v>
      </c>
      <c r="B502">
        <v>97</v>
      </c>
      <c r="C502">
        <v>415</v>
      </c>
      <c r="D502" t="s">
        <v>62</v>
      </c>
      <c r="E502" t="s">
        <v>62</v>
      </c>
      <c r="F502">
        <v>0</v>
      </c>
      <c r="G502">
        <v>112.7</v>
      </c>
      <c r="H502">
        <v>119</v>
      </c>
      <c r="I502">
        <v>19.16</v>
      </c>
      <c r="J502">
        <v>217.7</v>
      </c>
      <c r="K502">
        <v>109</v>
      </c>
      <c r="L502">
        <v>18.5</v>
      </c>
      <c r="M502">
        <v>152.1</v>
      </c>
      <c r="N502">
        <v>76</v>
      </c>
      <c r="O502">
        <v>6.84</v>
      </c>
      <c r="P502">
        <v>6.5</v>
      </c>
      <c r="Q502">
        <v>5</v>
      </c>
      <c r="R502">
        <v>1.76</v>
      </c>
      <c r="S502">
        <v>1</v>
      </c>
      <c r="T502" t="b">
        <v>0</v>
      </c>
      <c r="AK502">
        <v>192.8</v>
      </c>
    </row>
    <row r="503" spans="1:37">
      <c r="A503" t="s">
        <v>89</v>
      </c>
      <c r="B503">
        <v>76</v>
      </c>
      <c r="C503">
        <v>415</v>
      </c>
      <c r="D503" t="s">
        <v>62</v>
      </c>
      <c r="E503" t="s">
        <v>62</v>
      </c>
      <c r="F503">
        <v>0</v>
      </c>
      <c r="G503">
        <v>299.5</v>
      </c>
      <c r="H503">
        <v>125</v>
      </c>
      <c r="I503">
        <v>50.92</v>
      </c>
      <c r="J503">
        <v>226.7</v>
      </c>
      <c r="K503">
        <v>92</v>
      </c>
      <c r="L503">
        <v>19.27</v>
      </c>
      <c r="M503">
        <v>210.7</v>
      </c>
      <c r="N503">
        <v>134</v>
      </c>
      <c r="O503">
        <v>9.48</v>
      </c>
      <c r="P503">
        <v>13.7</v>
      </c>
      <c r="Q503">
        <v>4</v>
      </c>
      <c r="R503">
        <v>3.7</v>
      </c>
      <c r="S503">
        <v>0</v>
      </c>
      <c r="T503" t="b">
        <v>1</v>
      </c>
      <c r="AK503">
        <v>149.3</v>
      </c>
    </row>
    <row r="504" spans="1:37">
      <c r="A504" t="s">
        <v>80</v>
      </c>
      <c r="B504">
        <v>140</v>
      </c>
      <c r="C504">
        <v>408</v>
      </c>
      <c r="D504" t="s">
        <v>62</v>
      </c>
      <c r="E504" t="s">
        <v>62</v>
      </c>
      <c r="F504">
        <v>0</v>
      </c>
      <c r="G504">
        <v>194.8</v>
      </c>
      <c r="H504">
        <v>107</v>
      </c>
      <c r="I504">
        <v>33.12</v>
      </c>
      <c r="J504">
        <v>170.9</v>
      </c>
      <c r="K504">
        <v>99</v>
      </c>
      <c r="L504">
        <v>14.53</v>
      </c>
      <c r="M504">
        <v>225.1</v>
      </c>
      <c r="N504">
        <v>93</v>
      </c>
      <c r="O504">
        <v>10.13</v>
      </c>
      <c r="P504">
        <v>13.9</v>
      </c>
      <c r="Q504">
        <v>4</v>
      </c>
      <c r="R504">
        <v>3.75</v>
      </c>
      <c r="S504">
        <v>0</v>
      </c>
      <c r="T504" t="b">
        <v>0</v>
      </c>
      <c r="AK504">
        <v>143.7</v>
      </c>
    </row>
    <row r="505" spans="1:37">
      <c r="A505" t="s">
        <v>76</v>
      </c>
      <c r="B505">
        <v>169</v>
      </c>
      <c r="C505">
        <v>415</v>
      </c>
      <c r="D505" t="s">
        <v>62</v>
      </c>
      <c r="E505" t="s">
        <v>62</v>
      </c>
      <c r="F505">
        <v>0</v>
      </c>
      <c r="G505">
        <v>100.8</v>
      </c>
      <c r="H505">
        <v>112</v>
      </c>
      <c r="I505">
        <v>17.14</v>
      </c>
      <c r="J505">
        <v>230</v>
      </c>
      <c r="K505">
        <v>69</v>
      </c>
      <c r="L505">
        <v>19.55</v>
      </c>
      <c r="M505">
        <v>193.6</v>
      </c>
      <c r="N505">
        <v>95</v>
      </c>
      <c r="O505">
        <v>8.71</v>
      </c>
      <c r="P505">
        <v>9.5</v>
      </c>
      <c r="Q505">
        <v>2</v>
      </c>
      <c r="R505">
        <v>2.57</v>
      </c>
      <c r="S505">
        <v>0</v>
      </c>
      <c r="T505" t="b">
        <v>0</v>
      </c>
      <c r="AK505">
        <v>207.2</v>
      </c>
    </row>
    <row r="506" spans="1:37">
      <c r="A506" t="s">
        <v>115</v>
      </c>
      <c r="B506">
        <v>68</v>
      </c>
      <c r="C506">
        <v>408</v>
      </c>
      <c r="D506" t="s">
        <v>62</v>
      </c>
      <c r="E506" t="s">
        <v>63</v>
      </c>
      <c r="F506">
        <v>22</v>
      </c>
      <c r="G506">
        <v>82.5</v>
      </c>
      <c r="H506">
        <v>97</v>
      </c>
      <c r="I506">
        <v>14.03</v>
      </c>
      <c r="J506">
        <v>289.9</v>
      </c>
      <c r="K506">
        <v>94</v>
      </c>
      <c r="L506">
        <v>24.64</v>
      </c>
      <c r="M506">
        <v>180</v>
      </c>
      <c r="N506">
        <v>114</v>
      </c>
      <c r="O506">
        <v>8.1</v>
      </c>
      <c r="P506">
        <v>4.8</v>
      </c>
      <c r="Q506">
        <v>4</v>
      </c>
      <c r="R506">
        <v>1.3</v>
      </c>
      <c r="S506">
        <v>3</v>
      </c>
      <c r="T506" t="b">
        <v>0</v>
      </c>
      <c r="AK506">
        <v>300.4</v>
      </c>
    </row>
    <row r="507" spans="1:37">
      <c r="A507" t="s">
        <v>65</v>
      </c>
      <c r="B507">
        <v>122</v>
      </c>
      <c r="C507">
        <v>415</v>
      </c>
      <c r="D507" t="s">
        <v>62</v>
      </c>
      <c r="E507" t="s">
        <v>63</v>
      </c>
      <c r="F507">
        <v>34</v>
      </c>
      <c r="G507">
        <v>146.4</v>
      </c>
      <c r="H507">
        <v>104</v>
      </c>
      <c r="I507">
        <v>24.89</v>
      </c>
      <c r="J507">
        <v>89.7</v>
      </c>
      <c r="K507">
        <v>103</v>
      </c>
      <c r="L507">
        <v>7.62</v>
      </c>
      <c r="M507">
        <v>220</v>
      </c>
      <c r="N507">
        <v>91</v>
      </c>
      <c r="O507">
        <v>9.9</v>
      </c>
      <c r="P507">
        <v>15.6</v>
      </c>
      <c r="Q507">
        <v>4</v>
      </c>
      <c r="R507">
        <v>4.21</v>
      </c>
      <c r="S507">
        <v>2</v>
      </c>
      <c r="T507" t="b">
        <v>0</v>
      </c>
      <c r="AK507">
        <v>229.6</v>
      </c>
    </row>
    <row r="508" spans="1:37">
      <c r="A508" t="s">
        <v>69</v>
      </c>
      <c r="B508">
        <v>36</v>
      </c>
      <c r="C508">
        <v>408</v>
      </c>
      <c r="D508" t="s">
        <v>62</v>
      </c>
      <c r="E508" t="s">
        <v>62</v>
      </c>
      <c r="F508">
        <v>0</v>
      </c>
      <c r="G508">
        <v>177.9</v>
      </c>
      <c r="H508">
        <v>129</v>
      </c>
      <c r="I508">
        <v>30.24</v>
      </c>
      <c r="J508">
        <v>224.6</v>
      </c>
      <c r="K508">
        <v>87</v>
      </c>
      <c r="L508">
        <v>19.09</v>
      </c>
      <c r="M508">
        <v>306.3</v>
      </c>
      <c r="N508">
        <v>102</v>
      </c>
      <c r="O508">
        <v>13.78</v>
      </c>
      <c r="P508">
        <v>10.8</v>
      </c>
      <c r="Q508">
        <v>6</v>
      </c>
      <c r="R508">
        <v>2.92</v>
      </c>
      <c r="S508">
        <v>2</v>
      </c>
      <c r="T508" t="b">
        <v>0</v>
      </c>
      <c r="AK508">
        <v>187.5</v>
      </c>
    </row>
    <row r="509" spans="1:37">
      <c r="A509" t="s">
        <v>82</v>
      </c>
      <c r="B509">
        <v>120</v>
      </c>
      <c r="C509">
        <v>510</v>
      </c>
      <c r="D509" t="s">
        <v>62</v>
      </c>
      <c r="E509" t="s">
        <v>63</v>
      </c>
      <c r="F509">
        <v>27</v>
      </c>
      <c r="G509">
        <v>153.5</v>
      </c>
      <c r="H509">
        <v>84</v>
      </c>
      <c r="I509">
        <v>26.1</v>
      </c>
      <c r="J509">
        <v>194</v>
      </c>
      <c r="K509">
        <v>73</v>
      </c>
      <c r="L509">
        <v>16.49</v>
      </c>
      <c r="M509">
        <v>256.5</v>
      </c>
      <c r="N509">
        <v>94</v>
      </c>
      <c r="O509">
        <v>11.54</v>
      </c>
      <c r="P509">
        <v>10.2</v>
      </c>
      <c r="Q509">
        <v>7</v>
      </c>
      <c r="R509">
        <v>2.75</v>
      </c>
      <c r="S509">
        <v>5</v>
      </c>
      <c r="T509" t="b">
        <v>0</v>
      </c>
      <c r="AK509">
        <v>57.1</v>
      </c>
    </row>
    <row r="510" spans="1:37">
      <c r="A510" t="s">
        <v>100</v>
      </c>
      <c r="B510">
        <v>64</v>
      </c>
      <c r="C510">
        <v>408</v>
      </c>
      <c r="D510" t="s">
        <v>62</v>
      </c>
      <c r="E510" t="s">
        <v>63</v>
      </c>
      <c r="F510">
        <v>19</v>
      </c>
      <c r="G510">
        <v>180.1</v>
      </c>
      <c r="H510">
        <v>106</v>
      </c>
      <c r="I510">
        <v>30.62</v>
      </c>
      <c r="J510">
        <v>127.5</v>
      </c>
      <c r="K510">
        <v>92</v>
      </c>
      <c r="L510">
        <v>10.84</v>
      </c>
      <c r="M510">
        <v>237.4</v>
      </c>
      <c r="N510">
        <v>118</v>
      </c>
      <c r="O510">
        <v>10.68</v>
      </c>
      <c r="P510">
        <v>7.5</v>
      </c>
      <c r="Q510">
        <v>3</v>
      </c>
      <c r="R510">
        <v>2.03</v>
      </c>
      <c r="S510">
        <v>0</v>
      </c>
      <c r="T510" t="b">
        <v>0</v>
      </c>
      <c r="AK510">
        <v>159.5</v>
      </c>
    </row>
    <row r="511" spans="1:37">
      <c r="A511" t="s">
        <v>76</v>
      </c>
      <c r="B511">
        <v>13</v>
      </c>
      <c r="C511">
        <v>415</v>
      </c>
      <c r="D511" t="s">
        <v>62</v>
      </c>
      <c r="E511" t="s">
        <v>63</v>
      </c>
      <c r="F511">
        <v>31</v>
      </c>
      <c r="G511">
        <v>265.3</v>
      </c>
      <c r="H511">
        <v>94</v>
      </c>
      <c r="I511">
        <v>45.1</v>
      </c>
      <c r="J511">
        <v>147.6</v>
      </c>
      <c r="K511">
        <v>95</v>
      </c>
      <c r="L511">
        <v>12.55</v>
      </c>
      <c r="M511">
        <v>259.3</v>
      </c>
      <c r="N511">
        <v>117</v>
      </c>
      <c r="O511">
        <v>11.67</v>
      </c>
      <c r="P511">
        <v>12.9</v>
      </c>
      <c r="Q511">
        <v>1</v>
      </c>
      <c r="R511">
        <v>3.48</v>
      </c>
      <c r="S511">
        <v>1</v>
      </c>
      <c r="T511" t="b">
        <v>0</v>
      </c>
      <c r="AK511">
        <v>190.7</v>
      </c>
    </row>
    <row r="512" spans="1:37">
      <c r="A512" t="s">
        <v>95</v>
      </c>
      <c r="B512">
        <v>106</v>
      </c>
      <c r="C512">
        <v>415</v>
      </c>
      <c r="D512" t="s">
        <v>62</v>
      </c>
      <c r="E512" t="s">
        <v>62</v>
      </c>
      <c r="F512">
        <v>0</v>
      </c>
      <c r="G512">
        <v>128.6</v>
      </c>
      <c r="H512">
        <v>83</v>
      </c>
      <c r="I512">
        <v>21.86</v>
      </c>
      <c r="J512">
        <v>134</v>
      </c>
      <c r="K512">
        <v>114</v>
      </c>
      <c r="L512">
        <v>11.39</v>
      </c>
      <c r="M512">
        <v>210.6</v>
      </c>
      <c r="N512">
        <v>113</v>
      </c>
      <c r="O512">
        <v>9.48</v>
      </c>
      <c r="P512">
        <v>11.4</v>
      </c>
      <c r="Q512">
        <v>2</v>
      </c>
      <c r="R512">
        <v>3.08</v>
      </c>
      <c r="S512">
        <v>0</v>
      </c>
      <c r="T512" t="b">
        <v>0</v>
      </c>
      <c r="AK512">
        <v>230.6</v>
      </c>
    </row>
    <row r="513" spans="1:37">
      <c r="A513" t="s">
        <v>79</v>
      </c>
      <c r="B513">
        <v>74</v>
      </c>
      <c r="C513">
        <v>408</v>
      </c>
      <c r="D513" t="s">
        <v>62</v>
      </c>
      <c r="E513" t="s">
        <v>62</v>
      </c>
      <c r="F513">
        <v>0</v>
      </c>
      <c r="G513">
        <v>165.3</v>
      </c>
      <c r="H513">
        <v>120</v>
      </c>
      <c r="I513">
        <v>28.1</v>
      </c>
      <c r="J513">
        <v>198.5</v>
      </c>
      <c r="K513">
        <v>106</v>
      </c>
      <c r="L513">
        <v>16.87</v>
      </c>
      <c r="M513">
        <v>208.5</v>
      </c>
      <c r="N513">
        <v>102</v>
      </c>
      <c r="O513">
        <v>9.38</v>
      </c>
      <c r="P513">
        <v>9.8</v>
      </c>
      <c r="Q513">
        <v>3</v>
      </c>
      <c r="R513">
        <v>2.65</v>
      </c>
      <c r="S513">
        <v>1</v>
      </c>
      <c r="T513" t="b">
        <v>0</v>
      </c>
      <c r="AK513">
        <v>34</v>
      </c>
    </row>
    <row r="514" spans="1:37">
      <c r="A514" t="s">
        <v>86</v>
      </c>
      <c r="B514">
        <v>83</v>
      </c>
      <c r="C514">
        <v>415</v>
      </c>
      <c r="D514" t="s">
        <v>62</v>
      </c>
      <c r="E514" t="s">
        <v>62</v>
      </c>
      <c r="F514">
        <v>0</v>
      </c>
      <c r="G514">
        <v>195</v>
      </c>
      <c r="H514">
        <v>92</v>
      </c>
      <c r="I514">
        <v>33.15</v>
      </c>
      <c r="J514">
        <v>210.5</v>
      </c>
      <c r="K514">
        <v>83</v>
      </c>
      <c r="L514">
        <v>17.89</v>
      </c>
      <c r="M514">
        <v>180.6</v>
      </c>
      <c r="N514">
        <v>92</v>
      </c>
      <c r="O514">
        <v>8.13</v>
      </c>
      <c r="P514">
        <v>11</v>
      </c>
      <c r="Q514">
        <v>13</v>
      </c>
      <c r="R514">
        <v>2.97</v>
      </c>
      <c r="S514">
        <v>0</v>
      </c>
      <c r="T514" t="b">
        <v>0</v>
      </c>
      <c r="AK514">
        <v>193.4</v>
      </c>
    </row>
    <row r="515" spans="1:37">
      <c r="A515" t="s">
        <v>66</v>
      </c>
      <c r="B515">
        <v>49</v>
      </c>
      <c r="C515">
        <v>415</v>
      </c>
      <c r="D515" t="s">
        <v>62</v>
      </c>
      <c r="E515" t="s">
        <v>62</v>
      </c>
      <c r="F515">
        <v>0</v>
      </c>
      <c r="G515">
        <v>213.8</v>
      </c>
      <c r="H515">
        <v>79</v>
      </c>
      <c r="I515">
        <v>36.35</v>
      </c>
      <c r="J515">
        <v>265.1</v>
      </c>
      <c r="K515">
        <v>93</v>
      </c>
      <c r="L515">
        <v>22.53</v>
      </c>
      <c r="M515">
        <v>239.8</v>
      </c>
      <c r="N515">
        <v>128</v>
      </c>
      <c r="O515">
        <v>10.79</v>
      </c>
      <c r="P515">
        <v>15.6</v>
      </c>
      <c r="Q515">
        <v>7</v>
      </c>
      <c r="R515">
        <v>4.21</v>
      </c>
      <c r="S515">
        <v>0</v>
      </c>
      <c r="T515" t="b">
        <v>0</v>
      </c>
      <c r="AK515">
        <v>202</v>
      </c>
    </row>
    <row r="516" spans="1:37">
      <c r="A516" t="s">
        <v>82</v>
      </c>
      <c r="B516">
        <v>111</v>
      </c>
      <c r="C516">
        <v>510</v>
      </c>
      <c r="D516" t="s">
        <v>62</v>
      </c>
      <c r="E516" t="s">
        <v>63</v>
      </c>
      <c r="F516">
        <v>24</v>
      </c>
      <c r="G516">
        <v>205.5</v>
      </c>
      <c r="H516">
        <v>114</v>
      </c>
      <c r="I516">
        <v>34.94</v>
      </c>
      <c r="J516">
        <v>219.3</v>
      </c>
      <c r="K516">
        <v>99</v>
      </c>
      <c r="L516">
        <v>18.64</v>
      </c>
      <c r="M516">
        <v>215.9</v>
      </c>
      <c r="N516">
        <v>95</v>
      </c>
      <c r="O516">
        <v>9.72</v>
      </c>
      <c r="P516">
        <v>14</v>
      </c>
      <c r="Q516">
        <v>4</v>
      </c>
      <c r="R516">
        <v>3.78</v>
      </c>
      <c r="S516">
        <v>1</v>
      </c>
      <c r="T516" t="b">
        <v>0</v>
      </c>
      <c r="AK516">
        <v>191.7</v>
      </c>
    </row>
    <row r="517" spans="1:37">
      <c r="A517" t="s">
        <v>76</v>
      </c>
      <c r="B517">
        <v>50</v>
      </c>
      <c r="C517">
        <v>415</v>
      </c>
      <c r="D517" t="s">
        <v>62</v>
      </c>
      <c r="E517" t="s">
        <v>63</v>
      </c>
      <c r="F517">
        <v>22</v>
      </c>
      <c r="G517">
        <v>252.9</v>
      </c>
      <c r="H517">
        <v>112</v>
      </c>
      <c r="I517">
        <v>42.99</v>
      </c>
      <c r="J517">
        <v>177.9</v>
      </c>
      <c r="K517">
        <v>99</v>
      </c>
      <c r="L517">
        <v>15.12</v>
      </c>
      <c r="M517">
        <v>158.4</v>
      </c>
      <c r="N517">
        <v>146</v>
      </c>
      <c r="O517">
        <v>7.13</v>
      </c>
      <c r="P517">
        <v>8.5</v>
      </c>
      <c r="Q517">
        <v>4</v>
      </c>
      <c r="R517">
        <v>2.3</v>
      </c>
      <c r="S517">
        <v>3</v>
      </c>
      <c r="T517" t="b">
        <v>0</v>
      </c>
      <c r="AK517">
        <v>161.3</v>
      </c>
    </row>
    <row r="518" spans="1:37">
      <c r="A518" t="s">
        <v>108</v>
      </c>
      <c r="B518">
        <v>88</v>
      </c>
      <c r="C518">
        <v>415</v>
      </c>
      <c r="D518" t="s">
        <v>62</v>
      </c>
      <c r="E518" t="s">
        <v>62</v>
      </c>
      <c r="F518">
        <v>0</v>
      </c>
      <c r="G518">
        <v>192</v>
      </c>
      <c r="H518">
        <v>91</v>
      </c>
      <c r="I518">
        <v>32.64</v>
      </c>
      <c r="J518">
        <v>127.6</v>
      </c>
      <c r="K518">
        <v>127</v>
      </c>
      <c r="L518">
        <v>10.85</v>
      </c>
      <c r="M518">
        <v>155.6</v>
      </c>
      <c r="N518">
        <v>125</v>
      </c>
      <c r="O518">
        <v>7</v>
      </c>
      <c r="P518">
        <v>7.5</v>
      </c>
      <c r="Q518">
        <v>5</v>
      </c>
      <c r="R518">
        <v>2.03</v>
      </c>
      <c r="S518">
        <v>1</v>
      </c>
      <c r="T518" t="b">
        <v>0</v>
      </c>
      <c r="AK518">
        <v>150.6</v>
      </c>
    </row>
    <row r="519" spans="1:37">
      <c r="A519" t="s">
        <v>93</v>
      </c>
      <c r="B519">
        <v>131</v>
      </c>
      <c r="C519">
        <v>415</v>
      </c>
      <c r="D519" t="s">
        <v>62</v>
      </c>
      <c r="E519" t="s">
        <v>63</v>
      </c>
      <c r="F519">
        <v>39</v>
      </c>
      <c r="G519">
        <v>69.1</v>
      </c>
      <c r="H519">
        <v>122</v>
      </c>
      <c r="I519">
        <v>11.75</v>
      </c>
      <c r="J519">
        <v>101.3</v>
      </c>
      <c r="K519">
        <v>136</v>
      </c>
      <c r="L519">
        <v>8.61</v>
      </c>
      <c r="M519">
        <v>104.8</v>
      </c>
      <c r="N519">
        <v>94</v>
      </c>
      <c r="O519">
        <v>4.72</v>
      </c>
      <c r="P519">
        <v>9.1</v>
      </c>
      <c r="Q519">
        <v>4</v>
      </c>
      <c r="R519">
        <v>2.46</v>
      </c>
      <c r="S519">
        <v>0</v>
      </c>
      <c r="T519" t="b">
        <v>0</v>
      </c>
      <c r="AK519">
        <v>184.6</v>
      </c>
    </row>
    <row r="520" spans="1:37">
      <c r="A520" t="s">
        <v>69</v>
      </c>
      <c r="B520">
        <v>79</v>
      </c>
      <c r="C520">
        <v>408</v>
      </c>
      <c r="D520" t="s">
        <v>62</v>
      </c>
      <c r="E520" t="s">
        <v>62</v>
      </c>
      <c r="F520">
        <v>0</v>
      </c>
      <c r="G520">
        <v>261.7</v>
      </c>
      <c r="H520">
        <v>97</v>
      </c>
      <c r="I520">
        <v>44.49</v>
      </c>
      <c r="J520">
        <v>210.6</v>
      </c>
      <c r="K520">
        <v>48</v>
      </c>
      <c r="L520">
        <v>17.9</v>
      </c>
      <c r="M520">
        <v>256.7</v>
      </c>
      <c r="N520">
        <v>83</v>
      </c>
      <c r="O520">
        <v>11.55</v>
      </c>
      <c r="P520">
        <v>6</v>
      </c>
      <c r="Q520">
        <v>3</v>
      </c>
      <c r="R520">
        <v>1.62</v>
      </c>
      <c r="S520">
        <v>3</v>
      </c>
      <c r="T520" t="b">
        <v>1</v>
      </c>
      <c r="AK520">
        <v>220.7</v>
      </c>
    </row>
    <row r="521" spans="1:37">
      <c r="A521" t="s">
        <v>106</v>
      </c>
      <c r="B521">
        <v>140</v>
      </c>
      <c r="C521">
        <v>415</v>
      </c>
      <c r="D521" t="s">
        <v>62</v>
      </c>
      <c r="E521" t="s">
        <v>62</v>
      </c>
      <c r="F521">
        <v>0</v>
      </c>
      <c r="G521">
        <v>235.5</v>
      </c>
      <c r="H521">
        <v>81</v>
      </c>
      <c r="I521">
        <v>40.04</v>
      </c>
      <c r="J521">
        <v>257.2</v>
      </c>
      <c r="K521">
        <v>130</v>
      </c>
      <c r="L521">
        <v>21.86</v>
      </c>
      <c r="M521">
        <v>103.1</v>
      </c>
      <c r="N521">
        <v>111</v>
      </c>
      <c r="O521">
        <v>4.64</v>
      </c>
      <c r="P521">
        <v>11.5</v>
      </c>
      <c r="Q521">
        <v>4</v>
      </c>
      <c r="R521">
        <v>3.11</v>
      </c>
      <c r="S521">
        <v>2</v>
      </c>
      <c r="T521" t="b">
        <v>0</v>
      </c>
      <c r="AK521">
        <v>154</v>
      </c>
    </row>
    <row r="522" spans="1:37">
      <c r="A522" t="s">
        <v>116</v>
      </c>
      <c r="B522">
        <v>105</v>
      </c>
      <c r="C522">
        <v>408</v>
      </c>
      <c r="D522" t="s">
        <v>62</v>
      </c>
      <c r="E522" t="s">
        <v>62</v>
      </c>
      <c r="F522">
        <v>0</v>
      </c>
      <c r="G522">
        <v>213.4</v>
      </c>
      <c r="H522">
        <v>100</v>
      </c>
      <c r="I522">
        <v>36.28</v>
      </c>
      <c r="J522">
        <v>204.9</v>
      </c>
      <c r="K522">
        <v>52</v>
      </c>
      <c r="L522">
        <v>17.42</v>
      </c>
      <c r="M522">
        <v>179.7</v>
      </c>
      <c r="N522">
        <v>93</v>
      </c>
      <c r="O522">
        <v>8.09</v>
      </c>
      <c r="P522">
        <v>9.5</v>
      </c>
      <c r="Q522">
        <v>6</v>
      </c>
      <c r="R522">
        <v>2.57</v>
      </c>
      <c r="S522">
        <v>1</v>
      </c>
      <c r="T522" t="b">
        <v>0</v>
      </c>
      <c r="AK522">
        <v>121.1</v>
      </c>
    </row>
    <row r="523" spans="1:37">
      <c r="A523" t="s">
        <v>85</v>
      </c>
      <c r="B523">
        <v>87</v>
      </c>
      <c r="C523">
        <v>415</v>
      </c>
      <c r="D523" t="s">
        <v>62</v>
      </c>
      <c r="E523" t="s">
        <v>63</v>
      </c>
      <c r="F523">
        <v>22</v>
      </c>
      <c r="G523">
        <v>263.8</v>
      </c>
      <c r="H523">
        <v>65</v>
      </c>
      <c r="I523">
        <v>44.85</v>
      </c>
      <c r="J523">
        <v>103.4</v>
      </c>
      <c r="K523">
        <v>115</v>
      </c>
      <c r="L523">
        <v>8.79</v>
      </c>
      <c r="M523">
        <v>208.1</v>
      </c>
      <c r="N523">
        <v>109</v>
      </c>
      <c r="O523">
        <v>9.36</v>
      </c>
      <c r="P523">
        <v>8.5</v>
      </c>
      <c r="Q523">
        <v>3</v>
      </c>
      <c r="R523">
        <v>2.3</v>
      </c>
      <c r="S523">
        <v>3</v>
      </c>
      <c r="T523" t="b">
        <v>0</v>
      </c>
      <c r="AK523">
        <v>182.1</v>
      </c>
    </row>
    <row r="524" spans="1:37">
      <c r="A524" t="s">
        <v>98</v>
      </c>
      <c r="B524">
        <v>96</v>
      </c>
      <c r="C524">
        <v>510</v>
      </c>
      <c r="D524" t="s">
        <v>62</v>
      </c>
      <c r="E524" t="s">
        <v>63</v>
      </c>
      <c r="F524">
        <v>31</v>
      </c>
      <c r="G524">
        <v>183.4</v>
      </c>
      <c r="H524">
        <v>126</v>
      </c>
      <c r="I524">
        <v>31.18</v>
      </c>
      <c r="J524">
        <v>195.5</v>
      </c>
      <c r="K524">
        <v>106</v>
      </c>
      <c r="L524">
        <v>16.62</v>
      </c>
      <c r="M524">
        <v>180.1</v>
      </c>
      <c r="N524">
        <v>93</v>
      </c>
      <c r="O524">
        <v>8.1</v>
      </c>
      <c r="P524">
        <v>10.5</v>
      </c>
      <c r="Q524">
        <v>5</v>
      </c>
      <c r="R524">
        <v>2.84</v>
      </c>
      <c r="S524">
        <v>1</v>
      </c>
      <c r="T524" t="b">
        <v>0</v>
      </c>
      <c r="AK524">
        <v>209.9</v>
      </c>
    </row>
    <row r="525" spans="1:37">
      <c r="A525" t="s">
        <v>90</v>
      </c>
      <c r="B525">
        <v>130</v>
      </c>
      <c r="C525">
        <v>415</v>
      </c>
      <c r="D525" t="s">
        <v>62</v>
      </c>
      <c r="E525" t="s">
        <v>62</v>
      </c>
      <c r="F525">
        <v>0</v>
      </c>
      <c r="G525">
        <v>242.5</v>
      </c>
      <c r="H525">
        <v>101</v>
      </c>
      <c r="I525">
        <v>41.23</v>
      </c>
      <c r="J525">
        <v>102.8</v>
      </c>
      <c r="K525">
        <v>114</v>
      </c>
      <c r="L525">
        <v>8.74</v>
      </c>
      <c r="M525">
        <v>142.4</v>
      </c>
      <c r="N525">
        <v>89</v>
      </c>
      <c r="O525">
        <v>6.41</v>
      </c>
      <c r="P525">
        <v>9.3</v>
      </c>
      <c r="Q525">
        <v>2</v>
      </c>
      <c r="R525">
        <v>2.51</v>
      </c>
      <c r="S525">
        <v>2</v>
      </c>
      <c r="T525" t="b">
        <v>0</v>
      </c>
      <c r="AK525">
        <v>167.5</v>
      </c>
    </row>
    <row r="526" spans="1:37">
      <c r="A526" t="s">
        <v>79</v>
      </c>
      <c r="B526">
        <v>34</v>
      </c>
      <c r="C526">
        <v>415</v>
      </c>
      <c r="D526" t="s">
        <v>62</v>
      </c>
      <c r="E526" t="s">
        <v>62</v>
      </c>
      <c r="F526">
        <v>0</v>
      </c>
      <c r="G526">
        <v>151</v>
      </c>
      <c r="H526">
        <v>102</v>
      </c>
      <c r="I526">
        <v>25.67</v>
      </c>
      <c r="J526">
        <v>131.4</v>
      </c>
      <c r="K526">
        <v>101</v>
      </c>
      <c r="L526">
        <v>11.17</v>
      </c>
      <c r="M526">
        <v>186.6</v>
      </c>
      <c r="N526">
        <v>86</v>
      </c>
      <c r="O526">
        <v>8.4</v>
      </c>
      <c r="P526">
        <v>9.9</v>
      </c>
      <c r="Q526">
        <v>7</v>
      </c>
      <c r="R526">
        <v>2.67</v>
      </c>
      <c r="S526">
        <v>0</v>
      </c>
      <c r="T526" t="b">
        <v>0</v>
      </c>
      <c r="AK526">
        <v>213.9</v>
      </c>
    </row>
    <row r="527" spans="1:37">
      <c r="A527" t="s">
        <v>82</v>
      </c>
      <c r="B527">
        <v>139</v>
      </c>
      <c r="C527">
        <v>415</v>
      </c>
      <c r="D527" t="s">
        <v>62</v>
      </c>
      <c r="E527" t="s">
        <v>62</v>
      </c>
      <c r="F527">
        <v>0</v>
      </c>
      <c r="G527">
        <v>138.1</v>
      </c>
      <c r="H527">
        <v>103</v>
      </c>
      <c r="I527">
        <v>23.48</v>
      </c>
      <c r="J527">
        <v>164.5</v>
      </c>
      <c r="K527">
        <v>100</v>
      </c>
      <c r="L527">
        <v>13.98</v>
      </c>
      <c r="M527">
        <v>134.9</v>
      </c>
      <c r="N527">
        <v>63</v>
      </c>
      <c r="O527">
        <v>6.07</v>
      </c>
      <c r="P527">
        <v>8.3</v>
      </c>
      <c r="Q527">
        <v>2</v>
      </c>
      <c r="R527">
        <v>2.24</v>
      </c>
      <c r="S527">
        <v>1</v>
      </c>
      <c r="T527" t="b">
        <v>0</v>
      </c>
      <c r="AK527">
        <v>115.8</v>
      </c>
    </row>
    <row r="528" spans="1:37">
      <c r="A528" t="s">
        <v>84</v>
      </c>
      <c r="B528">
        <v>63</v>
      </c>
      <c r="C528">
        <v>415</v>
      </c>
      <c r="D528" t="s">
        <v>62</v>
      </c>
      <c r="E528" t="s">
        <v>62</v>
      </c>
      <c r="F528">
        <v>0</v>
      </c>
      <c r="G528">
        <v>211.2</v>
      </c>
      <c r="H528">
        <v>80</v>
      </c>
      <c r="I528">
        <v>35.9</v>
      </c>
      <c r="J528">
        <v>237.7</v>
      </c>
      <c r="K528">
        <v>93</v>
      </c>
      <c r="L528">
        <v>20.2</v>
      </c>
      <c r="M528">
        <v>259.2</v>
      </c>
      <c r="N528">
        <v>58</v>
      </c>
      <c r="O528">
        <v>11.66</v>
      </c>
      <c r="P528">
        <v>12.3</v>
      </c>
      <c r="Q528">
        <v>2</v>
      </c>
      <c r="R528">
        <v>3.32</v>
      </c>
      <c r="S528">
        <v>0</v>
      </c>
      <c r="T528" t="b">
        <v>0</v>
      </c>
      <c r="AK528">
        <v>179.4</v>
      </c>
    </row>
    <row r="529" spans="1:37">
      <c r="A529" t="s">
        <v>78</v>
      </c>
      <c r="B529">
        <v>152</v>
      </c>
      <c r="C529">
        <v>415</v>
      </c>
      <c r="D529" t="s">
        <v>62</v>
      </c>
      <c r="E529" t="s">
        <v>62</v>
      </c>
      <c r="F529">
        <v>0</v>
      </c>
      <c r="G529">
        <v>197.1</v>
      </c>
      <c r="H529">
        <v>126</v>
      </c>
      <c r="I529">
        <v>33.51</v>
      </c>
      <c r="J529">
        <v>130.1</v>
      </c>
      <c r="K529">
        <v>76</v>
      </c>
      <c r="L529">
        <v>11.06</v>
      </c>
      <c r="M529">
        <v>78.1</v>
      </c>
      <c r="N529">
        <v>100</v>
      </c>
      <c r="O529">
        <v>3.51</v>
      </c>
      <c r="P529">
        <v>7.4</v>
      </c>
      <c r="Q529">
        <v>4</v>
      </c>
      <c r="R529">
        <v>2</v>
      </c>
      <c r="S529">
        <v>3</v>
      </c>
      <c r="T529" t="b">
        <v>0</v>
      </c>
      <c r="AK529">
        <v>187.3</v>
      </c>
    </row>
    <row r="530" spans="1:37">
      <c r="A530" t="s">
        <v>115</v>
      </c>
      <c r="B530">
        <v>147</v>
      </c>
      <c r="C530">
        <v>408</v>
      </c>
      <c r="D530" t="s">
        <v>62</v>
      </c>
      <c r="E530" t="s">
        <v>62</v>
      </c>
      <c r="F530">
        <v>0</v>
      </c>
      <c r="G530">
        <v>205.3</v>
      </c>
      <c r="H530">
        <v>95</v>
      </c>
      <c r="I530">
        <v>34.9</v>
      </c>
      <c r="J530">
        <v>166.7</v>
      </c>
      <c r="K530">
        <v>128</v>
      </c>
      <c r="L530">
        <v>14.17</v>
      </c>
      <c r="M530">
        <v>240.6</v>
      </c>
      <c r="N530">
        <v>84</v>
      </c>
      <c r="O530">
        <v>10.83</v>
      </c>
      <c r="P530">
        <v>7.8</v>
      </c>
      <c r="Q530">
        <v>4</v>
      </c>
      <c r="R530">
        <v>2.11</v>
      </c>
      <c r="S530">
        <v>1</v>
      </c>
      <c r="T530" t="b">
        <v>0</v>
      </c>
      <c r="AK530">
        <v>201.2</v>
      </c>
    </row>
    <row r="531" spans="1:37">
      <c r="A531" t="s">
        <v>89</v>
      </c>
      <c r="B531">
        <v>112</v>
      </c>
      <c r="C531">
        <v>415</v>
      </c>
      <c r="D531" t="s">
        <v>62</v>
      </c>
      <c r="E531" t="s">
        <v>63</v>
      </c>
      <c r="F531">
        <v>22</v>
      </c>
      <c r="G531">
        <v>181.8</v>
      </c>
      <c r="H531">
        <v>110</v>
      </c>
      <c r="I531">
        <v>30.91</v>
      </c>
      <c r="J531">
        <v>228.1</v>
      </c>
      <c r="K531">
        <v>123</v>
      </c>
      <c r="L531">
        <v>19.39</v>
      </c>
      <c r="M531">
        <v>262.7</v>
      </c>
      <c r="N531">
        <v>141</v>
      </c>
      <c r="O531">
        <v>11.82</v>
      </c>
      <c r="P531">
        <v>9.2</v>
      </c>
      <c r="Q531">
        <v>4</v>
      </c>
      <c r="R531">
        <v>2.48</v>
      </c>
      <c r="S531">
        <v>2</v>
      </c>
      <c r="T531" t="b">
        <v>0</v>
      </c>
      <c r="AK531">
        <v>189.6</v>
      </c>
    </row>
    <row r="532" spans="1:37">
      <c r="A532" t="s">
        <v>94</v>
      </c>
      <c r="B532">
        <v>120</v>
      </c>
      <c r="C532">
        <v>415</v>
      </c>
      <c r="D532" t="s">
        <v>62</v>
      </c>
      <c r="E532" t="s">
        <v>62</v>
      </c>
      <c r="F532">
        <v>0</v>
      </c>
      <c r="G532">
        <v>252</v>
      </c>
      <c r="H532">
        <v>120</v>
      </c>
      <c r="I532">
        <v>42.84</v>
      </c>
      <c r="J532">
        <v>150.2</v>
      </c>
      <c r="K532">
        <v>106</v>
      </c>
      <c r="L532">
        <v>12.77</v>
      </c>
      <c r="M532">
        <v>151.8</v>
      </c>
      <c r="N532">
        <v>96</v>
      </c>
      <c r="O532">
        <v>6.83</v>
      </c>
      <c r="P532">
        <v>9.6</v>
      </c>
      <c r="Q532">
        <v>1</v>
      </c>
      <c r="R532">
        <v>2.59</v>
      </c>
      <c r="S532">
        <v>2</v>
      </c>
      <c r="T532" t="b">
        <v>0</v>
      </c>
      <c r="AK532">
        <v>153.5</v>
      </c>
    </row>
    <row r="533" spans="1:37">
      <c r="A533" t="s">
        <v>85</v>
      </c>
      <c r="B533">
        <v>171</v>
      </c>
      <c r="C533">
        <v>415</v>
      </c>
      <c r="D533" t="s">
        <v>62</v>
      </c>
      <c r="E533" t="s">
        <v>62</v>
      </c>
      <c r="F533">
        <v>0</v>
      </c>
      <c r="G533">
        <v>231.2</v>
      </c>
      <c r="H533">
        <v>135</v>
      </c>
      <c r="I533">
        <v>39.3</v>
      </c>
      <c r="J533">
        <v>188.7</v>
      </c>
      <c r="K533">
        <v>74</v>
      </c>
      <c r="L533">
        <v>16.04</v>
      </c>
      <c r="M533">
        <v>206.9</v>
      </c>
      <c r="N533">
        <v>124</v>
      </c>
      <c r="O533">
        <v>9.31</v>
      </c>
      <c r="P533">
        <v>12.3</v>
      </c>
      <c r="Q533">
        <v>1</v>
      </c>
      <c r="R533">
        <v>3.32</v>
      </c>
      <c r="S533">
        <v>1</v>
      </c>
      <c r="T533" t="b">
        <v>0</v>
      </c>
      <c r="AK533">
        <v>187.6</v>
      </c>
    </row>
    <row r="534" spans="1:37">
      <c r="A534" t="s">
        <v>89</v>
      </c>
      <c r="B534">
        <v>101</v>
      </c>
      <c r="C534">
        <v>415</v>
      </c>
      <c r="D534" t="s">
        <v>62</v>
      </c>
      <c r="E534" t="s">
        <v>63</v>
      </c>
      <c r="F534">
        <v>33</v>
      </c>
      <c r="G534">
        <v>200.1</v>
      </c>
      <c r="H534">
        <v>108</v>
      </c>
      <c r="I534">
        <v>34.02</v>
      </c>
      <c r="J534">
        <v>188.9</v>
      </c>
      <c r="K534">
        <v>122</v>
      </c>
      <c r="L534">
        <v>16.06</v>
      </c>
      <c r="M534">
        <v>205.1</v>
      </c>
      <c r="N534">
        <v>90</v>
      </c>
      <c r="O534">
        <v>9.23</v>
      </c>
      <c r="P534">
        <v>15.5</v>
      </c>
      <c r="Q534">
        <v>4</v>
      </c>
      <c r="R534">
        <v>4.19</v>
      </c>
      <c r="S534">
        <v>0</v>
      </c>
      <c r="T534" t="b">
        <v>0</v>
      </c>
      <c r="AK534">
        <v>244.9</v>
      </c>
    </row>
    <row r="535" spans="1:37">
      <c r="A535" t="s">
        <v>86</v>
      </c>
      <c r="B535">
        <v>151</v>
      </c>
      <c r="C535">
        <v>408</v>
      </c>
      <c r="D535" t="s">
        <v>62</v>
      </c>
      <c r="E535" t="s">
        <v>62</v>
      </c>
      <c r="F535">
        <v>0</v>
      </c>
      <c r="G535">
        <v>175.3</v>
      </c>
      <c r="H535">
        <v>106</v>
      </c>
      <c r="I535">
        <v>29.8</v>
      </c>
      <c r="J535">
        <v>144.3</v>
      </c>
      <c r="K535">
        <v>87</v>
      </c>
      <c r="L535">
        <v>12.27</v>
      </c>
      <c r="M535">
        <v>160.2</v>
      </c>
      <c r="N535">
        <v>88</v>
      </c>
      <c r="O535">
        <v>7.21</v>
      </c>
      <c r="P535">
        <v>11.8</v>
      </c>
      <c r="Q535">
        <v>5</v>
      </c>
      <c r="R535">
        <v>3.19</v>
      </c>
      <c r="S535">
        <v>0</v>
      </c>
      <c r="T535" t="b">
        <v>0</v>
      </c>
      <c r="AK535">
        <v>230.9</v>
      </c>
    </row>
    <row r="536" spans="1:37">
      <c r="A536" t="s">
        <v>82</v>
      </c>
      <c r="B536">
        <v>60</v>
      </c>
      <c r="C536">
        <v>408</v>
      </c>
      <c r="D536" t="s">
        <v>62</v>
      </c>
      <c r="E536" t="s">
        <v>62</v>
      </c>
      <c r="F536">
        <v>0</v>
      </c>
      <c r="G536">
        <v>125.1</v>
      </c>
      <c r="H536">
        <v>99</v>
      </c>
      <c r="I536">
        <v>21.27</v>
      </c>
      <c r="J536">
        <v>248.8</v>
      </c>
      <c r="K536">
        <v>62</v>
      </c>
      <c r="L536">
        <v>21.15</v>
      </c>
      <c r="M536">
        <v>211.3</v>
      </c>
      <c r="N536">
        <v>79</v>
      </c>
      <c r="O536">
        <v>9.51</v>
      </c>
      <c r="P536">
        <v>11.2</v>
      </c>
      <c r="Q536">
        <v>3</v>
      </c>
      <c r="R536">
        <v>3.02</v>
      </c>
      <c r="S536">
        <v>3</v>
      </c>
      <c r="T536" t="b">
        <v>0</v>
      </c>
      <c r="AK536">
        <v>187.1</v>
      </c>
    </row>
    <row r="537" spans="1:37">
      <c r="A537" t="s">
        <v>68</v>
      </c>
      <c r="B537">
        <v>42</v>
      </c>
      <c r="C537">
        <v>408</v>
      </c>
      <c r="D537" t="s">
        <v>62</v>
      </c>
      <c r="E537" t="s">
        <v>62</v>
      </c>
      <c r="F537">
        <v>0</v>
      </c>
      <c r="G537">
        <v>241.2</v>
      </c>
      <c r="H537">
        <v>134</v>
      </c>
      <c r="I537">
        <v>41</v>
      </c>
      <c r="J537">
        <v>116.5</v>
      </c>
      <c r="K537">
        <v>114</v>
      </c>
      <c r="L537">
        <v>9.9</v>
      </c>
      <c r="M537">
        <v>152.2</v>
      </c>
      <c r="N537">
        <v>91</v>
      </c>
      <c r="O537">
        <v>6.85</v>
      </c>
      <c r="P537">
        <v>10.6</v>
      </c>
      <c r="Q537">
        <v>4</v>
      </c>
      <c r="R537">
        <v>2.86</v>
      </c>
      <c r="S537">
        <v>0</v>
      </c>
      <c r="T537" t="b">
        <v>0</v>
      </c>
      <c r="AK537">
        <v>170.7</v>
      </c>
    </row>
    <row r="538" spans="1:37">
      <c r="A538" t="s">
        <v>96</v>
      </c>
      <c r="B538">
        <v>84</v>
      </c>
      <c r="C538">
        <v>408</v>
      </c>
      <c r="D538" t="s">
        <v>62</v>
      </c>
      <c r="E538" t="s">
        <v>62</v>
      </c>
      <c r="F538">
        <v>0</v>
      </c>
      <c r="G538">
        <v>217.1</v>
      </c>
      <c r="H538">
        <v>99</v>
      </c>
      <c r="I538">
        <v>36.91</v>
      </c>
      <c r="J538">
        <v>236</v>
      </c>
      <c r="K538">
        <v>68</v>
      </c>
      <c r="L538">
        <v>20.06</v>
      </c>
      <c r="M538">
        <v>118.3</v>
      </c>
      <c r="N538">
        <v>120</v>
      </c>
      <c r="O538">
        <v>5.32</v>
      </c>
      <c r="P538">
        <v>9.4</v>
      </c>
      <c r="Q538">
        <v>4</v>
      </c>
      <c r="R538">
        <v>2.54</v>
      </c>
      <c r="S538">
        <v>1</v>
      </c>
      <c r="T538" t="b">
        <v>0</v>
      </c>
      <c r="AK538">
        <v>189.5</v>
      </c>
    </row>
    <row r="539" spans="1:37">
      <c r="A539" t="s">
        <v>106</v>
      </c>
      <c r="B539">
        <v>65</v>
      </c>
      <c r="C539">
        <v>510</v>
      </c>
      <c r="D539" t="s">
        <v>62</v>
      </c>
      <c r="E539" t="s">
        <v>62</v>
      </c>
      <c r="F539">
        <v>0</v>
      </c>
      <c r="G539">
        <v>195.4</v>
      </c>
      <c r="H539">
        <v>110</v>
      </c>
      <c r="I539">
        <v>33.22</v>
      </c>
      <c r="J539">
        <v>181.2</v>
      </c>
      <c r="K539">
        <v>109</v>
      </c>
      <c r="L539">
        <v>15.4</v>
      </c>
      <c r="M539">
        <v>178.5</v>
      </c>
      <c r="N539">
        <v>105</v>
      </c>
      <c r="O539">
        <v>8.03</v>
      </c>
      <c r="P539">
        <v>8.9</v>
      </c>
      <c r="Q539">
        <v>4</v>
      </c>
      <c r="R539">
        <v>2.4</v>
      </c>
      <c r="S539">
        <v>0</v>
      </c>
      <c r="T539" t="b">
        <v>0</v>
      </c>
      <c r="AK539">
        <v>161.1</v>
      </c>
    </row>
    <row r="540" spans="1:37">
      <c r="A540" t="s">
        <v>80</v>
      </c>
      <c r="B540">
        <v>75</v>
      </c>
      <c r="C540">
        <v>415</v>
      </c>
      <c r="D540" t="s">
        <v>63</v>
      </c>
      <c r="E540" t="s">
        <v>62</v>
      </c>
      <c r="F540">
        <v>0</v>
      </c>
      <c r="G540">
        <v>222.4</v>
      </c>
      <c r="H540">
        <v>78</v>
      </c>
      <c r="I540">
        <v>37.81</v>
      </c>
      <c r="J540">
        <v>327</v>
      </c>
      <c r="K540">
        <v>111</v>
      </c>
      <c r="L540">
        <v>27.8</v>
      </c>
      <c r="M540">
        <v>208</v>
      </c>
      <c r="N540">
        <v>104</v>
      </c>
      <c r="O540">
        <v>9.36</v>
      </c>
      <c r="P540">
        <v>8.7</v>
      </c>
      <c r="Q540">
        <v>9</v>
      </c>
      <c r="R540">
        <v>2.35</v>
      </c>
      <c r="S540">
        <v>1</v>
      </c>
      <c r="T540" t="b">
        <v>1</v>
      </c>
      <c r="AK540">
        <v>254.4</v>
      </c>
    </row>
    <row r="541" spans="1:37">
      <c r="A541" t="s">
        <v>84</v>
      </c>
      <c r="B541">
        <v>189</v>
      </c>
      <c r="C541">
        <v>415</v>
      </c>
      <c r="D541" t="s">
        <v>62</v>
      </c>
      <c r="E541" t="s">
        <v>63</v>
      </c>
      <c r="F541">
        <v>38</v>
      </c>
      <c r="G541">
        <v>256.7</v>
      </c>
      <c r="H541">
        <v>98</v>
      </c>
      <c r="I541">
        <v>43.64</v>
      </c>
      <c r="J541">
        <v>150.5</v>
      </c>
      <c r="K541">
        <v>120</v>
      </c>
      <c r="L541">
        <v>12.79</v>
      </c>
      <c r="M541">
        <v>123</v>
      </c>
      <c r="N541">
        <v>87</v>
      </c>
      <c r="O541">
        <v>5.54</v>
      </c>
      <c r="P541">
        <v>11.4</v>
      </c>
      <c r="Q541">
        <v>3</v>
      </c>
      <c r="R541">
        <v>3.08</v>
      </c>
      <c r="S541">
        <v>3</v>
      </c>
      <c r="T541" t="b">
        <v>0</v>
      </c>
      <c r="AK541">
        <v>127.7</v>
      </c>
    </row>
    <row r="542" spans="1:37">
      <c r="A542" t="s">
        <v>82</v>
      </c>
      <c r="B542">
        <v>63</v>
      </c>
      <c r="C542">
        <v>415</v>
      </c>
      <c r="D542" t="s">
        <v>62</v>
      </c>
      <c r="E542" t="s">
        <v>63</v>
      </c>
      <c r="F542">
        <v>32</v>
      </c>
      <c r="G542">
        <v>30.9</v>
      </c>
      <c r="H542">
        <v>113</v>
      </c>
      <c r="I542">
        <v>5.25</v>
      </c>
      <c r="J542">
        <v>187</v>
      </c>
      <c r="K542">
        <v>113</v>
      </c>
      <c r="L542">
        <v>15.9</v>
      </c>
      <c r="M542">
        <v>230.8</v>
      </c>
      <c r="N542">
        <v>101</v>
      </c>
      <c r="O542">
        <v>10.39</v>
      </c>
      <c r="P542">
        <v>8.6</v>
      </c>
      <c r="Q542">
        <v>7</v>
      </c>
      <c r="R542">
        <v>2.32</v>
      </c>
      <c r="S542">
        <v>1</v>
      </c>
      <c r="T542" t="b">
        <v>0</v>
      </c>
      <c r="AK542">
        <v>170.5</v>
      </c>
    </row>
    <row r="543" spans="1:37">
      <c r="A543" t="s">
        <v>111</v>
      </c>
      <c r="B543">
        <v>108</v>
      </c>
      <c r="C543">
        <v>510</v>
      </c>
      <c r="D543" t="s">
        <v>62</v>
      </c>
      <c r="E543" t="s">
        <v>62</v>
      </c>
      <c r="F543">
        <v>0</v>
      </c>
      <c r="G543">
        <v>187.4</v>
      </c>
      <c r="H543">
        <v>101</v>
      </c>
      <c r="I543">
        <v>31.86</v>
      </c>
      <c r="J543">
        <v>199.9</v>
      </c>
      <c r="K543">
        <v>126</v>
      </c>
      <c r="L543">
        <v>16.99</v>
      </c>
      <c r="M543">
        <v>216.1</v>
      </c>
      <c r="N543">
        <v>107</v>
      </c>
      <c r="O543">
        <v>9.72</v>
      </c>
      <c r="P543">
        <v>12.6</v>
      </c>
      <c r="Q543">
        <v>8</v>
      </c>
      <c r="R543">
        <v>3.4</v>
      </c>
      <c r="S543">
        <v>1</v>
      </c>
      <c r="T543" t="b">
        <v>0</v>
      </c>
      <c r="AK543">
        <v>273.5</v>
      </c>
    </row>
    <row r="544" spans="1:37">
      <c r="A544" t="s">
        <v>82</v>
      </c>
      <c r="B544">
        <v>71</v>
      </c>
      <c r="C544">
        <v>415</v>
      </c>
      <c r="D544" t="s">
        <v>62</v>
      </c>
      <c r="E544" t="s">
        <v>62</v>
      </c>
      <c r="F544">
        <v>0</v>
      </c>
      <c r="G544">
        <v>277.5</v>
      </c>
      <c r="H544">
        <v>104</v>
      </c>
      <c r="I544">
        <v>47.18</v>
      </c>
      <c r="J544">
        <v>131.8</v>
      </c>
      <c r="K544">
        <v>121</v>
      </c>
      <c r="L544">
        <v>11.2</v>
      </c>
      <c r="M544">
        <v>126.9</v>
      </c>
      <c r="N544">
        <v>101</v>
      </c>
      <c r="O544">
        <v>5.71</v>
      </c>
      <c r="P544">
        <v>8.2</v>
      </c>
      <c r="Q544">
        <v>2</v>
      </c>
      <c r="R544">
        <v>2.21</v>
      </c>
      <c r="S544">
        <v>1</v>
      </c>
      <c r="T544" t="b">
        <v>0</v>
      </c>
      <c r="AK544">
        <v>161.9</v>
      </c>
    </row>
    <row r="545" spans="1:37">
      <c r="A545" t="s">
        <v>109</v>
      </c>
      <c r="B545">
        <v>137</v>
      </c>
      <c r="C545">
        <v>510</v>
      </c>
      <c r="D545" t="s">
        <v>62</v>
      </c>
      <c r="E545" t="s">
        <v>62</v>
      </c>
      <c r="F545">
        <v>0</v>
      </c>
      <c r="G545">
        <v>147.2</v>
      </c>
      <c r="H545">
        <v>119</v>
      </c>
      <c r="I545">
        <v>25.02</v>
      </c>
      <c r="J545">
        <v>192.8</v>
      </c>
      <c r="K545">
        <v>91</v>
      </c>
      <c r="L545">
        <v>16.39</v>
      </c>
      <c r="M545">
        <v>172.7</v>
      </c>
      <c r="N545">
        <v>105</v>
      </c>
      <c r="O545">
        <v>7.77</v>
      </c>
      <c r="P545">
        <v>10.2</v>
      </c>
      <c r="Q545">
        <v>4</v>
      </c>
      <c r="R545">
        <v>2.75</v>
      </c>
      <c r="S545">
        <v>1</v>
      </c>
      <c r="T545" t="b">
        <v>0</v>
      </c>
      <c r="AK545">
        <v>62.8</v>
      </c>
    </row>
    <row r="546" spans="1:37">
      <c r="A546" t="s">
        <v>84</v>
      </c>
      <c r="B546">
        <v>82</v>
      </c>
      <c r="C546">
        <v>408</v>
      </c>
      <c r="D546" t="s">
        <v>62</v>
      </c>
      <c r="E546" t="s">
        <v>62</v>
      </c>
      <c r="F546">
        <v>0</v>
      </c>
      <c r="G546">
        <v>185.8</v>
      </c>
      <c r="H546">
        <v>36</v>
      </c>
      <c r="I546">
        <v>31.59</v>
      </c>
      <c r="J546">
        <v>276.5</v>
      </c>
      <c r="K546">
        <v>134</v>
      </c>
      <c r="L546">
        <v>23.5</v>
      </c>
      <c r="M546">
        <v>192.1</v>
      </c>
      <c r="N546">
        <v>104</v>
      </c>
      <c r="O546">
        <v>8.64</v>
      </c>
      <c r="P546">
        <v>5.7</v>
      </c>
      <c r="Q546">
        <v>7</v>
      </c>
      <c r="R546">
        <v>1.54</v>
      </c>
      <c r="S546">
        <v>4</v>
      </c>
      <c r="T546" t="b">
        <v>0</v>
      </c>
      <c r="AK546">
        <v>228.2</v>
      </c>
    </row>
    <row r="547" spans="1:37">
      <c r="A547" t="s">
        <v>76</v>
      </c>
      <c r="B547">
        <v>96</v>
      </c>
      <c r="C547">
        <v>415</v>
      </c>
      <c r="D547" t="s">
        <v>62</v>
      </c>
      <c r="E547" t="s">
        <v>62</v>
      </c>
      <c r="F547">
        <v>0</v>
      </c>
      <c r="G547">
        <v>97.6</v>
      </c>
      <c r="H547">
        <v>98</v>
      </c>
      <c r="I547">
        <v>16.59</v>
      </c>
      <c r="J547">
        <v>105.5</v>
      </c>
      <c r="K547">
        <v>118</v>
      </c>
      <c r="L547">
        <v>8.97</v>
      </c>
      <c r="M547">
        <v>220.2</v>
      </c>
      <c r="N547">
        <v>105</v>
      </c>
      <c r="O547">
        <v>9.91</v>
      </c>
      <c r="P547">
        <v>11.6</v>
      </c>
      <c r="Q547">
        <v>9</v>
      </c>
      <c r="R547">
        <v>3.13</v>
      </c>
      <c r="S547">
        <v>1</v>
      </c>
      <c r="T547" t="b">
        <v>0</v>
      </c>
      <c r="AK547">
        <v>209.8</v>
      </c>
    </row>
    <row r="548" spans="1:37">
      <c r="A548" t="s">
        <v>87</v>
      </c>
      <c r="B548">
        <v>37</v>
      </c>
      <c r="C548">
        <v>415</v>
      </c>
      <c r="D548" t="s">
        <v>62</v>
      </c>
      <c r="E548" t="s">
        <v>62</v>
      </c>
      <c r="F548">
        <v>0</v>
      </c>
      <c r="G548">
        <v>206</v>
      </c>
      <c r="H548">
        <v>89</v>
      </c>
      <c r="I548">
        <v>35.02</v>
      </c>
      <c r="J548">
        <v>186</v>
      </c>
      <c r="K548">
        <v>88</v>
      </c>
      <c r="L548">
        <v>15.81</v>
      </c>
      <c r="M548">
        <v>307.1</v>
      </c>
      <c r="N548">
        <v>86</v>
      </c>
      <c r="O548">
        <v>13.82</v>
      </c>
      <c r="P548">
        <v>8.4</v>
      </c>
      <c r="Q548">
        <v>11</v>
      </c>
      <c r="R548">
        <v>2.27</v>
      </c>
      <c r="S548">
        <v>0</v>
      </c>
      <c r="T548" t="b">
        <v>0</v>
      </c>
      <c r="AK548">
        <v>214.9</v>
      </c>
    </row>
    <row r="549" spans="1:37">
      <c r="A549" t="s">
        <v>75</v>
      </c>
      <c r="B549">
        <v>98</v>
      </c>
      <c r="C549">
        <v>415</v>
      </c>
      <c r="D549" t="s">
        <v>62</v>
      </c>
      <c r="E549" t="s">
        <v>62</v>
      </c>
      <c r="F549">
        <v>0</v>
      </c>
      <c r="G549">
        <v>216.8</v>
      </c>
      <c r="H549">
        <v>86</v>
      </c>
      <c r="I549">
        <v>36.86</v>
      </c>
      <c r="J549">
        <v>190.8</v>
      </c>
      <c r="K549">
        <v>114</v>
      </c>
      <c r="L549">
        <v>16.22</v>
      </c>
      <c r="M549">
        <v>187.5</v>
      </c>
      <c r="N549">
        <v>79</v>
      </c>
      <c r="O549">
        <v>8.44</v>
      </c>
      <c r="P549">
        <v>11</v>
      </c>
      <c r="Q549">
        <v>9</v>
      </c>
      <c r="R549">
        <v>2.97</v>
      </c>
      <c r="S549">
        <v>0</v>
      </c>
      <c r="T549" t="b">
        <v>0</v>
      </c>
      <c r="AK549">
        <v>110.5</v>
      </c>
    </row>
    <row r="550" spans="1:37">
      <c r="A550" t="s">
        <v>71</v>
      </c>
      <c r="B550">
        <v>121</v>
      </c>
      <c r="C550">
        <v>415</v>
      </c>
      <c r="D550" t="s">
        <v>62</v>
      </c>
      <c r="E550" t="s">
        <v>62</v>
      </c>
      <c r="F550">
        <v>0</v>
      </c>
      <c r="G550">
        <v>103.3</v>
      </c>
      <c r="H550">
        <v>110</v>
      </c>
      <c r="I550">
        <v>17.56</v>
      </c>
      <c r="J550">
        <v>129.1</v>
      </c>
      <c r="K550">
        <v>82</v>
      </c>
      <c r="L550">
        <v>10.97</v>
      </c>
      <c r="M550">
        <v>167.1</v>
      </c>
      <c r="N550">
        <v>113</v>
      </c>
      <c r="O550">
        <v>7.52</v>
      </c>
      <c r="P550">
        <v>10.7</v>
      </c>
      <c r="Q550">
        <v>3</v>
      </c>
      <c r="R550">
        <v>2.89</v>
      </c>
      <c r="S550">
        <v>0</v>
      </c>
      <c r="T550" t="b">
        <v>0</v>
      </c>
      <c r="AK550">
        <v>112.8</v>
      </c>
    </row>
    <row r="551" spans="1:37">
      <c r="A551" t="s">
        <v>73</v>
      </c>
      <c r="B551">
        <v>94</v>
      </c>
      <c r="C551">
        <v>415</v>
      </c>
      <c r="D551" t="s">
        <v>62</v>
      </c>
      <c r="E551" t="s">
        <v>62</v>
      </c>
      <c r="F551">
        <v>0</v>
      </c>
      <c r="G551">
        <v>139.4</v>
      </c>
      <c r="H551">
        <v>95</v>
      </c>
      <c r="I551">
        <v>23.7</v>
      </c>
      <c r="J551">
        <v>159.1</v>
      </c>
      <c r="K551">
        <v>92</v>
      </c>
      <c r="L551">
        <v>13.52</v>
      </c>
      <c r="M551">
        <v>128.2</v>
      </c>
      <c r="N551">
        <v>129</v>
      </c>
      <c r="O551">
        <v>5.77</v>
      </c>
      <c r="P551">
        <v>7.7</v>
      </c>
      <c r="Q551">
        <v>3</v>
      </c>
      <c r="R551">
        <v>2.08</v>
      </c>
      <c r="S551">
        <v>0</v>
      </c>
      <c r="T551" t="b">
        <v>0</v>
      </c>
      <c r="AK551">
        <v>187.3</v>
      </c>
    </row>
    <row r="552" spans="1:37">
      <c r="A552" t="s">
        <v>61</v>
      </c>
      <c r="B552">
        <v>99</v>
      </c>
      <c r="C552">
        <v>415</v>
      </c>
      <c r="D552" t="s">
        <v>62</v>
      </c>
      <c r="E552" t="s">
        <v>62</v>
      </c>
      <c r="F552">
        <v>0</v>
      </c>
      <c r="G552">
        <v>191.2</v>
      </c>
      <c r="H552">
        <v>110</v>
      </c>
      <c r="I552">
        <v>32.5</v>
      </c>
      <c r="J552">
        <v>163.9</v>
      </c>
      <c r="K552">
        <v>102</v>
      </c>
      <c r="L552">
        <v>13.93</v>
      </c>
      <c r="M552">
        <v>243.6</v>
      </c>
      <c r="N552">
        <v>114</v>
      </c>
      <c r="O552">
        <v>10.96</v>
      </c>
      <c r="P552">
        <v>14.1</v>
      </c>
      <c r="Q552">
        <v>3</v>
      </c>
      <c r="R552">
        <v>3.81</v>
      </c>
      <c r="S552">
        <v>1</v>
      </c>
      <c r="T552" t="b">
        <v>0</v>
      </c>
      <c r="AK552">
        <v>197</v>
      </c>
    </row>
    <row r="553" spans="1:37">
      <c r="A553" t="s">
        <v>76</v>
      </c>
      <c r="B553">
        <v>163</v>
      </c>
      <c r="C553">
        <v>510</v>
      </c>
      <c r="D553" t="s">
        <v>62</v>
      </c>
      <c r="E553" t="s">
        <v>63</v>
      </c>
      <c r="F553">
        <v>23</v>
      </c>
      <c r="G553">
        <v>160</v>
      </c>
      <c r="H553">
        <v>104</v>
      </c>
      <c r="I553">
        <v>27.2</v>
      </c>
      <c r="J553">
        <v>189.4</v>
      </c>
      <c r="K553">
        <v>64</v>
      </c>
      <c r="L553">
        <v>16.1</v>
      </c>
      <c r="M553">
        <v>229.9</v>
      </c>
      <c r="N553">
        <v>118</v>
      </c>
      <c r="O553">
        <v>10.35</v>
      </c>
      <c r="P553">
        <v>10.4</v>
      </c>
      <c r="Q553">
        <v>7</v>
      </c>
      <c r="R553">
        <v>2.81</v>
      </c>
      <c r="S553">
        <v>1</v>
      </c>
      <c r="T553" t="b">
        <v>0</v>
      </c>
      <c r="AK553">
        <v>180.4</v>
      </c>
    </row>
    <row r="554" spans="1:37">
      <c r="A554" t="s">
        <v>69</v>
      </c>
      <c r="B554">
        <v>161</v>
      </c>
      <c r="C554">
        <v>510</v>
      </c>
      <c r="D554" t="s">
        <v>62</v>
      </c>
      <c r="E554" t="s">
        <v>62</v>
      </c>
      <c r="F554">
        <v>0</v>
      </c>
      <c r="G554">
        <v>221.7</v>
      </c>
      <c r="H554">
        <v>95</v>
      </c>
      <c r="I554">
        <v>37.69</v>
      </c>
      <c r="J554">
        <v>193</v>
      </c>
      <c r="K554">
        <v>82</v>
      </c>
      <c r="L554">
        <v>16.41</v>
      </c>
      <c r="M554">
        <v>194.1</v>
      </c>
      <c r="N554">
        <v>113</v>
      </c>
      <c r="O554">
        <v>8.73</v>
      </c>
      <c r="P554">
        <v>6.5</v>
      </c>
      <c r="Q554">
        <v>4</v>
      </c>
      <c r="R554">
        <v>1.76</v>
      </c>
      <c r="S554">
        <v>3</v>
      </c>
      <c r="T554" t="b">
        <v>0</v>
      </c>
      <c r="AK554">
        <v>197.1</v>
      </c>
    </row>
    <row r="555" spans="1:37">
      <c r="A555" t="s">
        <v>114</v>
      </c>
      <c r="B555">
        <v>99</v>
      </c>
      <c r="C555">
        <v>415</v>
      </c>
      <c r="D555" t="s">
        <v>62</v>
      </c>
      <c r="E555" t="s">
        <v>62</v>
      </c>
      <c r="F555">
        <v>0</v>
      </c>
      <c r="G555">
        <v>62.9</v>
      </c>
      <c r="H555">
        <v>81</v>
      </c>
      <c r="I555">
        <v>10.69</v>
      </c>
      <c r="J555">
        <v>231</v>
      </c>
      <c r="K555">
        <v>64</v>
      </c>
      <c r="L555">
        <v>19.64</v>
      </c>
      <c r="M555">
        <v>168.9</v>
      </c>
      <c r="N555">
        <v>121</v>
      </c>
      <c r="O555">
        <v>7.6</v>
      </c>
      <c r="P555">
        <v>8.5</v>
      </c>
      <c r="Q555">
        <v>5</v>
      </c>
      <c r="R555">
        <v>2.3</v>
      </c>
      <c r="S555">
        <v>1</v>
      </c>
      <c r="T555" t="b">
        <v>0</v>
      </c>
      <c r="AK555">
        <v>153.7</v>
      </c>
    </row>
    <row r="556" spans="1:37">
      <c r="A556" t="s">
        <v>82</v>
      </c>
      <c r="B556">
        <v>108</v>
      </c>
      <c r="C556">
        <v>415</v>
      </c>
      <c r="D556" t="s">
        <v>62</v>
      </c>
      <c r="E556" t="s">
        <v>62</v>
      </c>
      <c r="F556">
        <v>0</v>
      </c>
      <c r="G556">
        <v>215.6</v>
      </c>
      <c r="H556">
        <v>78</v>
      </c>
      <c r="I556">
        <v>36.65</v>
      </c>
      <c r="J556">
        <v>195.3</v>
      </c>
      <c r="K556">
        <v>119</v>
      </c>
      <c r="L556">
        <v>16.6</v>
      </c>
      <c r="M556">
        <v>194.4</v>
      </c>
      <c r="N556">
        <v>65</v>
      </c>
      <c r="O556">
        <v>8.75</v>
      </c>
      <c r="P556">
        <v>3.6</v>
      </c>
      <c r="Q556">
        <v>5</v>
      </c>
      <c r="R556">
        <v>0.97</v>
      </c>
      <c r="S556">
        <v>1</v>
      </c>
      <c r="T556" t="b">
        <v>0</v>
      </c>
      <c r="AK556">
        <v>261.3</v>
      </c>
    </row>
    <row r="557" spans="1:37">
      <c r="A557" t="s">
        <v>116</v>
      </c>
      <c r="B557">
        <v>84</v>
      </c>
      <c r="C557">
        <v>510</v>
      </c>
      <c r="D557" t="s">
        <v>62</v>
      </c>
      <c r="E557" t="s">
        <v>63</v>
      </c>
      <c r="F557">
        <v>42</v>
      </c>
      <c r="G557">
        <v>165.3</v>
      </c>
      <c r="H557">
        <v>97</v>
      </c>
      <c r="I557">
        <v>28.1</v>
      </c>
      <c r="J557">
        <v>223.5</v>
      </c>
      <c r="K557">
        <v>118</v>
      </c>
      <c r="L557">
        <v>19</v>
      </c>
      <c r="M557">
        <v>260.8</v>
      </c>
      <c r="N557">
        <v>72</v>
      </c>
      <c r="O557">
        <v>11.74</v>
      </c>
      <c r="P557">
        <v>7.6</v>
      </c>
      <c r="Q557">
        <v>7</v>
      </c>
      <c r="R557">
        <v>2.05</v>
      </c>
      <c r="S557">
        <v>3</v>
      </c>
      <c r="T557" t="b">
        <v>0</v>
      </c>
      <c r="AK557">
        <v>246.2</v>
      </c>
    </row>
    <row r="558" spans="1:37">
      <c r="A558" t="s">
        <v>105</v>
      </c>
      <c r="B558">
        <v>139</v>
      </c>
      <c r="C558">
        <v>510</v>
      </c>
      <c r="D558" t="s">
        <v>62</v>
      </c>
      <c r="E558" t="s">
        <v>62</v>
      </c>
      <c r="F558">
        <v>0</v>
      </c>
      <c r="G558">
        <v>203.2</v>
      </c>
      <c r="H558">
        <v>81</v>
      </c>
      <c r="I558">
        <v>34.54</v>
      </c>
      <c r="J558">
        <v>152.5</v>
      </c>
      <c r="K558">
        <v>99</v>
      </c>
      <c r="L558">
        <v>12.96</v>
      </c>
      <c r="M558">
        <v>197.8</v>
      </c>
      <c r="N558">
        <v>76</v>
      </c>
      <c r="O558">
        <v>8.9</v>
      </c>
      <c r="P558">
        <v>9.7</v>
      </c>
      <c r="Q558">
        <v>3</v>
      </c>
      <c r="R558">
        <v>2.62</v>
      </c>
      <c r="S558">
        <v>2</v>
      </c>
      <c r="T558" t="b">
        <v>0</v>
      </c>
      <c r="AK558">
        <v>191</v>
      </c>
    </row>
    <row r="559" spans="1:37">
      <c r="A559" t="s">
        <v>112</v>
      </c>
      <c r="B559">
        <v>69</v>
      </c>
      <c r="C559">
        <v>510</v>
      </c>
      <c r="D559" t="s">
        <v>62</v>
      </c>
      <c r="E559" t="s">
        <v>62</v>
      </c>
      <c r="F559">
        <v>0</v>
      </c>
      <c r="G559">
        <v>195.3</v>
      </c>
      <c r="H559">
        <v>70</v>
      </c>
      <c r="I559">
        <v>33.2</v>
      </c>
      <c r="J559">
        <v>216.7</v>
      </c>
      <c r="K559">
        <v>108</v>
      </c>
      <c r="L559">
        <v>18.42</v>
      </c>
      <c r="M559">
        <v>259.9</v>
      </c>
      <c r="N559">
        <v>119</v>
      </c>
      <c r="O559">
        <v>11.7</v>
      </c>
      <c r="P559">
        <v>12.5</v>
      </c>
      <c r="Q559">
        <v>4</v>
      </c>
      <c r="R559">
        <v>3.38</v>
      </c>
      <c r="S559">
        <v>3</v>
      </c>
      <c r="T559" t="b">
        <v>0</v>
      </c>
      <c r="AK559">
        <v>208.3</v>
      </c>
    </row>
    <row r="560" spans="1:37">
      <c r="A560" t="s">
        <v>85</v>
      </c>
      <c r="B560">
        <v>129</v>
      </c>
      <c r="C560">
        <v>510</v>
      </c>
      <c r="D560" t="s">
        <v>62</v>
      </c>
      <c r="E560" t="s">
        <v>62</v>
      </c>
      <c r="F560">
        <v>0</v>
      </c>
      <c r="G560">
        <v>143.7</v>
      </c>
      <c r="H560">
        <v>114</v>
      </c>
      <c r="I560">
        <v>24.43</v>
      </c>
      <c r="J560">
        <v>297.8</v>
      </c>
      <c r="K560">
        <v>98</v>
      </c>
      <c r="L560">
        <v>25.31</v>
      </c>
      <c r="M560">
        <v>212.6</v>
      </c>
      <c r="N560">
        <v>86</v>
      </c>
      <c r="O560">
        <v>9.57</v>
      </c>
      <c r="P560">
        <v>11.4</v>
      </c>
      <c r="Q560">
        <v>8</v>
      </c>
      <c r="R560">
        <v>3.08</v>
      </c>
      <c r="S560">
        <v>4</v>
      </c>
      <c r="T560" t="b">
        <v>0</v>
      </c>
      <c r="AK560">
        <v>253</v>
      </c>
    </row>
    <row r="561" spans="1:37">
      <c r="A561" t="s">
        <v>69</v>
      </c>
      <c r="B561">
        <v>106</v>
      </c>
      <c r="C561">
        <v>415</v>
      </c>
      <c r="D561" t="s">
        <v>62</v>
      </c>
      <c r="E561" t="s">
        <v>62</v>
      </c>
      <c r="F561">
        <v>0</v>
      </c>
      <c r="G561">
        <v>114.4</v>
      </c>
      <c r="H561">
        <v>104</v>
      </c>
      <c r="I561">
        <v>19.45</v>
      </c>
      <c r="J561">
        <v>78.3</v>
      </c>
      <c r="K561">
        <v>101</v>
      </c>
      <c r="L561">
        <v>6.66</v>
      </c>
      <c r="M561">
        <v>232.7</v>
      </c>
      <c r="N561">
        <v>78</v>
      </c>
      <c r="O561">
        <v>10.47</v>
      </c>
      <c r="P561">
        <v>0</v>
      </c>
      <c r="Q561">
        <v>0</v>
      </c>
      <c r="R561">
        <v>0</v>
      </c>
      <c r="S561">
        <v>2</v>
      </c>
      <c r="T561" t="b">
        <v>0</v>
      </c>
      <c r="AK561">
        <v>202.3</v>
      </c>
    </row>
    <row r="562" spans="1:37">
      <c r="A562" t="s">
        <v>99</v>
      </c>
      <c r="B562">
        <v>168</v>
      </c>
      <c r="C562">
        <v>415</v>
      </c>
      <c r="D562" t="s">
        <v>62</v>
      </c>
      <c r="E562" t="s">
        <v>63</v>
      </c>
      <c r="F562">
        <v>22</v>
      </c>
      <c r="G562">
        <v>175.9</v>
      </c>
      <c r="H562">
        <v>70</v>
      </c>
      <c r="I562">
        <v>29.9</v>
      </c>
      <c r="J562">
        <v>211.7</v>
      </c>
      <c r="K562">
        <v>105</v>
      </c>
      <c r="L562">
        <v>17.99</v>
      </c>
      <c r="M562">
        <v>174.5</v>
      </c>
      <c r="N562">
        <v>81</v>
      </c>
      <c r="O562">
        <v>7.85</v>
      </c>
      <c r="P562">
        <v>7.3</v>
      </c>
      <c r="Q562">
        <v>5</v>
      </c>
      <c r="R562">
        <v>1.97</v>
      </c>
      <c r="S562">
        <v>2</v>
      </c>
      <c r="T562" t="b">
        <v>0</v>
      </c>
      <c r="AK562">
        <v>174.4</v>
      </c>
    </row>
    <row r="563" spans="1:37">
      <c r="A563" t="s">
        <v>89</v>
      </c>
      <c r="B563">
        <v>57</v>
      </c>
      <c r="C563">
        <v>408</v>
      </c>
      <c r="D563" t="s">
        <v>63</v>
      </c>
      <c r="E563" t="s">
        <v>63</v>
      </c>
      <c r="F563">
        <v>30</v>
      </c>
      <c r="G563">
        <v>234.5</v>
      </c>
      <c r="H563">
        <v>130</v>
      </c>
      <c r="I563">
        <v>39.87</v>
      </c>
      <c r="J563">
        <v>195.2</v>
      </c>
      <c r="K563">
        <v>116</v>
      </c>
      <c r="L563">
        <v>16.59</v>
      </c>
      <c r="M563">
        <v>268.8</v>
      </c>
      <c r="N563">
        <v>94</v>
      </c>
      <c r="O563">
        <v>12.1</v>
      </c>
      <c r="P563">
        <v>11.4</v>
      </c>
      <c r="Q563">
        <v>4</v>
      </c>
      <c r="R563">
        <v>3.08</v>
      </c>
      <c r="S563">
        <v>2</v>
      </c>
      <c r="T563" t="b">
        <v>0</v>
      </c>
      <c r="AK563">
        <v>127.1</v>
      </c>
    </row>
    <row r="564" spans="1:37">
      <c r="A564" t="s">
        <v>83</v>
      </c>
      <c r="B564">
        <v>67</v>
      </c>
      <c r="C564">
        <v>415</v>
      </c>
      <c r="D564" t="s">
        <v>62</v>
      </c>
      <c r="E564" t="s">
        <v>62</v>
      </c>
      <c r="F564">
        <v>0</v>
      </c>
      <c r="G564">
        <v>210.7</v>
      </c>
      <c r="H564">
        <v>116</v>
      </c>
      <c r="I564">
        <v>35.82</v>
      </c>
      <c r="J564">
        <v>219.2</v>
      </c>
      <c r="K564">
        <v>86</v>
      </c>
      <c r="L564">
        <v>18.63</v>
      </c>
      <c r="M564">
        <v>179.7</v>
      </c>
      <c r="N564">
        <v>83</v>
      </c>
      <c r="O564">
        <v>8.09</v>
      </c>
      <c r="P564">
        <v>7.2</v>
      </c>
      <c r="Q564">
        <v>6</v>
      </c>
      <c r="R564">
        <v>1.94</v>
      </c>
      <c r="S564">
        <v>1</v>
      </c>
      <c r="T564" t="b">
        <v>0</v>
      </c>
      <c r="AK564">
        <v>143.5</v>
      </c>
    </row>
    <row r="565" spans="1:37">
      <c r="A565" t="s">
        <v>90</v>
      </c>
      <c r="B565">
        <v>127</v>
      </c>
      <c r="C565">
        <v>408</v>
      </c>
      <c r="D565" t="s">
        <v>62</v>
      </c>
      <c r="E565" t="s">
        <v>62</v>
      </c>
      <c r="F565">
        <v>0</v>
      </c>
      <c r="G565">
        <v>182.3</v>
      </c>
      <c r="H565">
        <v>124</v>
      </c>
      <c r="I565">
        <v>30.99</v>
      </c>
      <c r="J565">
        <v>169.9</v>
      </c>
      <c r="K565">
        <v>110</v>
      </c>
      <c r="L565">
        <v>14.44</v>
      </c>
      <c r="M565">
        <v>184</v>
      </c>
      <c r="N565">
        <v>116</v>
      </c>
      <c r="O565">
        <v>8.28</v>
      </c>
      <c r="P565">
        <v>9.3</v>
      </c>
      <c r="Q565">
        <v>3</v>
      </c>
      <c r="R565">
        <v>2.51</v>
      </c>
      <c r="S565">
        <v>1</v>
      </c>
      <c r="T565" t="b">
        <v>0</v>
      </c>
      <c r="AK565">
        <v>186.9</v>
      </c>
    </row>
    <row r="566" spans="1:37">
      <c r="A566" t="s">
        <v>90</v>
      </c>
      <c r="B566">
        <v>78</v>
      </c>
      <c r="C566">
        <v>510</v>
      </c>
      <c r="D566" t="s">
        <v>62</v>
      </c>
      <c r="E566" t="s">
        <v>62</v>
      </c>
      <c r="F566">
        <v>0</v>
      </c>
      <c r="G566">
        <v>190.3</v>
      </c>
      <c r="H566">
        <v>88</v>
      </c>
      <c r="I566">
        <v>32.35</v>
      </c>
      <c r="J566">
        <v>194.5</v>
      </c>
      <c r="K566">
        <v>89</v>
      </c>
      <c r="L566">
        <v>16.53</v>
      </c>
      <c r="M566">
        <v>256.5</v>
      </c>
      <c r="N566">
        <v>109</v>
      </c>
      <c r="O566">
        <v>11.54</v>
      </c>
      <c r="P566">
        <v>11.7</v>
      </c>
      <c r="Q566">
        <v>5</v>
      </c>
      <c r="R566">
        <v>3.16</v>
      </c>
      <c r="S566">
        <v>2</v>
      </c>
      <c r="T566" t="b">
        <v>0</v>
      </c>
      <c r="AK566">
        <v>234.8</v>
      </c>
    </row>
    <row r="567" spans="1:37">
      <c r="A567" t="s">
        <v>116</v>
      </c>
      <c r="B567">
        <v>100</v>
      </c>
      <c r="C567">
        <v>415</v>
      </c>
      <c r="D567" t="s">
        <v>62</v>
      </c>
      <c r="E567" t="s">
        <v>63</v>
      </c>
      <c r="F567">
        <v>38</v>
      </c>
      <c r="G567">
        <v>177.1</v>
      </c>
      <c r="H567">
        <v>88</v>
      </c>
      <c r="I567">
        <v>30.11</v>
      </c>
      <c r="J567">
        <v>163.7</v>
      </c>
      <c r="K567">
        <v>108</v>
      </c>
      <c r="L567">
        <v>13.91</v>
      </c>
      <c r="M567">
        <v>242.7</v>
      </c>
      <c r="N567">
        <v>72</v>
      </c>
      <c r="O567">
        <v>10.92</v>
      </c>
      <c r="P567">
        <v>7.4</v>
      </c>
      <c r="Q567">
        <v>2</v>
      </c>
      <c r="R567">
        <v>2</v>
      </c>
      <c r="S567">
        <v>0</v>
      </c>
      <c r="T567" t="b">
        <v>0</v>
      </c>
      <c r="AK567">
        <v>123.7</v>
      </c>
    </row>
    <row r="568" spans="1:37">
      <c r="A568" t="s">
        <v>107</v>
      </c>
      <c r="B568">
        <v>113</v>
      </c>
      <c r="C568">
        <v>415</v>
      </c>
      <c r="D568" t="s">
        <v>62</v>
      </c>
      <c r="E568" t="s">
        <v>62</v>
      </c>
      <c r="F568">
        <v>0</v>
      </c>
      <c r="G568">
        <v>215.6</v>
      </c>
      <c r="H568">
        <v>96</v>
      </c>
      <c r="I568">
        <v>36.65</v>
      </c>
      <c r="J568">
        <v>193.4</v>
      </c>
      <c r="K568">
        <v>127</v>
      </c>
      <c r="L568">
        <v>16.44</v>
      </c>
      <c r="M568">
        <v>105.4</v>
      </c>
      <c r="N568">
        <v>115</v>
      </c>
      <c r="O568">
        <v>4.74</v>
      </c>
      <c r="P568">
        <v>13.5</v>
      </c>
      <c r="Q568">
        <v>3</v>
      </c>
      <c r="R568">
        <v>3.65</v>
      </c>
      <c r="S568">
        <v>1</v>
      </c>
      <c r="T568" t="b">
        <v>0</v>
      </c>
      <c r="AK568">
        <v>173.9</v>
      </c>
    </row>
    <row r="569" spans="1:37">
      <c r="A569" t="s">
        <v>110</v>
      </c>
      <c r="B569">
        <v>78</v>
      </c>
      <c r="C569">
        <v>510</v>
      </c>
      <c r="D569" t="s">
        <v>62</v>
      </c>
      <c r="E569" t="s">
        <v>62</v>
      </c>
      <c r="F569">
        <v>0</v>
      </c>
      <c r="G569">
        <v>137.4</v>
      </c>
      <c r="H569">
        <v>109</v>
      </c>
      <c r="I569">
        <v>23.36</v>
      </c>
      <c r="J569">
        <v>237.6</v>
      </c>
      <c r="K569">
        <v>49</v>
      </c>
      <c r="L569">
        <v>20.2</v>
      </c>
      <c r="M569">
        <v>206.7</v>
      </c>
      <c r="N569">
        <v>136</v>
      </c>
      <c r="O569">
        <v>9.3</v>
      </c>
      <c r="P569">
        <v>14</v>
      </c>
      <c r="Q569">
        <v>11</v>
      </c>
      <c r="R569">
        <v>3.78</v>
      </c>
      <c r="S569">
        <v>3</v>
      </c>
      <c r="T569" t="b">
        <v>0</v>
      </c>
      <c r="AK569">
        <v>227.9</v>
      </c>
    </row>
    <row r="570" spans="1:37">
      <c r="A570" t="s">
        <v>94</v>
      </c>
      <c r="B570">
        <v>129</v>
      </c>
      <c r="C570">
        <v>510</v>
      </c>
      <c r="D570" t="s">
        <v>62</v>
      </c>
      <c r="E570" t="s">
        <v>63</v>
      </c>
      <c r="F570">
        <v>36</v>
      </c>
      <c r="G570">
        <v>192.8</v>
      </c>
      <c r="H570">
        <v>103</v>
      </c>
      <c r="I570">
        <v>32.78</v>
      </c>
      <c r="J570">
        <v>177</v>
      </c>
      <c r="K570">
        <v>83</v>
      </c>
      <c r="L570">
        <v>15.05</v>
      </c>
      <c r="M570">
        <v>216.5</v>
      </c>
      <c r="N570">
        <v>118</v>
      </c>
      <c r="O570">
        <v>9.74</v>
      </c>
      <c r="P570">
        <v>16.4</v>
      </c>
      <c r="Q570">
        <v>5</v>
      </c>
      <c r="R570">
        <v>4.43</v>
      </c>
      <c r="S570">
        <v>1</v>
      </c>
      <c r="T570" t="b">
        <v>0</v>
      </c>
      <c r="AK570">
        <v>95.5</v>
      </c>
    </row>
    <row r="571" spans="1:37">
      <c r="A571" t="s">
        <v>112</v>
      </c>
      <c r="B571">
        <v>57</v>
      </c>
      <c r="C571">
        <v>510</v>
      </c>
      <c r="D571" t="s">
        <v>62</v>
      </c>
      <c r="E571" t="s">
        <v>62</v>
      </c>
      <c r="F571">
        <v>0</v>
      </c>
      <c r="G571">
        <v>149.3</v>
      </c>
      <c r="H571">
        <v>100</v>
      </c>
      <c r="I571">
        <v>25.38</v>
      </c>
      <c r="J571">
        <v>200.2</v>
      </c>
      <c r="K571">
        <v>110</v>
      </c>
      <c r="L571">
        <v>17.02</v>
      </c>
      <c r="M571">
        <v>231.7</v>
      </c>
      <c r="N571">
        <v>101</v>
      </c>
      <c r="O571">
        <v>10.43</v>
      </c>
      <c r="P571">
        <v>11.9</v>
      </c>
      <c r="Q571">
        <v>3</v>
      </c>
      <c r="R571">
        <v>3.21</v>
      </c>
      <c r="S571">
        <v>2</v>
      </c>
      <c r="T571" t="b">
        <v>0</v>
      </c>
      <c r="AK571">
        <v>146.3</v>
      </c>
    </row>
    <row r="572" spans="1:37">
      <c r="A572" t="s">
        <v>71</v>
      </c>
      <c r="B572">
        <v>82</v>
      </c>
      <c r="C572">
        <v>408</v>
      </c>
      <c r="D572" t="s">
        <v>62</v>
      </c>
      <c r="E572" t="s">
        <v>62</v>
      </c>
      <c r="F572">
        <v>0</v>
      </c>
      <c r="G572">
        <v>143.7</v>
      </c>
      <c r="H572">
        <v>116</v>
      </c>
      <c r="I572">
        <v>24.43</v>
      </c>
      <c r="J572">
        <v>170.7</v>
      </c>
      <c r="K572">
        <v>99</v>
      </c>
      <c r="L572">
        <v>14.51</v>
      </c>
      <c r="M572">
        <v>287.7</v>
      </c>
      <c r="N572">
        <v>95</v>
      </c>
      <c r="O572">
        <v>12.95</v>
      </c>
      <c r="P572">
        <v>7.8</v>
      </c>
      <c r="Q572">
        <v>5</v>
      </c>
      <c r="R572">
        <v>2.11</v>
      </c>
      <c r="S572">
        <v>1</v>
      </c>
      <c r="T572" t="b">
        <v>0</v>
      </c>
      <c r="AK572">
        <v>184</v>
      </c>
    </row>
    <row r="573" spans="1:37">
      <c r="A573" t="s">
        <v>85</v>
      </c>
      <c r="B573">
        <v>94</v>
      </c>
      <c r="C573">
        <v>510</v>
      </c>
      <c r="D573" t="s">
        <v>62</v>
      </c>
      <c r="E573" t="s">
        <v>62</v>
      </c>
      <c r="F573">
        <v>0</v>
      </c>
      <c r="G573">
        <v>271.2</v>
      </c>
      <c r="H573">
        <v>105</v>
      </c>
      <c r="I573">
        <v>46.1</v>
      </c>
      <c r="J573">
        <v>202.6</v>
      </c>
      <c r="K573">
        <v>105</v>
      </c>
      <c r="L573">
        <v>17.22</v>
      </c>
      <c r="M573">
        <v>221.6</v>
      </c>
      <c r="N573">
        <v>51</v>
      </c>
      <c r="O573">
        <v>9.97</v>
      </c>
      <c r="P573">
        <v>11.5</v>
      </c>
      <c r="Q573">
        <v>3</v>
      </c>
      <c r="R573">
        <v>3.11</v>
      </c>
      <c r="S573">
        <v>3</v>
      </c>
      <c r="T573" t="b">
        <v>1</v>
      </c>
      <c r="AK573">
        <v>105.8</v>
      </c>
    </row>
    <row r="574" spans="1:37">
      <c r="A574" t="s">
        <v>85</v>
      </c>
      <c r="B574">
        <v>90</v>
      </c>
      <c r="C574">
        <v>415</v>
      </c>
      <c r="D574" t="s">
        <v>62</v>
      </c>
      <c r="E574" t="s">
        <v>62</v>
      </c>
      <c r="F574">
        <v>0</v>
      </c>
      <c r="G574">
        <v>207.2</v>
      </c>
      <c r="H574">
        <v>121</v>
      </c>
      <c r="I574">
        <v>35.22</v>
      </c>
      <c r="J574">
        <v>292.5</v>
      </c>
      <c r="K574">
        <v>104</v>
      </c>
      <c r="L574">
        <v>24.86</v>
      </c>
      <c r="M574">
        <v>226.3</v>
      </c>
      <c r="N574">
        <v>103</v>
      </c>
      <c r="O574">
        <v>10.18</v>
      </c>
      <c r="P574">
        <v>8</v>
      </c>
      <c r="Q574">
        <v>1</v>
      </c>
      <c r="R574">
        <v>2.16</v>
      </c>
      <c r="S574">
        <v>2</v>
      </c>
      <c r="T574" t="b">
        <v>0</v>
      </c>
      <c r="AK574">
        <v>178</v>
      </c>
    </row>
    <row r="575" spans="1:37">
      <c r="A575" t="s">
        <v>96</v>
      </c>
      <c r="B575">
        <v>48</v>
      </c>
      <c r="C575">
        <v>510</v>
      </c>
      <c r="D575" t="s">
        <v>62</v>
      </c>
      <c r="E575" t="s">
        <v>62</v>
      </c>
      <c r="F575">
        <v>0</v>
      </c>
      <c r="G575">
        <v>300.4</v>
      </c>
      <c r="H575">
        <v>94</v>
      </c>
      <c r="I575">
        <v>51.07</v>
      </c>
      <c r="J575">
        <v>133.2</v>
      </c>
      <c r="K575">
        <v>103</v>
      </c>
      <c r="L575">
        <v>11.32</v>
      </c>
      <c r="M575">
        <v>197.4</v>
      </c>
      <c r="N575">
        <v>94</v>
      </c>
      <c r="O575">
        <v>8.88</v>
      </c>
      <c r="P575">
        <v>7.2</v>
      </c>
      <c r="Q575">
        <v>5</v>
      </c>
      <c r="R575">
        <v>1.94</v>
      </c>
      <c r="S575">
        <v>2</v>
      </c>
      <c r="T575" t="b">
        <v>0</v>
      </c>
      <c r="AK575">
        <v>149.4</v>
      </c>
    </row>
    <row r="576" spans="1:37">
      <c r="A576" t="s">
        <v>103</v>
      </c>
      <c r="B576">
        <v>85</v>
      </c>
      <c r="C576">
        <v>408</v>
      </c>
      <c r="D576" t="s">
        <v>62</v>
      </c>
      <c r="E576" t="s">
        <v>63</v>
      </c>
      <c r="F576">
        <v>37</v>
      </c>
      <c r="G576">
        <v>229.6</v>
      </c>
      <c r="H576">
        <v>123</v>
      </c>
      <c r="I576">
        <v>39.03</v>
      </c>
      <c r="J576">
        <v>132.3</v>
      </c>
      <c r="K576">
        <v>90</v>
      </c>
      <c r="L576">
        <v>11.25</v>
      </c>
      <c r="M576">
        <v>211.9</v>
      </c>
      <c r="N576">
        <v>76</v>
      </c>
      <c r="O576">
        <v>9.54</v>
      </c>
      <c r="P576">
        <v>9.5</v>
      </c>
      <c r="Q576">
        <v>8</v>
      </c>
      <c r="R576">
        <v>2.57</v>
      </c>
      <c r="S576">
        <v>2</v>
      </c>
      <c r="T576" t="b">
        <v>0</v>
      </c>
      <c r="AK576">
        <v>209.4</v>
      </c>
    </row>
    <row r="577" spans="1:37">
      <c r="A577" t="s">
        <v>65</v>
      </c>
      <c r="B577">
        <v>93</v>
      </c>
      <c r="C577">
        <v>415</v>
      </c>
      <c r="D577" t="s">
        <v>63</v>
      </c>
      <c r="E577" t="s">
        <v>63</v>
      </c>
      <c r="F577">
        <v>20</v>
      </c>
      <c r="G577">
        <v>187.5</v>
      </c>
      <c r="H577">
        <v>110</v>
      </c>
      <c r="I577">
        <v>31.88</v>
      </c>
      <c r="J577">
        <v>169.8</v>
      </c>
      <c r="K577">
        <v>94</v>
      </c>
      <c r="L577">
        <v>14.43</v>
      </c>
      <c r="M577">
        <v>175.3</v>
      </c>
      <c r="N577">
        <v>127</v>
      </c>
      <c r="O577">
        <v>7.89</v>
      </c>
      <c r="P577">
        <v>12.1</v>
      </c>
      <c r="Q577">
        <v>4</v>
      </c>
      <c r="R577">
        <v>3.27</v>
      </c>
      <c r="S577">
        <v>1</v>
      </c>
      <c r="T577" t="b">
        <v>0</v>
      </c>
      <c r="AK577">
        <v>172.1</v>
      </c>
    </row>
    <row r="578" spans="1:37">
      <c r="A578" t="s">
        <v>105</v>
      </c>
      <c r="B578">
        <v>169</v>
      </c>
      <c r="C578">
        <v>415</v>
      </c>
      <c r="D578" t="s">
        <v>63</v>
      </c>
      <c r="E578" t="s">
        <v>62</v>
      </c>
      <c r="F578">
        <v>0</v>
      </c>
      <c r="G578">
        <v>57.1</v>
      </c>
      <c r="H578">
        <v>98</v>
      </c>
      <c r="I578">
        <v>9.71</v>
      </c>
      <c r="J578">
        <v>199.7</v>
      </c>
      <c r="K578">
        <v>78</v>
      </c>
      <c r="L578">
        <v>16.97</v>
      </c>
      <c r="M578">
        <v>274.7</v>
      </c>
      <c r="N578">
        <v>103</v>
      </c>
      <c r="O578">
        <v>12.36</v>
      </c>
      <c r="P578">
        <v>6.5</v>
      </c>
      <c r="Q578">
        <v>6</v>
      </c>
      <c r="R578">
        <v>1.76</v>
      </c>
      <c r="S578">
        <v>3</v>
      </c>
      <c r="T578" t="b">
        <v>0</v>
      </c>
      <c r="AK578">
        <v>169.3</v>
      </c>
    </row>
    <row r="579" spans="1:37">
      <c r="A579" t="s">
        <v>97</v>
      </c>
      <c r="B579">
        <v>68</v>
      </c>
      <c r="C579">
        <v>415</v>
      </c>
      <c r="D579" t="s">
        <v>62</v>
      </c>
      <c r="E579" t="s">
        <v>62</v>
      </c>
      <c r="F579">
        <v>0</v>
      </c>
      <c r="G579">
        <v>162.1</v>
      </c>
      <c r="H579">
        <v>86</v>
      </c>
      <c r="I579">
        <v>27.56</v>
      </c>
      <c r="J579">
        <v>155</v>
      </c>
      <c r="K579">
        <v>86</v>
      </c>
      <c r="L579">
        <v>13.18</v>
      </c>
      <c r="M579">
        <v>189.7</v>
      </c>
      <c r="N579">
        <v>87</v>
      </c>
      <c r="O579">
        <v>8.54</v>
      </c>
      <c r="P579">
        <v>11</v>
      </c>
      <c r="Q579">
        <v>9</v>
      </c>
      <c r="R579">
        <v>2.97</v>
      </c>
      <c r="S579">
        <v>5</v>
      </c>
      <c r="T579" t="b">
        <v>1</v>
      </c>
      <c r="AK579">
        <v>194.2</v>
      </c>
    </row>
    <row r="580" spans="1:37">
      <c r="A580" t="s">
        <v>107</v>
      </c>
      <c r="B580">
        <v>91</v>
      </c>
      <c r="C580">
        <v>415</v>
      </c>
      <c r="D580" t="s">
        <v>63</v>
      </c>
      <c r="E580" t="s">
        <v>62</v>
      </c>
      <c r="F580">
        <v>0</v>
      </c>
      <c r="G580">
        <v>145</v>
      </c>
      <c r="H580">
        <v>89</v>
      </c>
      <c r="I580">
        <v>24.65</v>
      </c>
      <c r="J580">
        <v>175.8</v>
      </c>
      <c r="K580">
        <v>102</v>
      </c>
      <c r="L580">
        <v>14.94</v>
      </c>
      <c r="M580">
        <v>223.7</v>
      </c>
      <c r="N580">
        <v>151</v>
      </c>
      <c r="O580">
        <v>10.07</v>
      </c>
      <c r="P580">
        <v>16.7</v>
      </c>
      <c r="Q580">
        <v>3</v>
      </c>
      <c r="R580">
        <v>4.51</v>
      </c>
      <c r="S580">
        <v>2</v>
      </c>
      <c r="T580" t="b">
        <v>1</v>
      </c>
      <c r="AK580">
        <v>198.8</v>
      </c>
    </row>
    <row r="581" spans="1:37">
      <c r="A581" t="s">
        <v>61</v>
      </c>
      <c r="B581">
        <v>68</v>
      </c>
      <c r="C581">
        <v>510</v>
      </c>
      <c r="D581" t="s">
        <v>62</v>
      </c>
      <c r="E581" t="s">
        <v>62</v>
      </c>
      <c r="F581">
        <v>0</v>
      </c>
      <c r="G581">
        <v>159.5</v>
      </c>
      <c r="H581">
        <v>123</v>
      </c>
      <c r="I581">
        <v>27.12</v>
      </c>
      <c r="J581">
        <v>240.8</v>
      </c>
      <c r="K581">
        <v>93</v>
      </c>
      <c r="L581">
        <v>20.47</v>
      </c>
      <c r="M581">
        <v>210.3</v>
      </c>
      <c r="N581">
        <v>76</v>
      </c>
      <c r="O581">
        <v>9.46</v>
      </c>
      <c r="P581">
        <v>11.4</v>
      </c>
      <c r="Q581">
        <v>3</v>
      </c>
      <c r="R581">
        <v>3.08</v>
      </c>
      <c r="S581">
        <v>1</v>
      </c>
      <c r="T581" t="b">
        <v>0</v>
      </c>
      <c r="AK581">
        <v>202.2</v>
      </c>
    </row>
    <row r="582" spans="1:37">
      <c r="A582" t="s">
        <v>110</v>
      </c>
      <c r="B582">
        <v>101</v>
      </c>
      <c r="C582">
        <v>510</v>
      </c>
      <c r="D582" t="s">
        <v>62</v>
      </c>
      <c r="E582" t="s">
        <v>62</v>
      </c>
      <c r="F582">
        <v>0</v>
      </c>
      <c r="G582">
        <v>190.7</v>
      </c>
      <c r="H582">
        <v>72</v>
      </c>
      <c r="I582">
        <v>32.42</v>
      </c>
      <c r="J582">
        <v>208.6</v>
      </c>
      <c r="K582">
        <v>103</v>
      </c>
      <c r="L582">
        <v>17.73</v>
      </c>
      <c r="M582">
        <v>203.8</v>
      </c>
      <c r="N582">
        <v>111</v>
      </c>
      <c r="O582">
        <v>9.17</v>
      </c>
      <c r="P582">
        <v>8.8</v>
      </c>
      <c r="Q582">
        <v>8</v>
      </c>
      <c r="R582">
        <v>2.38</v>
      </c>
      <c r="S582">
        <v>1</v>
      </c>
      <c r="T582" t="b">
        <v>0</v>
      </c>
      <c r="AK582">
        <v>76.4</v>
      </c>
    </row>
    <row r="583" spans="1:37">
      <c r="A583" t="s">
        <v>97</v>
      </c>
      <c r="B583">
        <v>67</v>
      </c>
      <c r="C583">
        <v>510</v>
      </c>
      <c r="D583" t="s">
        <v>62</v>
      </c>
      <c r="E583" t="s">
        <v>63</v>
      </c>
      <c r="F583">
        <v>20</v>
      </c>
      <c r="G583">
        <v>230.6</v>
      </c>
      <c r="H583">
        <v>40</v>
      </c>
      <c r="I583">
        <v>39.2</v>
      </c>
      <c r="J583">
        <v>189.1</v>
      </c>
      <c r="K583">
        <v>58</v>
      </c>
      <c r="L583">
        <v>16.07</v>
      </c>
      <c r="M583">
        <v>162.2</v>
      </c>
      <c r="N583">
        <v>115</v>
      </c>
      <c r="O583">
        <v>7.3</v>
      </c>
      <c r="P583">
        <v>9.4</v>
      </c>
      <c r="Q583">
        <v>2</v>
      </c>
      <c r="R583">
        <v>2.54</v>
      </c>
      <c r="S583">
        <v>1</v>
      </c>
      <c r="T583" t="b">
        <v>0</v>
      </c>
      <c r="AK583">
        <v>72.7</v>
      </c>
    </row>
    <row r="584" spans="1:37">
      <c r="A584" t="s">
        <v>84</v>
      </c>
      <c r="B584">
        <v>66</v>
      </c>
      <c r="C584">
        <v>415</v>
      </c>
      <c r="D584" t="s">
        <v>62</v>
      </c>
      <c r="E584" t="s">
        <v>62</v>
      </c>
      <c r="F584">
        <v>0</v>
      </c>
      <c r="G584">
        <v>34</v>
      </c>
      <c r="H584">
        <v>133</v>
      </c>
      <c r="I584">
        <v>5.78</v>
      </c>
      <c r="J584">
        <v>278.6</v>
      </c>
      <c r="K584">
        <v>61</v>
      </c>
      <c r="L584">
        <v>23.68</v>
      </c>
      <c r="M584">
        <v>129.6</v>
      </c>
      <c r="N584">
        <v>120</v>
      </c>
      <c r="O584">
        <v>5.83</v>
      </c>
      <c r="P584">
        <v>11.5</v>
      </c>
      <c r="Q584">
        <v>3</v>
      </c>
      <c r="R584">
        <v>3.11</v>
      </c>
      <c r="S584">
        <v>0</v>
      </c>
      <c r="T584" t="b">
        <v>0</v>
      </c>
      <c r="AK584">
        <v>210.4</v>
      </c>
    </row>
    <row r="585" spans="1:37">
      <c r="A585" t="s">
        <v>81</v>
      </c>
      <c r="B585">
        <v>116</v>
      </c>
      <c r="C585">
        <v>415</v>
      </c>
      <c r="D585" t="s">
        <v>62</v>
      </c>
      <c r="E585" t="s">
        <v>63</v>
      </c>
      <c r="F585">
        <v>17</v>
      </c>
      <c r="G585">
        <v>193.4</v>
      </c>
      <c r="H585">
        <v>112</v>
      </c>
      <c r="I585">
        <v>32.88</v>
      </c>
      <c r="J585">
        <v>240.6</v>
      </c>
      <c r="K585">
        <v>131</v>
      </c>
      <c r="L585">
        <v>20.45</v>
      </c>
      <c r="M585">
        <v>248.1</v>
      </c>
      <c r="N585">
        <v>98</v>
      </c>
      <c r="O585">
        <v>11.16</v>
      </c>
      <c r="P585">
        <v>11.4</v>
      </c>
      <c r="Q585">
        <v>3</v>
      </c>
      <c r="R585">
        <v>3.08</v>
      </c>
      <c r="S585">
        <v>5</v>
      </c>
      <c r="T585" t="b">
        <v>0</v>
      </c>
      <c r="AK585">
        <v>127.2</v>
      </c>
    </row>
    <row r="586" spans="1:37">
      <c r="A586" t="s">
        <v>88</v>
      </c>
      <c r="B586">
        <v>158</v>
      </c>
      <c r="C586">
        <v>408</v>
      </c>
      <c r="D586" t="s">
        <v>62</v>
      </c>
      <c r="E586" t="s">
        <v>62</v>
      </c>
      <c r="F586">
        <v>0</v>
      </c>
      <c r="G586">
        <v>202</v>
      </c>
      <c r="H586">
        <v>126</v>
      </c>
      <c r="I586">
        <v>34.34</v>
      </c>
      <c r="J586">
        <v>163.5</v>
      </c>
      <c r="K586">
        <v>86</v>
      </c>
      <c r="L586">
        <v>13.9</v>
      </c>
      <c r="M586">
        <v>195.4</v>
      </c>
      <c r="N586">
        <v>84</v>
      </c>
      <c r="O586">
        <v>8.79</v>
      </c>
      <c r="P586">
        <v>10.4</v>
      </c>
      <c r="Q586">
        <v>6</v>
      </c>
      <c r="R586">
        <v>2.81</v>
      </c>
      <c r="S586">
        <v>1</v>
      </c>
      <c r="T586" t="b">
        <v>0</v>
      </c>
      <c r="AK586">
        <v>201.8</v>
      </c>
    </row>
    <row r="587" spans="1:37">
      <c r="A587" t="s">
        <v>76</v>
      </c>
      <c r="B587">
        <v>78</v>
      </c>
      <c r="C587">
        <v>415</v>
      </c>
      <c r="D587" t="s">
        <v>62</v>
      </c>
      <c r="E587" t="s">
        <v>62</v>
      </c>
      <c r="F587">
        <v>0</v>
      </c>
      <c r="G587">
        <v>191.7</v>
      </c>
      <c r="H587">
        <v>122</v>
      </c>
      <c r="I587">
        <v>32.59</v>
      </c>
      <c r="J587">
        <v>241.4</v>
      </c>
      <c r="K587">
        <v>88</v>
      </c>
      <c r="L587">
        <v>20.52</v>
      </c>
      <c r="M587">
        <v>203.5</v>
      </c>
      <c r="N587">
        <v>86</v>
      </c>
      <c r="O587">
        <v>9.16</v>
      </c>
      <c r="P587">
        <v>9.1</v>
      </c>
      <c r="Q587">
        <v>5</v>
      </c>
      <c r="R587">
        <v>2.46</v>
      </c>
      <c r="S587">
        <v>1</v>
      </c>
      <c r="T587" t="b">
        <v>0</v>
      </c>
      <c r="AK587">
        <v>219.5</v>
      </c>
    </row>
    <row r="588" spans="1:37">
      <c r="A588" t="s">
        <v>101</v>
      </c>
      <c r="B588">
        <v>119</v>
      </c>
      <c r="C588">
        <v>415</v>
      </c>
      <c r="D588" t="s">
        <v>62</v>
      </c>
      <c r="E588" t="s">
        <v>63</v>
      </c>
      <c r="F588">
        <v>26</v>
      </c>
      <c r="G588">
        <v>161.3</v>
      </c>
      <c r="H588">
        <v>97</v>
      </c>
      <c r="I588">
        <v>27.42</v>
      </c>
      <c r="J588">
        <v>250.3</v>
      </c>
      <c r="K588">
        <v>110</v>
      </c>
      <c r="L588">
        <v>21.28</v>
      </c>
      <c r="M588">
        <v>142.4</v>
      </c>
      <c r="N588">
        <v>92</v>
      </c>
      <c r="O588">
        <v>6.41</v>
      </c>
      <c r="P588">
        <v>6.6</v>
      </c>
      <c r="Q588">
        <v>8</v>
      </c>
      <c r="R588">
        <v>1.78</v>
      </c>
      <c r="S588">
        <v>1</v>
      </c>
      <c r="T588" t="b">
        <v>0</v>
      </c>
      <c r="AK588">
        <v>99.3</v>
      </c>
    </row>
    <row r="589" spans="1:37">
      <c r="A589" t="s">
        <v>110</v>
      </c>
      <c r="B589">
        <v>120</v>
      </c>
      <c r="C589">
        <v>415</v>
      </c>
      <c r="D589" t="s">
        <v>62</v>
      </c>
      <c r="E589" t="s">
        <v>62</v>
      </c>
      <c r="F589">
        <v>0</v>
      </c>
      <c r="G589">
        <v>150.6</v>
      </c>
      <c r="H589">
        <v>85</v>
      </c>
      <c r="I589">
        <v>25.6</v>
      </c>
      <c r="J589">
        <v>119</v>
      </c>
      <c r="K589">
        <v>128</v>
      </c>
      <c r="L589">
        <v>10.12</v>
      </c>
      <c r="M589">
        <v>232.9</v>
      </c>
      <c r="N589">
        <v>123</v>
      </c>
      <c r="O589">
        <v>10.48</v>
      </c>
      <c r="P589">
        <v>6.4</v>
      </c>
      <c r="Q589">
        <v>2</v>
      </c>
      <c r="R589">
        <v>1.73</v>
      </c>
      <c r="S589">
        <v>1</v>
      </c>
      <c r="T589" t="b">
        <v>0</v>
      </c>
      <c r="AK589">
        <v>239.2</v>
      </c>
    </row>
    <row r="590" spans="1:37">
      <c r="A590" t="s">
        <v>107</v>
      </c>
      <c r="B590">
        <v>155</v>
      </c>
      <c r="C590">
        <v>510</v>
      </c>
      <c r="D590" t="s">
        <v>62</v>
      </c>
      <c r="E590" t="s">
        <v>62</v>
      </c>
      <c r="F590">
        <v>0</v>
      </c>
      <c r="G590">
        <v>184.6</v>
      </c>
      <c r="H590">
        <v>102</v>
      </c>
      <c r="I590">
        <v>31.38</v>
      </c>
      <c r="J590">
        <v>196</v>
      </c>
      <c r="K590">
        <v>117</v>
      </c>
      <c r="L590">
        <v>16.66</v>
      </c>
      <c r="M590">
        <v>226.5</v>
      </c>
      <c r="N590">
        <v>122</v>
      </c>
      <c r="O590">
        <v>10.19</v>
      </c>
      <c r="P590">
        <v>7.8</v>
      </c>
      <c r="Q590">
        <v>1</v>
      </c>
      <c r="R590">
        <v>2.11</v>
      </c>
      <c r="S590">
        <v>1</v>
      </c>
      <c r="T590" t="b">
        <v>0</v>
      </c>
      <c r="AK590">
        <v>120.9</v>
      </c>
    </row>
    <row r="591" spans="1:37">
      <c r="A591" t="s">
        <v>88</v>
      </c>
      <c r="B591">
        <v>106</v>
      </c>
      <c r="C591">
        <v>408</v>
      </c>
      <c r="D591" t="s">
        <v>62</v>
      </c>
      <c r="E591" t="s">
        <v>62</v>
      </c>
      <c r="F591">
        <v>0</v>
      </c>
      <c r="G591">
        <v>220.7</v>
      </c>
      <c r="H591">
        <v>120</v>
      </c>
      <c r="I591">
        <v>37.52</v>
      </c>
      <c r="J591">
        <v>270.2</v>
      </c>
      <c r="K591">
        <v>95</v>
      </c>
      <c r="L591">
        <v>22.97</v>
      </c>
      <c r="M591">
        <v>121.6</v>
      </c>
      <c r="N591">
        <v>113</v>
      </c>
      <c r="O591">
        <v>5.47</v>
      </c>
      <c r="P591">
        <v>8.7</v>
      </c>
      <c r="Q591">
        <v>5</v>
      </c>
      <c r="R591">
        <v>2.35</v>
      </c>
      <c r="S591">
        <v>1</v>
      </c>
      <c r="T591" t="b">
        <v>0</v>
      </c>
      <c r="AK591">
        <v>224.7</v>
      </c>
    </row>
    <row r="592" spans="1:37">
      <c r="A592" t="s">
        <v>67</v>
      </c>
      <c r="B592">
        <v>146</v>
      </c>
      <c r="C592">
        <v>415</v>
      </c>
      <c r="D592" t="s">
        <v>62</v>
      </c>
      <c r="E592" t="s">
        <v>63</v>
      </c>
      <c r="F592">
        <v>32</v>
      </c>
      <c r="G592">
        <v>154</v>
      </c>
      <c r="H592">
        <v>80</v>
      </c>
      <c r="I592">
        <v>26.18</v>
      </c>
      <c r="J592">
        <v>185.5</v>
      </c>
      <c r="K592">
        <v>91</v>
      </c>
      <c r="L592">
        <v>15.77</v>
      </c>
      <c r="M592">
        <v>148.2</v>
      </c>
      <c r="N592">
        <v>107</v>
      </c>
      <c r="O592">
        <v>6.67</v>
      </c>
      <c r="P592">
        <v>8.2</v>
      </c>
      <c r="Q592">
        <v>4</v>
      </c>
      <c r="R592">
        <v>2.21</v>
      </c>
      <c r="S592">
        <v>3</v>
      </c>
      <c r="T592" t="b">
        <v>0</v>
      </c>
      <c r="AK592">
        <v>176.6</v>
      </c>
    </row>
    <row r="593" spans="1:20">
      <c r="A593" t="s">
        <v>69</v>
      </c>
      <c r="B593">
        <v>101</v>
      </c>
      <c r="C593">
        <v>415</v>
      </c>
      <c r="D593" t="s">
        <v>62</v>
      </c>
      <c r="E593" t="s">
        <v>63</v>
      </c>
      <c r="F593">
        <v>29</v>
      </c>
      <c r="G593">
        <v>121.1</v>
      </c>
      <c r="H593">
        <v>116</v>
      </c>
      <c r="I593">
        <v>20.59</v>
      </c>
      <c r="J593">
        <v>186.4</v>
      </c>
      <c r="K593">
        <v>100</v>
      </c>
      <c r="L593">
        <v>15.84</v>
      </c>
      <c r="M593">
        <v>241.7</v>
      </c>
      <c r="N593">
        <v>75</v>
      </c>
      <c r="O593">
        <v>10.88</v>
      </c>
      <c r="P593">
        <v>10.1</v>
      </c>
      <c r="Q593">
        <v>6</v>
      </c>
      <c r="R593">
        <v>2.73</v>
      </c>
      <c r="S593">
        <v>0</v>
      </c>
      <c r="T593" t="b">
        <v>0</v>
      </c>
    </row>
    <row r="594" spans="1:20">
      <c r="A594" t="s">
        <v>82</v>
      </c>
      <c r="B594">
        <v>22</v>
      </c>
      <c r="C594">
        <v>510</v>
      </c>
      <c r="D594" t="s">
        <v>62</v>
      </c>
      <c r="E594" t="s">
        <v>63</v>
      </c>
      <c r="F594">
        <v>23</v>
      </c>
      <c r="G594">
        <v>182.1</v>
      </c>
      <c r="H594">
        <v>94</v>
      </c>
      <c r="I594">
        <v>30.96</v>
      </c>
      <c r="J594">
        <v>164.6</v>
      </c>
      <c r="K594">
        <v>59</v>
      </c>
      <c r="L594">
        <v>13.99</v>
      </c>
      <c r="M594">
        <v>128.8</v>
      </c>
      <c r="N594">
        <v>102</v>
      </c>
      <c r="O594">
        <v>5.8</v>
      </c>
      <c r="P594">
        <v>12.7</v>
      </c>
      <c r="Q594">
        <v>4</v>
      </c>
      <c r="R594">
        <v>3.43</v>
      </c>
      <c r="S594">
        <v>3</v>
      </c>
      <c r="T594" t="b">
        <v>0</v>
      </c>
    </row>
    <row r="595" spans="1:20">
      <c r="A595" t="s">
        <v>106</v>
      </c>
      <c r="B595">
        <v>41</v>
      </c>
      <c r="C595">
        <v>415</v>
      </c>
      <c r="D595" t="s">
        <v>62</v>
      </c>
      <c r="E595" t="s">
        <v>62</v>
      </c>
      <c r="F595">
        <v>0</v>
      </c>
      <c r="G595">
        <v>209.9</v>
      </c>
      <c r="H595">
        <v>105</v>
      </c>
      <c r="I595">
        <v>35.68</v>
      </c>
      <c r="J595">
        <v>121.9</v>
      </c>
      <c r="K595">
        <v>105</v>
      </c>
      <c r="L595">
        <v>10.36</v>
      </c>
      <c r="M595">
        <v>253.7</v>
      </c>
      <c r="N595">
        <v>104</v>
      </c>
      <c r="O595">
        <v>11.42</v>
      </c>
      <c r="P595">
        <v>9.6</v>
      </c>
      <c r="Q595">
        <v>4</v>
      </c>
      <c r="R595">
        <v>2.59</v>
      </c>
      <c r="S595">
        <v>1</v>
      </c>
      <c r="T595" t="b">
        <v>0</v>
      </c>
    </row>
    <row r="596" spans="1:20">
      <c r="A596" t="s">
        <v>94</v>
      </c>
      <c r="B596">
        <v>69</v>
      </c>
      <c r="C596">
        <v>415</v>
      </c>
      <c r="D596" t="s">
        <v>62</v>
      </c>
      <c r="E596" t="s">
        <v>62</v>
      </c>
      <c r="F596">
        <v>0</v>
      </c>
      <c r="G596">
        <v>167.5</v>
      </c>
      <c r="H596">
        <v>76</v>
      </c>
      <c r="I596">
        <v>28.48</v>
      </c>
      <c r="J596">
        <v>242.1</v>
      </c>
      <c r="K596">
        <v>92</v>
      </c>
      <c r="L596">
        <v>20.58</v>
      </c>
      <c r="M596">
        <v>101.2</v>
      </c>
      <c r="N596">
        <v>103</v>
      </c>
      <c r="O596">
        <v>4.55</v>
      </c>
      <c r="P596">
        <v>11.4</v>
      </c>
      <c r="Q596">
        <v>4</v>
      </c>
      <c r="R596">
        <v>3.08</v>
      </c>
      <c r="S596">
        <v>2</v>
      </c>
      <c r="T596" t="b">
        <v>0</v>
      </c>
    </row>
    <row r="597" spans="1:20">
      <c r="A597" t="s">
        <v>85</v>
      </c>
      <c r="B597">
        <v>33</v>
      </c>
      <c r="C597">
        <v>415</v>
      </c>
      <c r="D597" t="s">
        <v>62</v>
      </c>
      <c r="E597" t="s">
        <v>62</v>
      </c>
      <c r="F597">
        <v>0</v>
      </c>
      <c r="G597">
        <v>213.9</v>
      </c>
      <c r="H597">
        <v>88</v>
      </c>
      <c r="I597">
        <v>36.36</v>
      </c>
      <c r="J597">
        <v>239.8</v>
      </c>
      <c r="K597">
        <v>119</v>
      </c>
      <c r="L597">
        <v>20.38</v>
      </c>
      <c r="M597">
        <v>148.7</v>
      </c>
      <c r="N597">
        <v>71</v>
      </c>
      <c r="O597">
        <v>6.69</v>
      </c>
      <c r="P597">
        <v>9.8</v>
      </c>
      <c r="Q597">
        <v>14</v>
      </c>
      <c r="R597">
        <v>2.65</v>
      </c>
      <c r="S597">
        <v>2</v>
      </c>
      <c r="T597" t="b">
        <v>0</v>
      </c>
    </row>
    <row r="598" spans="1:20">
      <c r="A598" t="s">
        <v>97</v>
      </c>
      <c r="B598">
        <v>112</v>
      </c>
      <c r="C598">
        <v>415</v>
      </c>
      <c r="D598" t="s">
        <v>62</v>
      </c>
      <c r="E598" t="s">
        <v>62</v>
      </c>
      <c r="F598">
        <v>0</v>
      </c>
      <c r="G598">
        <v>115.8</v>
      </c>
      <c r="H598">
        <v>108</v>
      </c>
      <c r="I598">
        <v>19.69</v>
      </c>
      <c r="J598">
        <v>243.3</v>
      </c>
      <c r="K598">
        <v>111</v>
      </c>
      <c r="L598">
        <v>20.68</v>
      </c>
      <c r="M598">
        <v>184.6</v>
      </c>
      <c r="N598">
        <v>78</v>
      </c>
      <c r="O598">
        <v>8.31</v>
      </c>
      <c r="P598">
        <v>13.1</v>
      </c>
      <c r="Q598">
        <v>5</v>
      </c>
      <c r="R598">
        <v>3.54</v>
      </c>
      <c r="S598">
        <v>1</v>
      </c>
      <c r="T598" t="b">
        <v>0</v>
      </c>
    </row>
    <row r="599" spans="1:20">
      <c r="A599" t="s">
        <v>104</v>
      </c>
      <c r="B599">
        <v>136</v>
      </c>
      <c r="C599">
        <v>415</v>
      </c>
      <c r="D599" t="s">
        <v>62</v>
      </c>
      <c r="E599" t="s">
        <v>63</v>
      </c>
      <c r="F599">
        <v>21</v>
      </c>
      <c r="G599">
        <v>179.4</v>
      </c>
      <c r="H599">
        <v>88</v>
      </c>
      <c r="I599">
        <v>30.5</v>
      </c>
      <c r="J599">
        <v>181.1</v>
      </c>
      <c r="K599">
        <v>97</v>
      </c>
      <c r="L599">
        <v>15.39</v>
      </c>
      <c r="M599">
        <v>320.7</v>
      </c>
      <c r="N599">
        <v>120</v>
      </c>
      <c r="O599">
        <v>14.43</v>
      </c>
      <c r="P599">
        <v>9.5</v>
      </c>
      <c r="Q599">
        <v>4</v>
      </c>
      <c r="R599">
        <v>2.57</v>
      </c>
      <c r="S599">
        <v>2</v>
      </c>
      <c r="T599" t="b">
        <v>0</v>
      </c>
    </row>
    <row r="600" spans="1:20">
      <c r="A600" t="s">
        <v>100</v>
      </c>
      <c r="B600">
        <v>128</v>
      </c>
      <c r="C600">
        <v>510</v>
      </c>
      <c r="D600" t="s">
        <v>62</v>
      </c>
      <c r="E600" t="s">
        <v>62</v>
      </c>
      <c r="F600">
        <v>0</v>
      </c>
      <c r="G600">
        <v>187.3</v>
      </c>
      <c r="H600">
        <v>84</v>
      </c>
      <c r="I600">
        <v>31.84</v>
      </c>
      <c r="J600">
        <v>270.8</v>
      </c>
      <c r="K600">
        <v>95</v>
      </c>
      <c r="L600">
        <v>23.02</v>
      </c>
      <c r="M600">
        <v>206.4</v>
      </c>
      <c r="N600">
        <v>68</v>
      </c>
      <c r="O600">
        <v>9.29</v>
      </c>
      <c r="P600">
        <v>10.1</v>
      </c>
      <c r="Q600">
        <v>5</v>
      </c>
      <c r="R600">
        <v>2.73</v>
      </c>
      <c r="S600">
        <v>1</v>
      </c>
      <c r="T600" t="b">
        <v>0</v>
      </c>
    </row>
    <row r="601" spans="1:20">
      <c r="A601" t="s">
        <v>100</v>
      </c>
      <c r="B601">
        <v>27</v>
      </c>
      <c r="C601">
        <v>408</v>
      </c>
      <c r="D601" t="s">
        <v>62</v>
      </c>
      <c r="E601" t="s">
        <v>62</v>
      </c>
      <c r="F601">
        <v>0</v>
      </c>
      <c r="G601">
        <v>201.2</v>
      </c>
      <c r="H601">
        <v>128</v>
      </c>
      <c r="I601">
        <v>34.2</v>
      </c>
      <c r="J601">
        <v>227.2</v>
      </c>
      <c r="K601">
        <v>100</v>
      </c>
      <c r="L601">
        <v>19.31</v>
      </c>
      <c r="M601">
        <v>145.8</v>
      </c>
      <c r="N601">
        <v>91</v>
      </c>
      <c r="O601">
        <v>6.56</v>
      </c>
      <c r="P601">
        <v>8.4</v>
      </c>
      <c r="Q601">
        <v>3</v>
      </c>
      <c r="R601">
        <v>2.27</v>
      </c>
      <c r="S601">
        <v>2</v>
      </c>
      <c r="T601" t="b">
        <v>0</v>
      </c>
    </row>
    <row r="602" spans="1:20">
      <c r="A602" t="s">
        <v>85</v>
      </c>
      <c r="B602">
        <v>161</v>
      </c>
      <c r="C602">
        <v>415</v>
      </c>
      <c r="D602" t="s">
        <v>63</v>
      </c>
      <c r="E602" t="s">
        <v>62</v>
      </c>
      <c r="F602">
        <v>0</v>
      </c>
      <c r="G602">
        <v>189.6</v>
      </c>
      <c r="H602">
        <v>78</v>
      </c>
      <c r="I602">
        <v>32.23</v>
      </c>
      <c r="J602">
        <v>267.4</v>
      </c>
      <c r="K602">
        <v>117</v>
      </c>
      <c r="L602">
        <v>22.73</v>
      </c>
      <c r="M602">
        <v>184.5</v>
      </c>
      <c r="N602">
        <v>137</v>
      </c>
      <c r="O602">
        <v>8.3</v>
      </c>
      <c r="P602">
        <v>1.3</v>
      </c>
      <c r="Q602">
        <v>6</v>
      </c>
      <c r="R602">
        <v>0.35</v>
      </c>
      <c r="S602">
        <v>1</v>
      </c>
      <c r="T602" t="b">
        <v>0</v>
      </c>
    </row>
    <row r="603" spans="1:20">
      <c r="A603" t="s">
        <v>81</v>
      </c>
      <c r="B603">
        <v>120</v>
      </c>
      <c r="C603">
        <v>415</v>
      </c>
      <c r="D603" t="s">
        <v>62</v>
      </c>
      <c r="E603" t="s">
        <v>63</v>
      </c>
      <c r="F603">
        <v>31</v>
      </c>
      <c r="G603">
        <v>153.5</v>
      </c>
      <c r="H603">
        <v>83</v>
      </c>
      <c r="I603">
        <v>26.1</v>
      </c>
      <c r="J603">
        <v>219.1</v>
      </c>
      <c r="K603">
        <v>96</v>
      </c>
      <c r="L603">
        <v>18.62</v>
      </c>
      <c r="M603">
        <v>237.4</v>
      </c>
      <c r="N603">
        <v>76</v>
      </c>
      <c r="O603">
        <v>10.68</v>
      </c>
      <c r="P603">
        <v>11.4</v>
      </c>
      <c r="Q603">
        <v>4</v>
      </c>
      <c r="R603">
        <v>3.08</v>
      </c>
      <c r="S603">
        <v>0</v>
      </c>
      <c r="T603" t="b">
        <v>0</v>
      </c>
    </row>
    <row r="604" spans="1:20">
      <c r="A604" t="s">
        <v>98</v>
      </c>
      <c r="B604">
        <v>113</v>
      </c>
      <c r="C604">
        <v>415</v>
      </c>
      <c r="D604" t="s">
        <v>62</v>
      </c>
      <c r="E604" t="s">
        <v>62</v>
      </c>
      <c r="F604">
        <v>0</v>
      </c>
      <c r="G604">
        <v>187.6</v>
      </c>
      <c r="H604">
        <v>97</v>
      </c>
      <c r="I604">
        <v>31.89</v>
      </c>
      <c r="J604">
        <v>208.2</v>
      </c>
      <c r="K604">
        <v>118</v>
      </c>
      <c r="L604">
        <v>17.7</v>
      </c>
      <c r="M604">
        <v>158.9</v>
      </c>
      <c r="N604">
        <v>101</v>
      </c>
      <c r="O604">
        <v>7.15</v>
      </c>
      <c r="P604">
        <v>8.7</v>
      </c>
      <c r="Q604">
        <v>6</v>
      </c>
      <c r="R604">
        <v>2.35</v>
      </c>
      <c r="S604">
        <v>2</v>
      </c>
      <c r="T604" t="b">
        <v>0</v>
      </c>
    </row>
    <row r="605" spans="1:20">
      <c r="A605" t="s">
        <v>113</v>
      </c>
      <c r="B605">
        <v>122</v>
      </c>
      <c r="C605">
        <v>415</v>
      </c>
      <c r="D605" t="s">
        <v>63</v>
      </c>
      <c r="E605" t="s">
        <v>62</v>
      </c>
      <c r="F605">
        <v>0</v>
      </c>
      <c r="G605">
        <v>230.9</v>
      </c>
      <c r="H605">
        <v>132</v>
      </c>
      <c r="I605">
        <v>39.25</v>
      </c>
      <c r="J605">
        <v>243.2</v>
      </c>
      <c r="K605">
        <v>99</v>
      </c>
      <c r="L605">
        <v>20.67</v>
      </c>
      <c r="M605">
        <v>182.4</v>
      </c>
      <c r="N605">
        <v>57</v>
      </c>
      <c r="O605">
        <v>8.21</v>
      </c>
      <c r="P605">
        <v>11</v>
      </c>
      <c r="Q605">
        <v>2</v>
      </c>
      <c r="R605">
        <v>2.97</v>
      </c>
      <c r="S605">
        <v>0</v>
      </c>
      <c r="T605" t="b">
        <v>1</v>
      </c>
    </row>
    <row r="606" spans="1:20">
      <c r="A606" t="s">
        <v>71</v>
      </c>
      <c r="B606">
        <v>148</v>
      </c>
      <c r="C606">
        <v>415</v>
      </c>
      <c r="D606" t="s">
        <v>62</v>
      </c>
      <c r="E606" t="s">
        <v>63</v>
      </c>
      <c r="F606">
        <v>26</v>
      </c>
      <c r="G606">
        <v>244.9</v>
      </c>
      <c r="H606">
        <v>150</v>
      </c>
      <c r="I606">
        <v>41.63</v>
      </c>
      <c r="J606">
        <v>118</v>
      </c>
      <c r="K606">
        <v>138</v>
      </c>
      <c r="L606">
        <v>10.03</v>
      </c>
      <c r="M606">
        <v>236</v>
      </c>
      <c r="N606">
        <v>91</v>
      </c>
      <c r="O606">
        <v>10.62</v>
      </c>
      <c r="P606">
        <v>15.2</v>
      </c>
      <c r="Q606">
        <v>4</v>
      </c>
      <c r="R606">
        <v>4.1</v>
      </c>
      <c r="S606">
        <v>2</v>
      </c>
      <c r="T606" t="b">
        <v>0</v>
      </c>
    </row>
    <row r="607" spans="1:20">
      <c r="A607" t="s">
        <v>65</v>
      </c>
      <c r="B607">
        <v>74</v>
      </c>
      <c r="C607">
        <v>415</v>
      </c>
      <c r="D607" t="s">
        <v>62</v>
      </c>
      <c r="E607" t="s">
        <v>62</v>
      </c>
      <c r="F607">
        <v>0</v>
      </c>
      <c r="G607">
        <v>230.9</v>
      </c>
      <c r="H607">
        <v>93</v>
      </c>
      <c r="I607">
        <v>39.25</v>
      </c>
      <c r="J607">
        <v>223</v>
      </c>
      <c r="K607">
        <v>78</v>
      </c>
      <c r="L607">
        <v>18.96</v>
      </c>
      <c r="M607">
        <v>157.8</v>
      </c>
      <c r="N607">
        <v>101</v>
      </c>
      <c r="O607">
        <v>7.1</v>
      </c>
      <c r="P607">
        <v>9.7</v>
      </c>
      <c r="Q607">
        <v>2</v>
      </c>
      <c r="R607">
        <v>2.62</v>
      </c>
      <c r="S607">
        <v>3</v>
      </c>
      <c r="T607" t="b">
        <v>0</v>
      </c>
    </row>
    <row r="608" spans="1:20">
      <c r="A608" t="s">
        <v>76</v>
      </c>
      <c r="B608">
        <v>106</v>
      </c>
      <c r="C608">
        <v>415</v>
      </c>
      <c r="D608" t="s">
        <v>62</v>
      </c>
      <c r="E608" t="s">
        <v>62</v>
      </c>
      <c r="F608">
        <v>0</v>
      </c>
      <c r="G608">
        <v>187.1</v>
      </c>
      <c r="H608">
        <v>104</v>
      </c>
      <c r="I608">
        <v>31.81</v>
      </c>
      <c r="J608">
        <v>250.2</v>
      </c>
      <c r="K608">
        <v>117</v>
      </c>
      <c r="L608">
        <v>21.27</v>
      </c>
      <c r="M608">
        <v>144.9</v>
      </c>
      <c r="N608">
        <v>81</v>
      </c>
      <c r="O608">
        <v>6.52</v>
      </c>
      <c r="P608">
        <v>11</v>
      </c>
      <c r="Q608">
        <v>3</v>
      </c>
      <c r="R608">
        <v>2.97</v>
      </c>
      <c r="S608">
        <v>1</v>
      </c>
      <c r="T608" t="b">
        <v>0</v>
      </c>
    </row>
    <row r="609" spans="1:20">
      <c r="A609" t="s">
        <v>102</v>
      </c>
      <c r="B609">
        <v>179</v>
      </c>
      <c r="C609">
        <v>415</v>
      </c>
      <c r="D609" t="s">
        <v>62</v>
      </c>
      <c r="E609" t="s">
        <v>62</v>
      </c>
      <c r="F609">
        <v>0</v>
      </c>
      <c r="G609">
        <v>170.7</v>
      </c>
      <c r="H609">
        <v>54</v>
      </c>
      <c r="I609">
        <v>29.02</v>
      </c>
      <c r="J609">
        <v>191.1</v>
      </c>
      <c r="K609">
        <v>108</v>
      </c>
      <c r="L609">
        <v>16.24</v>
      </c>
      <c r="M609">
        <v>214.6</v>
      </c>
      <c r="N609">
        <v>107</v>
      </c>
      <c r="O609">
        <v>9.66</v>
      </c>
      <c r="P609">
        <v>13.3</v>
      </c>
      <c r="Q609">
        <v>4</v>
      </c>
      <c r="R609">
        <v>3.59</v>
      </c>
      <c r="S609">
        <v>1</v>
      </c>
      <c r="T609" t="b">
        <v>0</v>
      </c>
    </row>
    <row r="610" spans="1:20">
      <c r="A610" t="s">
        <v>77</v>
      </c>
      <c r="B610">
        <v>77</v>
      </c>
      <c r="C610">
        <v>510</v>
      </c>
      <c r="D610" t="s">
        <v>62</v>
      </c>
      <c r="E610" t="s">
        <v>62</v>
      </c>
      <c r="F610">
        <v>0</v>
      </c>
      <c r="G610">
        <v>189.5</v>
      </c>
      <c r="H610">
        <v>112</v>
      </c>
      <c r="I610">
        <v>32.22</v>
      </c>
      <c r="J610">
        <v>207</v>
      </c>
      <c r="K610">
        <v>95</v>
      </c>
      <c r="L610">
        <v>17.6</v>
      </c>
      <c r="M610">
        <v>214.1</v>
      </c>
      <c r="N610">
        <v>91</v>
      </c>
      <c r="O610">
        <v>9.63</v>
      </c>
      <c r="P610">
        <v>9.2</v>
      </c>
      <c r="Q610">
        <v>7</v>
      </c>
      <c r="R610">
        <v>2.48</v>
      </c>
      <c r="S610">
        <v>0</v>
      </c>
      <c r="T610" t="b">
        <v>0</v>
      </c>
    </row>
    <row r="611" spans="1:20">
      <c r="A611" t="s">
        <v>68</v>
      </c>
      <c r="B611">
        <v>127</v>
      </c>
      <c r="C611">
        <v>408</v>
      </c>
      <c r="D611" t="s">
        <v>63</v>
      </c>
      <c r="E611" t="s">
        <v>62</v>
      </c>
      <c r="F611">
        <v>0</v>
      </c>
      <c r="G611">
        <v>176.9</v>
      </c>
      <c r="H611">
        <v>110</v>
      </c>
      <c r="I611">
        <v>30.07</v>
      </c>
      <c r="J611">
        <v>167.9</v>
      </c>
      <c r="K611">
        <v>100</v>
      </c>
      <c r="L611">
        <v>14.27</v>
      </c>
      <c r="M611">
        <v>182.2</v>
      </c>
      <c r="N611">
        <v>138</v>
      </c>
      <c r="O611">
        <v>8.2</v>
      </c>
      <c r="P611">
        <v>7.7</v>
      </c>
      <c r="Q611">
        <v>2</v>
      </c>
      <c r="R611">
        <v>2.08</v>
      </c>
      <c r="S611">
        <v>1</v>
      </c>
      <c r="T611" t="b">
        <v>1</v>
      </c>
    </row>
    <row r="612" spans="1:20">
      <c r="A612" t="s">
        <v>94</v>
      </c>
      <c r="B612">
        <v>80</v>
      </c>
      <c r="C612">
        <v>415</v>
      </c>
      <c r="D612" t="s">
        <v>62</v>
      </c>
      <c r="E612" t="s">
        <v>62</v>
      </c>
      <c r="F612">
        <v>0</v>
      </c>
      <c r="G612">
        <v>161.1</v>
      </c>
      <c r="H612">
        <v>99</v>
      </c>
      <c r="I612">
        <v>27.39</v>
      </c>
      <c r="J612">
        <v>198.8</v>
      </c>
      <c r="K612">
        <v>81</v>
      </c>
      <c r="L612">
        <v>16.9</v>
      </c>
      <c r="M612">
        <v>228.4</v>
      </c>
      <c r="N612">
        <v>116</v>
      </c>
      <c r="O612">
        <v>10.28</v>
      </c>
      <c r="P612">
        <v>10.6</v>
      </c>
      <c r="Q612">
        <v>4</v>
      </c>
      <c r="R612">
        <v>2.86</v>
      </c>
      <c r="S612">
        <v>1</v>
      </c>
      <c r="T612" t="b">
        <v>0</v>
      </c>
    </row>
    <row r="613" spans="1:20">
      <c r="A613" t="s">
        <v>67</v>
      </c>
      <c r="B613">
        <v>61</v>
      </c>
      <c r="C613">
        <v>415</v>
      </c>
      <c r="D613" t="s">
        <v>62</v>
      </c>
      <c r="E613" t="s">
        <v>63</v>
      </c>
      <c r="F613">
        <v>20</v>
      </c>
      <c r="G613">
        <v>254.4</v>
      </c>
      <c r="H613">
        <v>133</v>
      </c>
      <c r="I613">
        <v>43.25</v>
      </c>
      <c r="J613">
        <v>161.7</v>
      </c>
      <c r="K613">
        <v>96</v>
      </c>
      <c r="L613">
        <v>13.74</v>
      </c>
      <c r="M613">
        <v>251.4</v>
      </c>
      <c r="N613">
        <v>91</v>
      </c>
      <c r="O613">
        <v>11.31</v>
      </c>
      <c r="P613">
        <v>10.5</v>
      </c>
      <c r="Q613">
        <v>4</v>
      </c>
      <c r="R613">
        <v>2.84</v>
      </c>
      <c r="S613">
        <v>0</v>
      </c>
      <c r="T613" t="b">
        <v>0</v>
      </c>
    </row>
    <row r="614" spans="1:20">
      <c r="A614" t="s">
        <v>115</v>
      </c>
      <c r="B614">
        <v>135</v>
      </c>
      <c r="C614">
        <v>510</v>
      </c>
      <c r="D614" t="s">
        <v>63</v>
      </c>
      <c r="E614" t="s">
        <v>63</v>
      </c>
      <c r="F614">
        <v>24</v>
      </c>
      <c r="G614">
        <v>127.7</v>
      </c>
      <c r="H614">
        <v>54</v>
      </c>
      <c r="I614">
        <v>21.71</v>
      </c>
      <c r="J614">
        <v>215</v>
      </c>
      <c r="K614">
        <v>105</v>
      </c>
      <c r="L614">
        <v>18.28</v>
      </c>
      <c r="M614">
        <v>234.3</v>
      </c>
      <c r="N614">
        <v>84</v>
      </c>
      <c r="O614">
        <v>10.54</v>
      </c>
      <c r="P614">
        <v>5.8</v>
      </c>
      <c r="Q614">
        <v>4</v>
      </c>
      <c r="R614">
        <v>1.57</v>
      </c>
      <c r="S614">
        <v>2</v>
      </c>
      <c r="T614" t="b">
        <v>0</v>
      </c>
    </row>
    <row r="615" spans="1:20">
      <c r="A615" t="s">
        <v>88</v>
      </c>
      <c r="B615">
        <v>115</v>
      </c>
      <c r="C615">
        <v>415</v>
      </c>
      <c r="D615" t="s">
        <v>62</v>
      </c>
      <c r="E615" t="s">
        <v>63</v>
      </c>
      <c r="F615">
        <v>26</v>
      </c>
      <c r="G615">
        <v>170.5</v>
      </c>
      <c r="H615">
        <v>107</v>
      </c>
      <c r="I615">
        <v>28.99</v>
      </c>
      <c r="J615">
        <v>217.2</v>
      </c>
      <c r="K615">
        <v>77</v>
      </c>
      <c r="L615">
        <v>18.46</v>
      </c>
      <c r="M615">
        <v>225.7</v>
      </c>
      <c r="N615">
        <v>71</v>
      </c>
      <c r="O615">
        <v>10.16</v>
      </c>
      <c r="P615">
        <v>13.6</v>
      </c>
      <c r="Q615">
        <v>5</v>
      </c>
      <c r="R615">
        <v>3.67</v>
      </c>
      <c r="S615">
        <v>6</v>
      </c>
      <c r="T615" t="b">
        <v>0</v>
      </c>
    </row>
    <row r="616" spans="1:20">
      <c r="A616" t="s">
        <v>109</v>
      </c>
      <c r="B616">
        <v>107</v>
      </c>
      <c r="C616">
        <v>510</v>
      </c>
      <c r="D616" t="s">
        <v>63</v>
      </c>
      <c r="E616" t="s">
        <v>62</v>
      </c>
      <c r="F616">
        <v>0</v>
      </c>
      <c r="G616">
        <v>273.5</v>
      </c>
      <c r="H616">
        <v>104</v>
      </c>
      <c r="I616">
        <v>46.5</v>
      </c>
      <c r="J616">
        <v>183.8</v>
      </c>
      <c r="K616">
        <v>68</v>
      </c>
      <c r="L616">
        <v>15.62</v>
      </c>
      <c r="M616">
        <v>153.8</v>
      </c>
      <c r="N616">
        <v>67</v>
      </c>
      <c r="O616">
        <v>6.92</v>
      </c>
      <c r="P616">
        <v>11</v>
      </c>
      <c r="Q616">
        <v>9</v>
      </c>
      <c r="R616">
        <v>2.97</v>
      </c>
      <c r="S616">
        <v>2</v>
      </c>
      <c r="T616" t="b">
        <v>0</v>
      </c>
    </row>
    <row r="617" spans="1:20">
      <c r="A617" t="s">
        <v>71</v>
      </c>
      <c r="B617">
        <v>112</v>
      </c>
      <c r="C617">
        <v>415</v>
      </c>
      <c r="D617" t="s">
        <v>63</v>
      </c>
      <c r="E617" t="s">
        <v>62</v>
      </c>
      <c r="F617">
        <v>0</v>
      </c>
      <c r="G617">
        <v>161.9</v>
      </c>
      <c r="H617">
        <v>138</v>
      </c>
      <c r="I617">
        <v>27.52</v>
      </c>
      <c r="J617">
        <v>200.9</v>
      </c>
      <c r="K617">
        <v>114</v>
      </c>
      <c r="L617">
        <v>17.08</v>
      </c>
      <c r="M617">
        <v>134</v>
      </c>
      <c r="N617">
        <v>134</v>
      </c>
      <c r="O617">
        <v>6.03</v>
      </c>
      <c r="P617">
        <v>10.7</v>
      </c>
      <c r="Q617">
        <v>4</v>
      </c>
      <c r="R617">
        <v>2.89</v>
      </c>
      <c r="S617">
        <v>1</v>
      </c>
      <c r="T617" t="b">
        <v>0</v>
      </c>
    </row>
    <row r="618" spans="1:20">
      <c r="A618" t="s">
        <v>61</v>
      </c>
      <c r="B618">
        <v>103</v>
      </c>
      <c r="C618">
        <v>408</v>
      </c>
      <c r="D618" t="s">
        <v>63</v>
      </c>
      <c r="E618" t="s">
        <v>62</v>
      </c>
      <c r="F618">
        <v>0</v>
      </c>
      <c r="G618">
        <v>62.8</v>
      </c>
      <c r="H618">
        <v>124</v>
      </c>
      <c r="I618">
        <v>10.68</v>
      </c>
      <c r="J618">
        <v>170.4</v>
      </c>
      <c r="K618">
        <v>66</v>
      </c>
      <c r="L618">
        <v>14.48</v>
      </c>
      <c r="M618">
        <v>280.2</v>
      </c>
      <c r="N618">
        <v>78</v>
      </c>
      <c r="O618">
        <v>12.61</v>
      </c>
      <c r="P618">
        <v>9.4</v>
      </c>
      <c r="Q618">
        <v>4</v>
      </c>
      <c r="R618">
        <v>2.54</v>
      </c>
      <c r="S618">
        <v>3</v>
      </c>
      <c r="T618" t="b">
        <v>0</v>
      </c>
    </row>
    <row r="619" spans="1:20">
      <c r="A619" t="s">
        <v>113</v>
      </c>
      <c r="B619">
        <v>69</v>
      </c>
      <c r="C619">
        <v>415</v>
      </c>
      <c r="D619" t="s">
        <v>62</v>
      </c>
      <c r="E619" t="s">
        <v>62</v>
      </c>
      <c r="F619">
        <v>0</v>
      </c>
      <c r="G619">
        <v>228.2</v>
      </c>
      <c r="H619">
        <v>70</v>
      </c>
      <c r="I619">
        <v>38.79</v>
      </c>
      <c r="J619">
        <v>263.7</v>
      </c>
      <c r="K619">
        <v>80</v>
      </c>
      <c r="L619">
        <v>22.41</v>
      </c>
      <c r="M619">
        <v>142.6</v>
      </c>
      <c r="N619">
        <v>60</v>
      </c>
      <c r="O619">
        <v>6.42</v>
      </c>
      <c r="P619">
        <v>10.7</v>
      </c>
      <c r="Q619">
        <v>5</v>
      </c>
      <c r="R619">
        <v>2.89</v>
      </c>
      <c r="S619">
        <v>3</v>
      </c>
      <c r="T619" t="b">
        <v>0</v>
      </c>
    </row>
    <row r="620" spans="1:20">
      <c r="A620" t="s">
        <v>99</v>
      </c>
      <c r="B620">
        <v>85</v>
      </c>
      <c r="C620">
        <v>408</v>
      </c>
      <c r="D620" t="s">
        <v>62</v>
      </c>
      <c r="E620" t="s">
        <v>62</v>
      </c>
      <c r="F620">
        <v>0</v>
      </c>
      <c r="G620">
        <v>209.8</v>
      </c>
      <c r="H620">
        <v>82</v>
      </c>
      <c r="I620">
        <v>35.67</v>
      </c>
      <c r="J620">
        <v>194.5</v>
      </c>
      <c r="K620">
        <v>94</v>
      </c>
      <c r="L620">
        <v>16.53</v>
      </c>
      <c r="M620">
        <v>200.4</v>
      </c>
      <c r="N620">
        <v>85</v>
      </c>
      <c r="O620">
        <v>9.02</v>
      </c>
      <c r="P620">
        <v>11.3</v>
      </c>
      <c r="Q620">
        <v>3</v>
      </c>
      <c r="R620">
        <v>3.05</v>
      </c>
      <c r="S620">
        <v>0</v>
      </c>
      <c r="T620" t="b">
        <v>0</v>
      </c>
    </row>
    <row r="621" spans="1:20">
      <c r="A621" t="s">
        <v>65</v>
      </c>
      <c r="B621">
        <v>24</v>
      </c>
      <c r="C621">
        <v>408</v>
      </c>
      <c r="D621" t="s">
        <v>62</v>
      </c>
      <c r="E621" t="s">
        <v>62</v>
      </c>
      <c r="F621">
        <v>0</v>
      </c>
      <c r="G621">
        <v>265.6</v>
      </c>
      <c r="H621">
        <v>86</v>
      </c>
      <c r="I621">
        <v>45.15</v>
      </c>
      <c r="J621">
        <v>208.8</v>
      </c>
      <c r="K621">
        <v>102</v>
      </c>
      <c r="L621">
        <v>17.75</v>
      </c>
      <c r="M621">
        <v>182.5</v>
      </c>
      <c r="N621">
        <v>105</v>
      </c>
      <c r="O621">
        <v>8.21</v>
      </c>
      <c r="P621">
        <v>11.1</v>
      </c>
      <c r="Q621">
        <v>6</v>
      </c>
      <c r="R621">
        <v>3</v>
      </c>
      <c r="S621">
        <v>2</v>
      </c>
      <c r="T621" t="b">
        <v>1</v>
      </c>
    </row>
    <row r="622" spans="1:20">
      <c r="A622" t="s">
        <v>67</v>
      </c>
      <c r="B622">
        <v>90</v>
      </c>
      <c r="C622">
        <v>415</v>
      </c>
      <c r="D622" t="s">
        <v>62</v>
      </c>
      <c r="E622" t="s">
        <v>62</v>
      </c>
      <c r="F622">
        <v>0</v>
      </c>
      <c r="G622">
        <v>214.9</v>
      </c>
      <c r="H622">
        <v>97</v>
      </c>
      <c r="I622">
        <v>36.53</v>
      </c>
      <c r="J622">
        <v>117.8</v>
      </c>
      <c r="K622">
        <v>117</v>
      </c>
      <c r="L622">
        <v>10.01</v>
      </c>
      <c r="M622">
        <v>133.7</v>
      </c>
      <c r="N622">
        <v>78</v>
      </c>
      <c r="O622">
        <v>6.02</v>
      </c>
      <c r="P622">
        <v>11.8</v>
      </c>
      <c r="Q622">
        <v>2</v>
      </c>
      <c r="R622">
        <v>3.19</v>
      </c>
      <c r="S622">
        <v>2</v>
      </c>
      <c r="T622" t="b">
        <v>0</v>
      </c>
    </row>
    <row r="623" spans="1:20">
      <c r="A623" t="s">
        <v>108</v>
      </c>
      <c r="B623">
        <v>137</v>
      </c>
      <c r="C623">
        <v>510</v>
      </c>
      <c r="D623" t="s">
        <v>62</v>
      </c>
      <c r="E623" t="s">
        <v>62</v>
      </c>
      <c r="F623">
        <v>0</v>
      </c>
      <c r="G623">
        <v>110.5</v>
      </c>
      <c r="H623">
        <v>79</v>
      </c>
      <c r="I623">
        <v>18.79</v>
      </c>
      <c r="J623">
        <v>223.2</v>
      </c>
      <c r="K623">
        <v>111</v>
      </c>
      <c r="L623">
        <v>18.97</v>
      </c>
      <c r="M623">
        <v>169.5</v>
      </c>
      <c r="N623">
        <v>64</v>
      </c>
      <c r="O623">
        <v>7.63</v>
      </c>
      <c r="P623">
        <v>10.5</v>
      </c>
      <c r="Q623">
        <v>3</v>
      </c>
      <c r="R623">
        <v>2.84</v>
      </c>
      <c r="S623">
        <v>3</v>
      </c>
      <c r="T623" t="b">
        <v>0</v>
      </c>
    </row>
    <row r="624" spans="1:20">
      <c r="A624" t="s">
        <v>104</v>
      </c>
      <c r="B624">
        <v>69</v>
      </c>
      <c r="C624">
        <v>510</v>
      </c>
      <c r="D624" t="s">
        <v>63</v>
      </c>
      <c r="E624" t="s">
        <v>63</v>
      </c>
      <c r="F624">
        <v>33</v>
      </c>
      <c r="G624">
        <v>271.5</v>
      </c>
      <c r="H624">
        <v>98</v>
      </c>
      <c r="I624">
        <v>46.16</v>
      </c>
      <c r="J624">
        <v>253.4</v>
      </c>
      <c r="K624">
        <v>102</v>
      </c>
      <c r="L624">
        <v>21.54</v>
      </c>
      <c r="M624">
        <v>165.4</v>
      </c>
      <c r="N624">
        <v>85</v>
      </c>
      <c r="O624">
        <v>7.44</v>
      </c>
      <c r="P624">
        <v>8.2</v>
      </c>
      <c r="Q624">
        <v>2</v>
      </c>
      <c r="R624">
        <v>2.21</v>
      </c>
      <c r="S624">
        <v>1</v>
      </c>
      <c r="T624" t="b">
        <v>1</v>
      </c>
    </row>
    <row r="625" spans="1:20">
      <c r="A625" t="s">
        <v>93</v>
      </c>
      <c r="B625">
        <v>45</v>
      </c>
      <c r="C625">
        <v>408</v>
      </c>
      <c r="D625" t="s">
        <v>62</v>
      </c>
      <c r="E625" t="s">
        <v>62</v>
      </c>
      <c r="F625">
        <v>0</v>
      </c>
      <c r="G625">
        <v>112.8</v>
      </c>
      <c r="H625">
        <v>108</v>
      </c>
      <c r="I625">
        <v>19.18</v>
      </c>
      <c r="J625">
        <v>218.8</v>
      </c>
      <c r="K625">
        <v>120</v>
      </c>
      <c r="L625">
        <v>18.6</v>
      </c>
      <c r="M625">
        <v>240.2</v>
      </c>
      <c r="N625">
        <v>106</v>
      </c>
      <c r="O625">
        <v>10.81</v>
      </c>
      <c r="P625">
        <v>9</v>
      </c>
      <c r="Q625">
        <v>3</v>
      </c>
      <c r="R625">
        <v>2.43</v>
      </c>
      <c r="S625">
        <v>2</v>
      </c>
      <c r="T625" t="b">
        <v>0</v>
      </c>
    </row>
    <row r="626" spans="1:20">
      <c r="A626" t="s">
        <v>114</v>
      </c>
      <c r="B626">
        <v>73</v>
      </c>
      <c r="C626">
        <v>408</v>
      </c>
      <c r="D626" t="s">
        <v>62</v>
      </c>
      <c r="E626" t="s">
        <v>62</v>
      </c>
      <c r="F626">
        <v>0</v>
      </c>
      <c r="G626">
        <v>187.3</v>
      </c>
      <c r="H626">
        <v>118</v>
      </c>
      <c r="I626">
        <v>31.84</v>
      </c>
      <c r="J626">
        <v>239.7</v>
      </c>
      <c r="K626">
        <v>90</v>
      </c>
      <c r="L626">
        <v>20.37</v>
      </c>
      <c r="M626">
        <v>167.5</v>
      </c>
      <c r="N626">
        <v>108</v>
      </c>
      <c r="O626">
        <v>7.54</v>
      </c>
      <c r="P626">
        <v>15.1</v>
      </c>
      <c r="Q626">
        <v>2</v>
      </c>
      <c r="R626">
        <v>4.08</v>
      </c>
      <c r="S626">
        <v>1</v>
      </c>
      <c r="T626" t="b">
        <v>0</v>
      </c>
    </row>
    <row r="627" spans="1:20">
      <c r="A627" t="s">
        <v>95</v>
      </c>
      <c r="B627">
        <v>92</v>
      </c>
      <c r="C627">
        <v>415</v>
      </c>
      <c r="D627" t="s">
        <v>62</v>
      </c>
      <c r="E627" t="s">
        <v>62</v>
      </c>
      <c r="F627">
        <v>0</v>
      </c>
      <c r="G627">
        <v>197</v>
      </c>
      <c r="H627">
        <v>84</v>
      </c>
      <c r="I627">
        <v>33.49</v>
      </c>
      <c r="J627">
        <v>269.3</v>
      </c>
      <c r="K627">
        <v>105</v>
      </c>
      <c r="L627">
        <v>22.89</v>
      </c>
      <c r="M627">
        <v>158.9</v>
      </c>
      <c r="N627">
        <v>105</v>
      </c>
      <c r="O627">
        <v>7.15</v>
      </c>
      <c r="P627">
        <v>10.8</v>
      </c>
      <c r="Q627">
        <v>4</v>
      </c>
      <c r="R627">
        <v>2.92</v>
      </c>
      <c r="S627">
        <v>1</v>
      </c>
      <c r="T627" t="b">
        <v>0</v>
      </c>
    </row>
    <row r="628" spans="1:20">
      <c r="A628" t="s">
        <v>83</v>
      </c>
      <c r="B628">
        <v>113</v>
      </c>
      <c r="C628">
        <v>415</v>
      </c>
      <c r="D628" t="s">
        <v>62</v>
      </c>
      <c r="E628" t="s">
        <v>63</v>
      </c>
      <c r="F628">
        <v>32</v>
      </c>
      <c r="G628">
        <v>180.4</v>
      </c>
      <c r="H628">
        <v>89</v>
      </c>
      <c r="I628">
        <v>30.67</v>
      </c>
      <c r="J628">
        <v>129.4</v>
      </c>
      <c r="K628">
        <v>124</v>
      </c>
      <c r="L628">
        <v>11</v>
      </c>
      <c r="M628">
        <v>166.9</v>
      </c>
      <c r="N628">
        <v>124</v>
      </c>
      <c r="O628">
        <v>7.51</v>
      </c>
      <c r="P628">
        <v>8.4</v>
      </c>
      <c r="Q628">
        <v>2</v>
      </c>
      <c r="R628">
        <v>2.27</v>
      </c>
      <c r="S628">
        <v>1</v>
      </c>
      <c r="T628" t="b">
        <v>0</v>
      </c>
    </row>
    <row r="629" spans="1:20">
      <c r="A629" t="s">
        <v>89</v>
      </c>
      <c r="B629">
        <v>135</v>
      </c>
      <c r="C629">
        <v>415</v>
      </c>
      <c r="D629" t="s">
        <v>62</v>
      </c>
      <c r="E629" t="s">
        <v>63</v>
      </c>
      <c r="F629">
        <v>22</v>
      </c>
      <c r="G629">
        <v>197.1</v>
      </c>
      <c r="H629">
        <v>113</v>
      </c>
      <c r="I629">
        <v>33.51</v>
      </c>
      <c r="J629">
        <v>259.4</v>
      </c>
      <c r="K629">
        <v>95</v>
      </c>
      <c r="L629">
        <v>22.05</v>
      </c>
      <c r="M629">
        <v>134.7</v>
      </c>
      <c r="N629">
        <v>135</v>
      </c>
      <c r="O629">
        <v>6.06</v>
      </c>
      <c r="P629">
        <v>14.6</v>
      </c>
      <c r="Q629">
        <v>5</v>
      </c>
      <c r="R629">
        <v>3.94</v>
      </c>
      <c r="S629">
        <v>2</v>
      </c>
      <c r="T629" t="b">
        <v>0</v>
      </c>
    </row>
    <row r="630" spans="1:20">
      <c r="A630" t="s">
        <v>83</v>
      </c>
      <c r="B630">
        <v>100</v>
      </c>
      <c r="C630">
        <v>415</v>
      </c>
      <c r="D630" t="s">
        <v>62</v>
      </c>
      <c r="E630" t="s">
        <v>63</v>
      </c>
      <c r="F630">
        <v>26</v>
      </c>
      <c r="G630">
        <v>153.7</v>
      </c>
      <c r="H630">
        <v>115</v>
      </c>
      <c r="I630">
        <v>26.13</v>
      </c>
      <c r="J630">
        <v>137.8</v>
      </c>
      <c r="K630">
        <v>146</v>
      </c>
      <c r="L630">
        <v>11.71</v>
      </c>
      <c r="M630">
        <v>213.5</v>
      </c>
      <c r="N630">
        <v>104</v>
      </c>
      <c r="O630">
        <v>9.61</v>
      </c>
      <c r="P630">
        <v>15.9</v>
      </c>
      <c r="Q630">
        <v>5</v>
      </c>
      <c r="R630">
        <v>4.29</v>
      </c>
      <c r="S630">
        <v>1</v>
      </c>
      <c r="T630" t="b">
        <v>0</v>
      </c>
    </row>
    <row r="631" spans="1:20">
      <c r="A631" t="s">
        <v>102</v>
      </c>
      <c r="B631">
        <v>96</v>
      </c>
      <c r="C631">
        <v>415</v>
      </c>
      <c r="D631" t="s">
        <v>62</v>
      </c>
      <c r="E631" t="s">
        <v>63</v>
      </c>
      <c r="F631">
        <v>27</v>
      </c>
      <c r="G631">
        <v>261.3</v>
      </c>
      <c r="H631">
        <v>96</v>
      </c>
      <c r="I631">
        <v>44.42</v>
      </c>
      <c r="J631">
        <v>220.9</v>
      </c>
      <c r="K631">
        <v>101</v>
      </c>
      <c r="L631">
        <v>18.78</v>
      </c>
      <c r="M631">
        <v>179.4</v>
      </c>
      <c r="N631">
        <v>97</v>
      </c>
      <c r="O631">
        <v>8.07</v>
      </c>
      <c r="P631">
        <v>11.3</v>
      </c>
      <c r="Q631">
        <v>2</v>
      </c>
      <c r="R631">
        <v>3.05</v>
      </c>
      <c r="S631">
        <v>1</v>
      </c>
      <c r="T631" t="b">
        <v>0</v>
      </c>
    </row>
    <row r="632" spans="1:20">
      <c r="A632" t="s">
        <v>108</v>
      </c>
      <c r="B632">
        <v>108</v>
      </c>
      <c r="C632">
        <v>510</v>
      </c>
      <c r="D632" t="s">
        <v>62</v>
      </c>
      <c r="E632" t="s">
        <v>62</v>
      </c>
      <c r="F632">
        <v>0</v>
      </c>
      <c r="G632">
        <v>246.2</v>
      </c>
      <c r="H632">
        <v>102</v>
      </c>
      <c r="I632">
        <v>41.85</v>
      </c>
      <c r="J632">
        <v>202.4</v>
      </c>
      <c r="K632">
        <v>134</v>
      </c>
      <c r="L632">
        <v>17.2</v>
      </c>
      <c r="M632">
        <v>180.1</v>
      </c>
      <c r="N632">
        <v>95</v>
      </c>
      <c r="O632">
        <v>8.1</v>
      </c>
      <c r="P632">
        <v>9.4</v>
      </c>
      <c r="Q632">
        <v>5</v>
      </c>
      <c r="R632">
        <v>2.54</v>
      </c>
      <c r="S632">
        <v>1</v>
      </c>
      <c r="T632" t="b">
        <v>0</v>
      </c>
    </row>
    <row r="633" spans="1:20">
      <c r="A633" t="s">
        <v>81</v>
      </c>
      <c r="B633">
        <v>84</v>
      </c>
      <c r="C633">
        <v>510</v>
      </c>
      <c r="D633" t="s">
        <v>62</v>
      </c>
      <c r="E633" t="s">
        <v>62</v>
      </c>
      <c r="F633">
        <v>0</v>
      </c>
      <c r="G633">
        <v>191</v>
      </c>
      <c r="H633">
        <v>88</v>
      </c>
      <c r="I633">
        <v>32.47</v>
      </c>
      <c r="J633">
        <v>318.8</v>
      </c>
      <c r="K633">
        <v>119</v>
      </c>
      <c r="L633">
        <v>27.1</v>
      </c>
      <c r="M633">
        <v>247.3</v>
      </c>
      <c r="N633">
        <v>79</v>
      </c>
      <c r="O633">
        <v>11.13</v>
      </c>
      <c r="P633">
        <v>6.5</v>
      </c>
      <c r="Q633">
        <v>4</v>
      </c>
      <c r="R633">
        <v>1.76</v>
      </c>
      <c r="S633">
        <v>0</v>
      </c>
      <c r="T633" t="b">
        <v>0</v>
      </c>
    </row>
    <row r="634" spans="1:20">
      <c r="A634" t="s">
        <v>101</v>
      </c>
      <c r="B634">
        <v>134</v>
      </c>
      <c r="C634">
        <v>408</v>
      </c>
      <c r="D634" t="s">
        <v>62</v>
      </c>
      <c r="E634" t="s">
        <v>62</v>
      </c>
      <c r="F634">
        <v>0</v>
      </c>
      <c r="G634">
        <v>208.3</v>
      </c>
      <c r="H634">
        <v>86</v>
      </c>
      <c r="I634">
        <v>35.41</v>
      </c>
      <c r="J634">
        <v>253.6</v>
      </c>
      <c r="K634">
        <v>89</v>
      </c>
      <c r="L634">
        <v>21.56</v>
      </c>
      <c r="M634">
        <v>291</v>
      </c>
      <c r="N634">
        <v>86</v>
      </c>
      <c r="O634">
        <v>13.1</v>
      </c>
      <c r="P634">
        <v>12.6</v>
      </c>
      <c r="Q634">
        <v>3</v>
      </c>
      <c r="R634">
        <v>3.4</v>
      </c>
      <c r="S634">
        <v>1</v>
      </c>
      <c r="T634" t="b">
        <v>0</v>
      </c>
    </row>
    <row r="635" spans="1:20">
      <c r="A635" t="s">
        <v>76</v>
      </c>
      <c r="B635">
        <v>72</v>
      </c>
      <c r="C635">
        <v>415</v>
      </c>
      <c r="D635" t="s">
        <v>62</v>
      </c>
      <c r="E635" t="s">
        <v>62</v>
      </c>
      <c r="F635">
        <v>0</v>
      </c>
      <c r="G635">
        <v>253</v>
      </c>
      <c r="H635">
        <v>73</v>
      </c>
      <c r="I635">
        <v>43.01</v>
      </c>
      <c r="J635">
        <v>219.3</v>
      </c>
      <c r="K635">
        <v>78</v>
      </c>
      <c r="L635">
        <v>18.64</v>
      </c>
      <c r="M635">
        <v>210.8</v>
      </c>
      <c r="N635">
        <v>89</v>
      </c>
      <c r="O635">
        <v>9.49</v>
      </c>
      <c r="P635">
        <v>9.8</v>
      </c>
      <c r="Q635">
        <v>4</v>
      </c>
      <c r="R635">
        <v>2.65</v>
      </c>
      <c r="S635">
        <v>0</v>
      </c>
      <c r="T635" t="b">
        <v>0</v>
      </c>
    </row>
    <row r="636" spans="1:20">
      <c r="A636" t="s">
        <v>67</v>
      </c>
      <c r="B636">
        <v>83</v>
      </c>
      <c r="C636">
        <v>408</v>
      </c>
      <c r="D636" t="s">
        <v>62</v>
      </c>
      <c r="E636" t="s">
        <v>62</v>
      </c>
      <c r="F636">
        <v>0</v>
      </c>
      <c r="G636">
        <v>202.3</v>
      </c>
      <c r="H636">
        <v>87</v>
      </c>
      <c r="I636">
        <v>34.39</v>
      </c>
      <c r="J636">
        <v>201.5</v>
      </c>
      <c r="K636">
        <v>111</v>
      </c>
      <c r="L636">
        <v>17.13</v>
      </c>
      <c r="M636">
        <v>101.7</v>
      </c>
      <c r="N636">
        <v>82</v>
      </c>
      <c r="O636">
        <v>4.58</v>
      </c>
      <c r="P636">
        <v>6.8</v>
      </c>
      <c r="Q636">
        <v>4</v>
      </c>
      <c r="R636">
        <v>1.84</v>
      </c>
      <c r="S636">
        <v>0</v>
      </c>
      <c r="T636" t="b">
        <v>0</v>
      </c>
    </row>
    <row r="637" spans="1:20">
      <c r="A637" t="s">
        <v>71</v>
      </c>
      <c r="B637">
        <v>137</v>
      </c>
      <c r="C637">
        <v>408</v>
      </c>
      <c r="D637" t="s">
        <v>62</v>
      </c>
      <c r="E637" t="s">
        <v>62</v>
      </c>
      <c r="F637">
        <v>0</v>
      </c>
      <c r="G637">
        <v>174.4</v>
      </c>
      <c r="H637">
        <v>120</v>
      </c>
      <c r="I637">
        <v>29.65</v>
      </c>
      <c r="J637">
        <v>156.3</v>
      </c>
      <c r="K637">
        <v>98</v>
      </c>
      <c r="L637">
        <v>13.29</v>
      </c>
      <c r="M637">
        <v>136.5</v>
      </c>
      <c r="N637">
        <v>121</v>
      </c>
      <c r="O637">
        <v>6.14</v>
      </c>
      <c r="P637">
        <v>10.2</v>
      </c>
      <c r="Q637">
        <v>5</v>
      </c>
      <c r="R637">
        <v>2.75</v>
      </c>
      <c r="S637">
        <v>0</v>
      </c>
      <c r="T637" t="b">
        <v>0</v>
      </c>
    </row>
    <row r="638" spans="1:20">
      <c r="A638" t="s">
        <v>89</v>
      </c>
      <c r="B638">
        <v>56</v>
      </c>
      <c r="C638">
        <v>415</v>
      </c>
      <c r="D638" t="s">
        <v>62</v>
      </c>
      <c r="E638" t="s">
        <v>63</v>
      </c>
      <c r="F638">
        <v>30</v>
      </c>
      <c r="G638">
        <v>127.1</v>
      </c>
      <c r="H638">
        <v>89</v>
      </c>
      <c r="I638">
        <v>21.61</v>
      </c>
      <c r="J638">
        <v>172.1</v>
      </c>
      <c r="K638">
        <v>116</v>
      </c>
      <c r="L638">
        <v>14.63</v>
      </c>
      <c r="M638">
        <v>194.6</v>
      </c>
      <c r="N638">
        <v>111</v>
      </c>
      <c r="O638">
        <v>8.76</v>
      </c>
      <c r="P638">
        <v>12.1</v>
      </c>
      <c r="Q638">
        <v>3</v>
      </c>
      <c r="R638">
        <v>3.27</v>
      </c>
      <c r="S638">
        <v>1</v>
      </c>
      <c r="T638" t="b">
        <v>0</v>
      </c>
    </row>
    <row r="639" spans="1:20">
      <c r="A639" t="s">
        <v>64</v>
      </c>
      <c r="B639">
        <v>61</v>
      </c>
      <c r="C639">
        <v>510</v>
      </c>
      <c r="D639" t="s">
        <v>63</v>
      </c>
      <c r="E639" t="s">
        <v>63</v>
      </c>
      <c r="F639">
        <v>16</v>
      </c>
      <c r="G639">
        <v>143.5</v>
      </c>
      <c r="H639">
        <v>76</v>
      </c>
      <c r="I639">
        <v>24.4</v>
      </c>
      <c r="J639">
        <v>242.6</v>
      </c>
      <c r="K639">
        <v>58</v>
      </c>
      <c r="L639">
        <v>20.62</v>
      </c>
      <c r="M639">
        <v>147.7</v>
      </c>
      <c r="N639">
        <v>95</v>
      </c>
      <c r="O639">
        <v>6.65</v>
      </c>
      <c r="P639">
        <v>11.3</v>
      </c>
      <c r="Q639">
        <v>3</v>
      </c>
      <c r="R639">
        <v>3.05</v>
      </c>
      <c r="S639">
        <v>0</v>
      </c>
      <c r="T639" t="b">
        <v>0</v>
      </c>
    </row>
    <row r="640" spans="1:20">
      <c r="A640" t="s">
        <v>95</v>
      </c>
      <c r="B640">
        <v>171</v>
      </c>
      <c r="C640">
        <v>510</v>
      </c>
      <c r="D640" t="s">
        <v>62</v>
      </c>
      <c r="E640" t="s">
        <v>63</v>
      </c>
      <c r="F640">
        <v>17</v>
      </c>
      <c r="G640">
        <v>186.9</v>
      </c>
      <c r="H640">
        <v>94</v>
      </c>
      <c r="I640">
        <v>31.77</v>
      </c>
      <c r="J640">
        <v>240</v>
      </c>
      <c r="K640">
        <v>138</v>
      </c>
      <c r="L640">
        <v>20.4</v>
      </c>
      <c r="M640">
        <v>200.9</v>
      </c>
      <c r="N640">
        <v>64</v>
      </c>
      <c r="O640">
        <v>9.04</v>
      </c>
      <c r="P640">
        <v>5.8</v>
      </c>
      <c r="Q640">
        <v>3</v>
      </c>
      <c r="R640">
        <v>1.57</v>
      </c>
      <c r="S640">
        <v>1</v>
      </c>
      <c r="T640" t="b">
        <v>0</v>
      </c>
    </row>
    <row r="641" spans="1:20">
      <c r="A641" t="s">
        <v>81</v>
      </c>
      <c r="B641">
        <v>58</v>
      </c>
      <c r="C641">
        <v>510</v>
      </c>
      <c r="D641" t="s">
        <v>62</v>
      </c>
      <c r="E641" t="s">
        <v>62</v>
      </c>
      <c r="F641">
        <v>0</v>
      </c>
      <c r="G641">
        <v>234.8</v>
      </c>
      <c r="H641">
        <v>89</v>
      </c>
      <c r="I641">
        <v>39.92</v>
      </c>
      <c r="J641">
        <v>106.8</v>
      </c>
      <c r="K641">
        <v>131</v>
      </c>
      <c r="L641">
        <v>9.08</v>
      </c>
      <c r="M641">
        <v>178.5</v>
      </c>
      <c r="N641">
        <v>122</v>
      </c>
      <c r="O641">
        <v>8.03</v>
      </c>
      <c r="P641">
        <v>9.9</v>
      </c>
      <c r="Q641">
        <v>6</v>
      </c>
      <c r="R641">
        <v>2.67</v>
      </c>
      <c r="S641">
        <v>0</v>
      </c>
      <c r="T641" t="b">
        <v>0</v>
      </c>
    </row>
    <row r="642" spans="1:20">
      <c r="A642" t="s">
        <v>90</v>
      </c>
      <c r="B642">
        <v>156</v>
      </c>
      <c r="C642">
        <v>510</v>
      </c>
      <c r="D642" t="s">
        <v>62</v>
      </c>
      <c r="E642" t="s">
        <v>62</v>
      </c>
      <c r="F642">
        <v>0</v>
      </c>
      <c r="G642">
        <v>123.7</v>
      </c>
      <c r="H642">
        <v>96</v>
      </c>
      <c r="I642">
        <v>21.03</v>
      </c>
      <c r="J642">
        <v>103</v>
      </c>
      <c r="K642">
        <v>80</v>
      </c>
      <c r="L642">
        <v>8.76</v>
      </c>
      <c r="M642">
        <v>189.4</v>
      </c>
      <c r="N642">
        <v>82</v>
      </c>
      <c r="O642">
        <v>8.52</v>
      </c>
      <c r="P642">
        <v>13.1</v>
      </c>
      <c r="Q642">
        <v>4</v>
      </c>
      <c r="R642">
        <v>3.54</v>
      </c>
      <c r="S642">
        <v>1</v>
      </c>
      <c r="T642" t="b">
        <v>0</v>
      </c>
    </row>
    <row r="643" spans="1:20">
      <c r="A643" t="s">
        <v>93</v>
      </c>
      <c r="B643">
        <v>166</v>
      </c>
      <c r="C643">
        <v>510</v>
      </c>
      <c r="D643" t="s">
        <v>62</v>
      </c>
      <c r="E643" t="s">
        <v>62</v>
      </c>
      <c r="F643">
        <v>0</v>
      </c>
      <c r="G643">
        <v>173.9</v>
      </c>
      <c r="H643">
        <v>103</v>
      </c>
      <c r="I643">
        <v>29.56</v>
      </c>
      <c r="J643">
        <v>276.4</v>
      </c>
      <c r="K643">
        <v>83</v>
      </c>
      <c r="L643">
        <v>23.49</v>
      </c>
      <c r="M643">
        <v>190.8</v>
      </c>
      <c r="N643">
        <v>113</v>
      </c>
      <c r="O643">
        <v>8.59</v>
      </c>
      <c r="P643">
        <v>15.3</v>
      </c>
      <c r="Q643">
        <v>5</v>
      </c>
      <c r="R643">
        <v>4.13</v>
      </c>
      <c r="S643">
        <v>0</v>
      </c>
      <c r="T643" t="b">
        <v>0</v>
      </c>
    </row>
    <row r="644" spans="1:20">
      <c r="A644" t="s">
        <v>107</v>
      </c>
      <c r="B644">
        <v>75</v>
      </c>
      <c r="C644">
        <v>415</v>
      </c>
      <c r="D644" t="s">
        <v>62</v>
      </c>
      <c r="E644" t="s">
        <v>62</v>
      </c>
      <c r="F644">
        <v>0</v>
      </c>
      <c r="G644">
        <v>314.6</v>
      </c>
      <c r="H644">
        <v>102</v>
      </c>
      <c r="I644">
        <v>53.48</v>
      </c>
      <c r="J644">
        <v>169.8</v>
      </c>
      <c r="K644">
        <v>86</v>
      </c>
      <c r="L644">
        <v>14.43</v>
      </c>
      <c r="M644">
        <v>285.1</v>
      </c>
      <c r="N644">
        <v>100</v>
      </c>
      <c r="O644">
        <v>12.83</v>
      </c>
      <c r="P644">
        <v>5.7</v>
      </c>
      <c r="Q644">
        <v>3</v>
      </c>
      <c r="R644">
        <v>1.54</v>
      </c>
      <c r="S644">
        <v>2</v>
      </c>
      <c r="T644" t="b">
        <v>1</v>
      </c>
    </row>
    <row r="645" spans="1:20">
      <c r="A645" t="s">
        <v>64</v>
      </c>
      <c r="B645">
        <v>83</v>
      </c>
      <c r="C645">
        <v>510</v>
      </c>
      <c r="D645" t="s">
        <v>62</v>
      </c>
      <c r="E645" t="s">
        <v>62</v>
      </c>
      <c r="F645">
        <v>0</v>
      </c>
      <c r="G645">
        <v>227.9</v>
      </c>
      <c r="H645">
        <v>78</v>
      </c>
      <c r="I645">
        <v>38.74</v>
      </c>
      <c r="J645">
        <v>207.5</v>
      </c>
      <c r="K645">
        <v>115</v>
      </c>
      <c r="L645">
        <v>17.64</v>
      </c>
      <c r="M645">
        <v>211.7</v>
      </c>
      <c r="N645">
        <v>100</v>
      </c>
      <c r="O645">
        <v>9.53</v>
      </c>
      <c r="P645">
        <v>12.1</v>
      </c>
      <c r="Q645">
        <v>5</v>
      </c>
      <c r="R645">
        <v>3.27</v>
      </c>
      <c r="S645">
        <v>1</v>
      </c>
      <c r="T645" t="b">
        <v>0</v>
      </c>
    </row>
    <row r="646" spans="1:20">
      <c r="A646" t="s">
        <v>97</v>
      </c>
      <c r="B646">
        <v>243</v>
      </c>
      <c r="C646">
        <v>510</v>
      </c>
      <c r="D646" t="s">
        <v>62</v>
      </c>
      <c r="E646" t="s">
        <v>62</v>
      </c>
      <c r="F646">
        <v>0</v>
      </c>
      <c r="G646">
        <v>95.5</v>
      </c>
      <c r="H646">
        <v>92</v>
      </c>
      <c r="I646">
        <v>16.24</v>
      </c>
      <c r="J646">
        <v>163.7</v>
      </c>
      <c r="K646">
        <v>63</v>
      </c>
      <c r="L646">
        <v>13.91</v>
      </c>
      <c r="M646">
        <v>264.2</v>
      </c>
      <c r="N646">
        <v>118</v>
      </c>
      <c r="O646">
        <v>11.89</v>
      </c>
      <c r="P646">
        <v>6.6</v>
      </c>
      <c r="Q646">
        <v>6</v>
      </c>
      <c r="R646">
        <v>1.78</v>
      </c>
      <c r="S646">
        <v>2</v>
      </c>
      <c r="T646" t="b">
        <v>0</v>
      </c>
    </row>
    <row r="647" spans="1:20">
      <c r="A647" t="s">
        <v>102</v>
      </c>
      <c r="B647">
        <v>150</v>
      </c>
      <c r="C647">
        <v>415</v>
      </c>
      <c r="D647" t="s">
        <v>62</v>
      </c>
      <c r="E647" t="s">
        <v>62</v>
      </c>
      <c r="F647">
        <v>0</v>
      </c>
      <c r="G647">
        <v>146.3</v>
      </c>
      <c r="H647">
        <v>133</v>
      </c>
      <c r="I647">
        <v>24.87</v>
      </c>
      <c r="J647">
        <v>202.7</v>
      </c>
      <c r="K647">
        <v>95</v>
      </c>
      <c r="L647">
        <v>17.23</v>
      </c>
      <c r="M647">
        <v>234.7</v>
      </c>
      <c r="N647">
        <v>103</v>
      </c>
      <c r="O647">
        <v>10.56</v>
      </c>
      <c r="P647">
        <v>13.1</v>
      </c>
      <c r="Q647">
        <v>3</v>
      </c>
      <c r="R647">
        <v>3.54</v>
      </c>
      <c r="S647">
        <v>1</v>
      </c>
      <c r="T647" t="b">
        <v>0</v>
      </c>
    </row>
    <row r="648" spans="1:20">
      <c r="A648" t="s">
        <v>71</v>
      </c>
      <c r="B648">
        <v>92</v>
      </c>
      <c r="C648">
        <v>510</v>
      </c>
      <c r="D648" t="s">
        <v>62</v>
      </c>
      <c r="E648" t="s">
        <v>63</v>
      </c>
      <c r="F648">
        <v>16</v>
      </c>
      <c r="G648">
        <v>184</v>
      </c>
      <c r="H648">
        <v>99</v>
      </c>
      <c r="I648">
        <v>31.28</v>
      </c>
      <c r="J648">
        <v>76.4</v>
      </c>
      <c r="K648">
        <v>134</v>
      </c>
      <c r="L648">
        <v>6.49</v>
      </c>
      <c r="M648">
        <v>185.1</v>
      </c>
      <c r="N648">
        <v>96</v>
      </c>
      <c r="O648">
        <v>8.33</v>
      </c>
      <c r="P648">
        <v>12.7</v>
      </c>
      <c r="Q648">
        <v>3</v>
      </c>
      <c r="R648">
        <v>3.43</v>
      </c>
      <c r="S648">
        <v>2</v>
      </c>
      <c r="T648" t="b">
        <v>0</v>
      </c>
    </row>
    <row r="649" spans="1:20">
      <c r="A649" t="s">
        <v>102</v>
      </c>
      <c r="B649">
        <v>80</v>
      </c>
      <c r="C649">
        <v>415</v>
      </c>
      <c r="D649" t="s">
        <v>62</v>
      </c>
      <c r="E649" t="s">
        <v>62</v>
      </c>
      <c r="F649">
        <v>0</v>
      </c>
      <c r="G649">
        <v>105.8</v>
      </c>
      <c r="H649">
        <v>110</v>
      </c>
      <c r="I649">
        <v>17.99</v>
      </c>
      <c r="J649">
        <v>43.9</v>
      </c>
      <c r="K649">
        <v>88</v>
      </c>
      <c r="L649">
        <v>3.73</v>
      </c>
      <c r="M649">
        <v>189.6</v>
      </c>
      <c r="N649">
        <v>87</v>
      </c>
      <c r="O649">
        <v>8.53</v>
      </c>
      <c r="P649">
        <v>13.1</v>
      </c>
      <c r="Q649">
        <v>5</v>
      </c>
      <c r="R649">
        <v>3.54</v>
      </c>
      <c r="S649">
        <v>0</v>
      </c>
      <c r="T649" t="b">
        <v>0</v>
      </c>
    </row>
    <row r="650" spans="1:20">
      <c r="A650" t="s">
        <v>67</v>
      </c>
      <c r="B650">
        <v>134</v>
      </c>
      <c r="C650">
        <v>415</v>
      </c>
      <c r="D650" t="s">
        <v>62</v>
      </c>
      <c r="E650" t="s">
        <v>62</v>
      </c>
      <c r="F650">
        <v>0</v>
      </c>
      <c r="G650">
        <v>178</v>
      </c>
      <c r="H650">
        <v>110</v>
      </c>
      <c r="I650">
        <v>30.26</v>
      </c>
      <c r="J650">
        <v>153.8</v>
      </c>
      <c r="K650">
        <v>64</v>
      </c>
      <c r="L650">
        <v>13.07</v>
      </c>
      <c r="M650">
        <v>236.6</v>
      </c>
      <c r="N650">
        <v>105</v>
      </c>
      <c r="O650">
        <v>10.65</v>
      </c>
      <c r="P650">
        <v>11.7</v>
      </c>
      <c r="Q650">
        <v>4</v>
      </c>
      <c r="R650">
        <v>3.16</v>
      </c>
      <c r="S650">
        <v>1</v>
      </c>
      <c r="T650" t="b">
        <v>0</v>
      </c>
    </row>
    <row r="651" spans="1:20">
      <c r="A651" t="s">
        <v>113</v>
      </c>
      <c r="B651">
        <v>77</v>
      </c>
      <c r="C651">
        <v>510</v>
      </c>
      <c r="D651" t="s">
        <v>62</v>
      </c>
      <c r="E651" t="s">
        <v>63</v>
      </c>
      <c r="F651">
        <v>24</v>
      </c>
      <c r="G651">
        <v>149.4</v>
      </c>
      <c r="H651">
        <v>74</v>
      </c>
      <c r="I651">
        <v>25.4</v>
      </c>
      <c r="J651">
        <v>123.9</v>
      </c>
      <c r="K651">
        <v>72</v>
      </c>
      <c r="L651">
        <v>10.53</v>
      </c>
      <c r="M651">
        <v>174.3</v>
      </c>
      <c r="N651">
        <v>84</v>
      </c>
      <c r="O651">
        <v>7.84</v>
      </c>
      <c r="P651">
        <v>10.1</v>
      </c>
      <c r="Q651">
        <v>6</v>
      </c>
      <c r="R651">
        <v>2.73</v>
      </c>
      <c r="S651">
        <v>1</v>
      </c>
      <c r="T651" t="b">
        <v>0</v>
      </c>
    </row>
    <row r="652" spans="1:20">
      <c r="A652" t="s">
        <v>95</v>
      </c>
      <c r="B652">
        <v>147</v>
      </c>
      <c r="C652">
        <v>510</v>
      </c>
      <c r="D652" t="s">
        <v>62</v>
      </c>
      <c r="E652" t="s">
        <v>62</v>
      </c>
      <c r="F652">
        <v>0</v>
      </c>
      <c r="G652">
        <v>209.4</v>
      </c>
      <c r="H652">
        <v>104</v>
      </c>
      <c r="I652">
        <v>35.6</v>
      </c>
      <c r="J652">
        <v>132.5</v>
      </c>
      <c r="K652">
        <v>78</v>
      </c>
      <c r="L652">
        <v>11.26</v>
      </c>
      <c r="M652">
        <v>149.4</v>
      </c>
      <c r="N652">
        <v>123</v>
      </c>
      <c r="O652">
        <v>6.72</v>
      </c>
      <c r="P652">
        <v>11.3</v>
      </c>
      <c r="Q652">
        <v>3</v>
      </c>
      <c r="R652">
        <v>3.05</v>
      </c>
      <c r="S652">
        <v>2</v>
      </c>
      <c r="T652" t="b">
        <v>0</v>
      </c>
    </row>
    <row r="653" spans="1:20">
      <c r="A653" t="s">
        <v>69</v>
      </c>
      <c r="B653">
        <v>74</v>
      </c>
      <c r="C653">
        <v>415</v>
      </c>
      <c r="D653" t="s">
        <v>62</v>
      </c>
      <c r="E653" t="s">
        <v>62</v>
      </c>
      <c r="F653">
        <v>0</v>
      </c>
      <c r="G653">
        <v>172.1</v>
      </c>
      <c r="H653">
        <v>105</v>
      </c>
      <c r="I653">
        <v>29.26</v>
      </c>
      <c r="J653">
        <v>211.7</v>
      </c>
      <c r="K653">
        <v>99</v>
      </c>
      <c r="L653">
        <v>17.99</v>
      </c>
      <c r="M653">
        <v>182.2</v>
      </c>
      <c r="N653">
        <v>105</v>
      </c>
      <c r="O653">
        <v>8.2</v>
      </c>
      <c r="P653">
        <v>11.6</v>
      </c>
      <c r="Q653">
        <v>6</v>
      </c>
      <c r="R653">
        <v>3.13</v>
      </c>
      <c r="S653">
        <v>1</v>
      </c>
      <c r="T653" t="b">
        <v>0</v>
      </c>
    </row>
    <row r="654" spans="1:20">
      <c r="A654" t="s">
        <v>86</v>
      </c>
      <c r="B654">
        <v>138</v>
      </c>
      <c r="C654">
        <v>510</v>
      </c>
      <c r="D654" t="s">
        <v>63</v>
      </c>
      <c r="E654" t="s">
        <v>62</v>
      </c>
      <c r="F654">
        <v>0</v>
      </c>
      <c r="G654">
        <v>169.3</v>
      </c>
      <c r="H654">
        <v>82</v>
      </c>
      <c r="I654">
        <v>28.78</v>
      </c>
      <c r="J654">
        <v>217.9</v>
      </c>
      <c r="K654">
        <v>147</v>
      </c>
      <c r="L654">
        <v>18.52</v>
      </c>
      <c r="M654">
        <v>184.2</v>
      </c>
      <c r="N654">
        <v>77</v>
      </c>
      <c r="O654">
        <v>8.29</v>
      </c>
      <c r="P654">
        <v>9.4</v>
      </c>
      <c r="Q654">
        <v>9</v>
      </c>
      <c r="R654">
        <v>2.54</v>
      </c>
      <c r="S654">
        <v>1</v>
      </c>
      <c r="T654" t="b">
        <v>0</v>
      </c>
    </row>
    <row r="655" spans="1:20">
      <c r="A655" t="s">
        <v>114</v>
      </c>
      <c r="B655">
        <v>64</v>
      </c>
      <c r="C655">
        <v>415</v>
      </c>
      <c r="D655" t="s">
        <v>62</v>
      </c>
      <c r="E655" t="s">
        <v>62</v>
      </c>
      <c r="F655">
        <v>0</v>
      </c>
      <c r="G655">
        <v>194.2</v>
      </c>
      <c r="H655">
        <v>147</v>
      </c>
      <c r="I655">
        <v>33.01</v>
      </c>
      <c r="J655">
        <v>173.4</v>
      </c>
      <c r="K655">
        <v>87</v>
      </c>
      <c r="L655">
        <v>14.74</v>
      </c>
      <c r="M655">
        <v>268.7</v>
      </c>
      <c r="N655">
        <v>114</v>
      </c>
      <c r="O655">
        <v>12.09</v>
      </c>
      <c r="P655">
        <v>5.5</v>
      </c>
      <c r="Q655">
        <v>2</v>
      </c>
      <c r="R655">
        <v>1.49</v>
      </c>
      <c r="S655">
        <v>2</v>
      </c>
      <c r="T655" t="b">
        <v>0</v>
      </c>
    </row>
    <row r="656" spans="1:20">
      <c r="A656" t="s">
        <v>108</v>
      </c>
      <c r="B656">
        <v>120</v>
      </c>
      <c r="C656">
        <v>510</v>
      </c>
      <c r="D656" t="s">
        <v>62</v>
      </c>
      <c r="E656" t="s">
        <v>62</v>
      </c>
      <c r="F656">
        <v>0</v>
      </c>
      <c r="G656">
        <v>198.8</v>
      </c>
      <c r="H656">
        <v>56</v>
      </c>
      <c r="I656">
        <v>33.8</v>
      </c>
      <c r="J656">
        <v>230.1</v>
      </c>
      <c r="K656">
        <v>73</v>
      </c>
      <c r="L656">
        <v>19.56</v>
      </c>
      <c r="M656">
        <v>119.8</v>
      </c>
      <c r="N656">
        <v>81</v>
      </c>
      <c r="O656">
        <v>5.39</v>
      </c>
      <c r="P656">
        <v>9.9</v>
      </c>
      <c r="Q656">
        <v>3</v>
      </c>
      <c r="R656">
        <v>2.67</v>
      </c>
      <c r="S656">
        <v>2</v>
      </c>
      <c r="T656" t="b">
        <v>0</v>
      </c>
    </row>
    <row r="657" spans="1:20">
      <c r="A657" t="s">
        <v>82</v>
      </c>
      <c r="B657">
        <v>121</v>
      </c>
      <c r="C657">
        <v>408</v>
      </c>
      <c r="D657" t="s">
        <v>63</v>
      </c>
      <c r="E657" t="s">
        <v>62</v>
      </c>
      <c r="F657">
        <v>0</v>
      </c>
      <c r="G657">
        <v>167.7</v>
      </c>
      <c r="H657">
        <v>94</v>
      </c>
      <c r="I657">
        <v>28.51</v>
      </c>
      <c r="J657">
        <v>93.7</v>
      </c>
      <c r="K657">
        <v>121</v>
      </c>
      <c r="L657">
        <v>7.96</v>
      </c>
      <c r="M657">
        <v>241.3</v>
      </c>
      <c r="N657">
        <v>115</v>
      </c>
      <c r="O657">
        <v>10.86</v>
      </c>
      <c r="P657">
        <v>13.4</v>
      </c>
      <c r="Q657">
        <v>1</v>
      </c>
      <c r="R657">
        <v>3.62</v>
      </c>
      <c r="S657">
        <v>3</v>
      </c>
      <c r="T657" t="b">
        <v>1</v>
      </c>
    </row>
    <row r="658" spans="1:20">
      <c r="A658" t="s">
        <v>87</v>
      </c>
      <c r="B658">
        <v>88</v>
      </c>
      <c r="C658">
        <v>415</v>
      </c>
      <c r="D658" t="s">
        <v>62</v>
      </c>
      <c r="E658" t="s">
        <v>62</v>
      </c>
      <c r="F658">
        <v>0</v>
      </c>
      <c r="G658">
        <v>202.2</v>
      </c>
      <c r="H658">
        <v>86</v>
      </c>
      <c r="I658">
        <v>34.37</v>
      </c>
      <c r="J658">
        <v>216.8</v>
      </c>
      <c r="K658">
        <v>93</v>
      </c>
      <c r="L658">
        <v>18.43</v>
      </c>
      <c r="M658">
        <v>239.4</v>
      </c>
      <c r="N658">
        <v>99</v>
      </c>
      <c r="O658">
        <v>10.77</v>
      </c>
      <c r="P658">
        <v>11.8</v>
      </c>
      <c r="Q658">
        <v>2</v>
      </c>
      <c r="R658">
        <v>3.19</v>
      </c>
      <c r="S658">
        <v>2</v>
      </c>
      <c r="T658" t="b">
        <v>0</v>
      </c>
    </row>
    <row r="659" spans="1:20">
      <c r="A659" t="s">
        <v>81</v>
      </c>
      <c r="B659">
        <v>104</v>
      </c>
      <c r="C659">
        <v>415</v>
      </c>
      <c r="D659" t="s">
        <v>62</v>
      </c>
      <c r="E659" t="s">
        <v>62</v>
      </c>
      <c r="F659">
        <v>0</v>
      </c>
      <c r="G659">
        <v>76.4</v>
      </c>
      <c r="H659">
        <v>116</v>
      </c>
      <c r="I659">
        <v>12.99</v>
      </c>
      <c r="J659">
        <v>115.6</v>
      </c>
      <c r="K659">
        <v>74</v>
      </c>
      <c r="L659">
        <v>9.83</v>
      </c>
      <c r="M659">
        <v>226.3</v>
      </c>
      <c r="N659">
        <v>94</v>
      </c>
      <c r="O659">
        <v>10.18</v>
      </c>
      <c r="P659">
        <v>9.4</v>
      </c>
      <c r="Q659">
        <v>3</v>
      </c>
      <c r="R659">
        <v>2.54</v>
      </c>
      <c r="S659">
        <v>3</v>
      </c>
      <c r="T659" t="b">
        <v>0</v>
      </c>
    </row>
    <row r="660" spans="1:20">
      <c r="A660" t="s">
        <v>89</v>
      </c>
      <c r="B660">
        <v>27</v>
      </c>
      <c r="C660">
        <v>510</v>
      </c>
      <c r="D660" t="s">
        <v>62</v>
      </c>
      <c r="E660" t="s">
        <v>62</v>
      </c>
      <c r="F660">
        <v>0</v>
      </c>
      <c r="G660">
        <v>72.7</v>
      </c>
      <c r="H660">
        <v>75</v>
      </c>
      <c r="I660">
        <v>12.36</v>
      </c>
      <c r="J660">
        <v>208.6</v>
      </c>
      <c r="K660">
        <v>117</v>
      </c>
      <c r="L660">
        <v>17.73</v>
      </c>
      <c r="M660">
        <v>65.8</v>
      </c>
      <c r="N660">
        <v>71</v>
      </c>
      <c r="O660">
        <v>2.96</v>
      </c>
      <c r="P660">
        <v>9.9</v>
      </c>
      <c r="Q660">
        <v>3</v>
      </c>
      <c r="R660">
        <v>2.67</v>
      </c>
      <c r="S660">
        <v>1</v>
      </c>
      <c r="T660" t="b">
        <v>0</v>
      </c>
    </row>
    <row r="661" spans="1:20">
      <c r="A661" t="s">
        <v>86</v>
      </c>
      <c r="B661">
        <v>81</v>
      </c>
      <c r="C661">
        <v>415</v>
      </c>
      <c r="D661" t="s">
        <v>62</v>
      </c>
      <c r="E661" t="s">
        <v>63</v>
      </c>
      <c r="F661">
        <v>31</v>
      </c>
      <c r="G661">
        <v>210.4</v>
      </c>
      <c r="H661">
        <v>100</v>
      </c>
      <c r="I661">
        <v>35.77</v>
      </c>
      <c r="J661">
        <v>225.5</v>
      </c>
      <c r="K661">
        <v>97</v>
      </c>
      <c r="L661">
        <v>19.17</v>
      </c>
      <c r="M661">
        <v>168.7</v>
      </c>
      <c r="N661">
        <v>120</v>
      </c>
      <c r="O661">
        <v>7.59</v>
      </c>
      <c r="P661">
        <v>9.7</v>
      </c>
      <c r="Q661">
        <v>4</v>
      </c>
      <c r="R661">
        <v>2.62</v>
      </c>
      <c r="S661">
        <v>0</v>
      </c>
      <c r="T661" t="b">
        <v>0</v>
      </c>
    </row>
    <row r="662" spans="1:20">
      <c r="A662" t="s">
        <v>100</v>
      </c>
      <c r="B662">
        <v>64</v>
      </c>
      <c r="C662">
        <v>510</v>
      </c>
      <c r="D662" t="s">
        <v>63</v>
      </c>
      <c r="E662" t="s">
        <v>63</v>
      </c>
      <c r="F662">
        <v>33</v>
      </c>
      <c r="G662">
        <v>127.2</v>
      </c>
      <c r="H662">
        <v>93</v>
      </c>
      <c r="I662">
        <v>21.62</v>
      </c>
      <c r="J662">
        <v>162.9</v>
      </c>
      <c r="K662">
        <v>104</v>
      </c>
      <c r="L662">
        <v>13.85</v>
      </c>
      <c r="M662">
        <v>247.4</v>
      </c>
      <c r="N662">
        <v>109</v>
      </c>
      <c r="O662">
        <v>11.13</v>
      </c>
      <c r="P662">
        <v>8.1</v>
      </c>
      <c r="Q662">
        <v>13</v>
      </c>
      <c r="R662">
        <v>2.19</v>
      </c>
      <c r="S662">
        <v>0</v>
      </c>
      <c r="T662" t="b">
        <v>0</v>
      </c>
    </row>
    <row r="663" spans="1:20">
      <c r="A663" t="s">
        <v>78</v>
      </c>
      <c r="B663">
        <v>107</v>
      </c>
      <c r="C663">
        <v>510</v>
      </c>
      <c r="D663" t="s">
        <v>62</v>
      </c>
      <c r="E663" t="s">
        <v>63</v>
      </c>
      <c r="F663">
        <v>28</v>
      </c>
      <c r="G663">
        <v>201.8</v>
      </c>
      <c r="H663">
        <v>79</v>
      </c>
      <c r="I663">
        <v>34.31</v>
      </c>
      <c r="J663">
        <v>304.9</v>
      </c>
      <c r="K663">
        <v>128</v>
      </c>
      <c r="L663">
        <v>25.92</v>
      </c>
      <c r="M663">
        <v>225.6</v>
      </c>
      <c r="N663">
        <v>133</v>
      </c>
      <c r="O663">
        <v>10.15</v>
      </c>
      <c r="P663">
        <v>11.9</v>
      </c>
      <c r="Q663">
        <v>8</v>
      </c>
      <c r="R663">
        <v>3.21</v>
      </c>
      <c r="S663">
        <v>1</v>
      </c>
      <c r="T663" t="b">
        <v>0</v>
      </c>
    </row>
    <row r="664" spans="1:20">
      <c r="A664" t="s">
        <v>105</v>
      </c>
      <c r="B664">
        <v>88</v>
      </c>
      <c r="C664">
        <v>415</v>
      </c>
      <c r="D664" t="s">
        <v>62</v>
      </c>
      <c r="E664" t="s">
        <v>63</v>
      </c>
      <c r="F664">
        <v>17</v>
      </c>
      <c r="G664">
        <v>219.5</v>
      </c>
      <c r="H664">
        <v>78</v>
      </c>
      <c r="I664">
        <v>37.32</v>
      </c>
      <c r="J664">
        <v>222.1</v>
      </c>
      <c r="K664">
        <v>94</v>
      </c>
      <c r="L664">
        <v>18.88</v>
      </c>
      <c r="M664">
        <v>188.3</v>
      </c>
      <c r="N664">
        <v>92</v>
      </c>
      <c r="O664">
        <v>8.47</v>
      </c>
      <c r="P664">
        <v>16.1</v>
      </c>
      <c r="Q664">
        <v>5</v>
      </c>
      <c r="R664">
        <v>4.35</v>
      </c>
      <c r="S664">
        <v>1</v>
      </c>
      <c r="T664" t="b">
        <v>0</v>
      </c>
    </row>
    <row r="665" spans="1:20">
      <c r="A665" t="s">
        <v>78</v>
      </c>
      <c r="B665">
        <v>111</v>
      </c>
      <c r="C665">
        <v>408</v>
      </c>
      <c r="D665" t="s">
        <v>62</v>
      </c>
      <c r="E665" t="s">
        <v>62</v>
      </c>
      <c r="F665">
        <v>0</v>
      </c>
      <c r="G665">
        <v>99.3</v>
      </c>
      <c r="H665">
        <v>112</v>
      </c>
      <c r="I665">
        <v>16.88</v>
      </c>
      <c r="J665">
        <v>270.5</v>
      </c>
      <c r="K665">
        <v>136</v>
      </c>
      <c r="L665">
        <v>22.99</v>
      </c>
      <c r="M665">
        <v>225.3</v>
      </c>
      <c r="N665">
        <v>94</v>
      </c>
      <c r="O665">
        <v>10.14</v>
      </c>
      <c r="P665">
        <v>9</v>
      </c>
      <c r="Q665">
        <v>6</v>
      </c>
      <c r="R665">
        <v>2.43</v>
      </c>
      <c r="S665">
        <v>3</v>
      </c>
      <c r="T665" t="b">
        <v>0</v>
      </c>
    </row>
    <row r="666" spans="1:20">
      <c r="A666" t="s">
        <v>104</v>
      </c>
      <c r="B666">
        <v>77</v>
      </c>
      <c r="C666">
        <v>415</v>
      </c>
      <c r="D666" t="s">
        <v>62</v>
      </c>
      <c r="E666" t="s">
        <v>62</v>
      </c>
      <c r="F666">
        <v>0</v>
      </c>
      <c r="G666">
        <v>239.2</v>
      </c>
      <c r="H666">
        <v>114</v>
      </c>
      <c r="I666">
        <v>40.66</v>
      </c>
      <c r="J666">
        <v>150</v>
      </c>
      <c r="K666">
        <v>115</v>
      </c>
      <c r="L666">
        <v>12.75</v>
      </c>
      <c r="M666">
        <v>160.8</v>
      </c>
      <c r="N666">
        <v>81</v>
      </c>
      <c r="O666">
        <v>7.24</v>
      </c>
      <c r="P666">
        <v>10.3</v>
      </c>
      <c r="Q666">
        <v>2</v>
      </c>
      <c r="R666">
        <v>2.78</v>
      </c>
      <c r="S666">
        <v>5</v>
      </c>
      <c r="T666" t="b">
        <v>0</v>
      </c>
    </row>
    <row r="667" spans="1:20">
      <c r="A667" t="s">
        <v>94</v>
      </c>
      <c r="B667">
        <v>67</v>
      </c>
      <c r="C667">
        <v>415</v>
      </c>
      <c r="D667" t="s">
        <v>63</v>
      </c>
      <c r="E667" t="s">
        <v>62</v>
      </c>
      <c r="F667">
        <v>0</v>
      </c>
      <c r="G667">
        <v>120.9</v>
      </c>
      <c r="H667">
        <v>58</v>
      </c>
      <c r="I667">
        <v>20.55</v>
      </c>
      <c r="J667">
        <v>235</v>
      </c>
      <c r="K667">
        <v>88</v>
      </c>
      <c r="L667">
        <v>19.98</v>
      </c>
      <c r="M667">
        <v>95.1</v>
      </c>
      <c r="N667">
        <v>130</v>
      </c>
      <c r="O667">
        <v>4.28</v>
      </c>
      <c r="P667">
        <v>11.4</v>
      </c>
      <c r="Q667">
        <v>11</v>
      </c>
      <c r="R667">
        <v>3.08</v>
      </c>
      <c r="S667">
        <v>2</v>
      </c>
      <c r="T667" t="b">
        <v>0</v>
      </c>
    </row>
    <row r="668" spans="1:20">
      <c r="A668" t="s">
        <v>67</v>
      </c>
      <c r="B668">
        <v>102</v>
      </c>
      <c r="C668">
        <v>408</v>
      </c>
      <c r="D668" t="s">
        <v>62</v>
      </c>
      <c r="E668" t="s">
        <v>62</v>
      </c>
      <c r="F668">
        <v>0</v>
      </c>
      <c r="G668">
        <v>224.7</v>
      </c>
      <c r="H668">
        <v>81</v>
      </c>
      <c r="I668">
        <v>38.2</v>
      </c>
      <c r="J668">
        <v>129.4</v>
      </c>
      <c r="K668">
        <v>112</v>
      </c>
      <c r="L668">
        <v>11</v>
      </c>
      <c r="M668">
        <v>167.6</v>
      </c>
      <c r="N668">
        <v>109</v>
      </c>
      <c r="O668">
        <v>7.54</v>
      </c>
      <c r="P668">
        <v>15.8</v>
      </c>
      <c r="Q668">
        <v>6</v>
      </c>
      <c r="R668">
        <v>4.27</v>
      </c>
      <c r="S668">
        <v>1</v>
      </c>
      <c r="T668" t="b">
        <v>0</v>
      </c>
    </row>
    <row r="669" spans="1:20">
      <c r="A669" t="s">
        <v>115</v>
      </c>
      <c r="B669">
        <v>146</v>
      </c>
      <c r="C669">
        <v>408</v>
      </c>
      <c r="D669" t="s">
        <v>62</v>
      </c>
      <c r="E669" t="s">
        <v>63</v>
      </c>
      <c r="F669">
        <v>19</v>
      </c>
      <c r="G669">
        <v>176.6</v>
      </c>
      <c r="H669">
        <v>88</v>
      </c>
      <c r="I669">
        <v>30.02</v>
      </c>
      <c r="J669">
        <v>162.7</v>
      </c>
      <c r="K669">
        <v>66</v>
      </c>
      <c r="L669">
        <v>13.83</v>
      </c>
      <c r="M669">
        <v>215.5</v>
      </c>
      <c r="N669">
        <v>98</v>
      </c>
      <c r="O669">
        <v>9.7</v>
      </c>
      <c r="P669">
        <v>14.6</v>
      </c>
      <c r="Q669">
        <v>6</v>
      </c>
      <c r="R669">
        <v>3.94</v>
      </c>
      <c r="S669">
        <v>1</v>
      </c>
      <c r="T669" t="b">
        <v>0</v>
      </c>
    </row>
    <row r="670" spans="1:20">
      <c r="A670" t="s">
        <v>84</v>
      </c>
      <c r="B670">
        <v>96</v>
      </c>
      <c r="C670">
        <v>415</v>
      </c>
      <c r="D670" t="s">
        <v>62</v>
      </c>
      <c r="E670" t="s">
        <v>62</v>
      </c>
      <c r="F670">
        <v>0</v>
      </c>
      <c r="G670">
        <v>180.6</v>
      </c>
      <c r="H670">
        <v>92</v>
      </c>
      <c r="I670">
        <v>30.7</v>
      </c>
      <c r="J670">
        <v>190.9</v>
      </c>
      <c r="K670">
        <v>114</v>
      </c>
      <c r="L670">
        <v>16.23</v>
      </c>
      <c r="M670">
        <v>295.6</v>
      </c>
      <c r="N670">
        <v>125</v>
      </c>
      <c r="O670">
        <v>13.3</v>
      </c>
      <c r="P670">
        <v>10.3</v>
      </c>
      <c r="Q670">
        <v>4</v>
      </c>
      <c r="R670">
        <v>2.78</v>
      </c>
      <c r="S670">
        <v>1</v>
      </c>
      <c r="T670" t="b">
        <v>1</v>
      </c>
    </row>
    <row r="671" spans="1:20">
      <c r="A671" t="s">
        <v>108</v>
      </c>
      <c r="B671">
        <v>149</v>
      </c>
      <c r="C671">
        <v>408</v>
      </c>
      <c r="D671" t="s">
        <v>62</v>
      </c>
      <c r="E671" t="s">
        <v>62</v>
      </c>
      <c r="F671">
        <v>0</v>
      </c>
      <c r="G671">
        <v>237.6</v>
      </c>
      <c r="H671">
        <v>79</v>
      </c>
      <c r="I671">
        <v>40.39</v>
      </c>
      <c r="J671">
        <v>192.4</v>
      </c>
      <c r="K671">
        <v>107</v>
      </c>
      <c r="L671">
        <v>16.35</v>
      </c>
      <c r="M671">
        <v>207.4</v>
      </c>
      <c r="N671">
        <v>111</v>
      </c>
      <c r="O671">
        <v>9.33</v>
      </c>
      <c r="P671">
        <v>9.1</v>
      </c>
      <c r="Q671">
        <v>9</v>
      </c>
      <c r="R671">
        <v>2.46</v>
      </c>
      <c r="S671">
        <v>0</v>
      </c>
      <c r="T671" t="b">
        <v>0</v>
      </c>
    </row>
    <row r="672" spans="1:20">
      <c r="A672" t="s">
        <v>86</v>
      </c>
      <c r="B672">
        <v>129</v>
      </c>
      <c r="C672">
        <v>415</v>
      </c>
      <c r="D672" t="s">
        <v>62</v>
      </c>
      <c r="E672" t="s">
        <v>62</v>
      </c>
      <c r="F672">
        <v>0</v>
      </c>
      <c r="G672">
        <v>198.4</v>
      </c>
      <c r="H672">
        <v>91</v>
      </c>
      <c r="I672">
        <v>33.73</v>
      </c>
      <c r="J672">
        <v>264.7</v>
      </c>
      <c r="K672">
        <v>106</v>
      </c>
      <c r="L672">
        <v>22.5</v>
      </c>
      <c r="M672">
        <v>111.4</v>
      </c>
      <c r="N672">
        <v>101</v>
      </c>
      <c r="O672">
        <v>5.01</v>
      </c>
      <c r="P672">
        <v>9.2</v>
      </c>
      <c r="Q672">
        <v>2</v>
      </c>
      <c r="R672">
        <v>2.48</v>
      </c>
      <c r="S672">
        <v>2</v>
      </c>
      <c r="T672" t="b">
        <v>0</v>
      </c>
    </row>
    <row r="673" spans="1:20">
      <c r="A673" t="s">
        <v>101</v>
      </c>
      <c r="B673">
        <v>166</v>
      </c>
      <c r="C673">
        <v>408</v>
      </c>
      <c r="D673" t="s">
        <v>62</v>
      </c>
      <c r="E673" t="s">
        <v>62</v>
      </c>
      <c r="F673">
        <v>0</v>
      </c>
      <c r="G673">
        <v>274.3</v>
      </c>
      <c r="H673">
        <v>110</v>
      </c>
      <c r="I673">
        <v>46.63</v>
      </c>
      <c r="J673">
        <v>52.9</v>
      </c>
      <c r="K673">
        <v>109</v>
      </c>
      <c r="L673">
        <v>4.5</v>
      </c>
      <c r="M673">
        <v>246.1</v>
      </c>
      <c r="N673">
        <v>119</v>
      </c>
      <c r="O673">
        <v>11.07</v>
      </c>
      <c r="P673">
        <v>10.9</v>
      </c>
      <c r="Q673">
        <v>5</v>
      </c>
      <c r="R673">
        <v>2.94</v>
      </c>
      <c r="S673">
        <v>0</v>
      </c>
      <c r="T673" t="b">
        <v>0</v>
      </c>
    </row>
    <row r="674" spans="1:20">
      <c r="A674" t="s">
        <v>61</v>
      </c>
      <c r="B674">
        <v>149</v>
      </c>
      <c r="C674">
        <v>510</v>
      </c>
      <c r="D674" t="s">
        <v>62</v>
      </c>
      <c r="E674" t="s">
        <v>62</v>
      </c>
      <c r="F674">
        <v>0</v>
      </c>
      <c r="G674">
        <v>217.7</v>
      </c>
      <c r="H674">
        <v>91</v>
      </c>
      <c r="I674">
        <v>37.01</v>
      </c>
      <c r="J674">
        <v>273.5</v>
      </c>
      <c r="K674">
        <v>74</v>
      </c>
      <c r="L674">
        <v>23.25</v>
      </c>
      <c r="M674">
        <v>226.9</v>
      </c>
      <c r="N674">
        <v>99</v>
      </c>
      <c r="O674">
        <v>10.21</v>
      </c>
      <c r="P674">
        <v>9.6</v>
      </c>
      <c r="Q674">
        <v>3</v>
      </c>
      <c r="R674">
        <v>2.59</v>
      </c>
      <c r="S674">
        <v>3</v>
      </c>
      <c r="T674" t="b">
        <v>0</v>
      </c>
    </row>
    <row r="675" spans="1:20">
      <c r="A675" t="s">
        <v>73</v>
      </c>
      <c r="B675">
        <v>70</v>
      </c>
      <c r="C675">
        <v>415</v>
      </c>
      <c r="D675" t="s">
        <v>62</v>
      </c>
      <c r="E675" t="s">
        <v>62</v>
      </c>
      <c r="F675">
        <v>0</v>
      </c>
      <c r="G675">
        <v>134.7</v>
      </c>
      <c r="H675">
        <v>96</v>
      </c>
      <c r="I675">
        <v>22.9</v>
      </c>
      <c r="J675">
        <v>235.9</v>
      </c>
      <c r="K675">
        <v>90</v>
      </c>
      <c r="L675">
        <v>20.05</v>
      </c>
      <c r="M675">
        <v>260.2</v>
      </c>
      <c r="N675">
        <v>113</v>
      </c>
      <c r="O675">
        <v>11.71</v>
      </c>
      <c r="P675">
        <v>7.6</v>
      </c>
      <c r="Q675">
        <v>6</v>
      </c>
      <c r="R675">
        <v>2.05</v>
      </c>
      <c r="S675">
        <v>3</v>
      </c>
      <c r="T675" t="b">
        <v>0</v>
      </c>
    </row>
    <row r="676" spans="1:20">
      <c r="A676" t="s">
        <v>75</v>
      </c>
      <c r="B676">
        <v>66</v>
      </c>
      <c r="C676">
        <v>510</v>
      </c>
      <c r="D676" t="s">
        <v>62</v>
      </c>
      <c r="E676" t="s">
        <v>62</v>
      </c>
      <c r="F676">
        <v>0</v>
      </c>
      <c r="G676">
        <v>256.3</v>
      </c>
      <c r="H676">
        <v>135</v>
      </c>
      <c r="I676">
        <v>43.57</v>
      </c>
      <c r="J676">
        <v>180.2</v>
      </c>
      <c r="K676">
        <v>106</v>
      </c>
      <c r="L676">
        <v>15.32</v>
      </c>
      <c r="M676">
        <v>187.3</v>
      </c>
      <c r="N676">
        <v>135</v>
      </c>
      <c r="O676">
        <v>8.43</v>
      </c>
      <c r="P676">
        <v>6.2</v>
      </c>
      <c r="Q676">
        <v>7</v>
      </c>
      <c r="R676">
        <v>1.67</v>
      </c>
      <c r="S676">
        <v>2</v>
      </c>
      <c r="T676" t="b">
        <v>0</v>
      </c>
    </row>
    <row r="677" spans="1:20">
      <c r="A677" t="s">
        <v>104</v>
      </c>
      <c r="B677">
        <v>160</v>
      </c>
      <c r="C677">
        <v>415</v>
      </c>
      <c r="D677" t="s">
        <v>62</v>
      </c>
      <c r="E677" t="s">
        <v>62</v>
      </c>
      <c r="F677">
        <v>0</v>
      </c>
      <c r="G677">
        <v>176.2</v>
      </c>
      <c r="H677">
        <v>90</v>
      </c>
      <c r="I677">
        <v>29.95</v>
      </c>
      <c r="J677">
        <v>196</v>
      </c>
      <c r="K677">
        <v>115</v>
      </c>
      <c r="L677">
        <v>16.66</v>
      </c>
      <c r="M677">
        <v>263.9</v>
      </c>
      <c r="N677">
        <v>95</v>
      </c>
      <c r="O677">
        <v>11.88</v>
      </c>
      <c r="P677">
        <v>9.2</v>
      </c>
      <c r="Q677">
        <v>4</v>
      </c>
      <c r="R677">
        <v>2.48</v>
      </c>
      <c r="S677">
        <v>1</v>
      </c>
      <c r="T677" t="b">
        <v>0</v>
      </c>
    </row>
    <row r="678" spans="1:20">
      <c r="A678" t="s">
        <v>93</v>
      </c>
      <c r="B678">
        <v>129</v>
      </c>
      <c r="C678">
        <v>415</v>
      </c>
      <c r="D678" t="s">
        <v>62</v>
      </c>
      <c r="E678" t="s">
        <v>63</v>
      </c>
      <c r="F678">
        <v>37</v>
      </c>
      <c r="G678">
        <v>205</v>
      </c>
      <c r="H678">
        <v>94</v>
      </c>
      <c r="I678">
        <v>34.85</v>
      </c>
      <c r="J678">
        <v>165.4</v>
      </c>
      <c r="K678">
        <v>103</v>
      </c>
      <c r="L678">
        <v>14.06</v>
      </c>
      <c r="M678">
        <v>185</v>
      </c>
      <c r="N678">
        <v>81</v>
      </c>
      <c r="O678">
        <v>8.32</v>
      </c>
      <c r="P678">
        <v>11.7</v>
      </c>
      <c r="Q678">
        <v>8</v>
      </c>
      <c r="R678">
        <v>3.16</v>
      </c>
      <c r="S678">
        <v>1</v>
      </c>
      <c r="T678" t="b">
        <v>0</v>
      </c>
    </row>
    <row r="679" spans="1:20">
      <c r="A679" t="s">
        <v>67</v>
      </c>
      <c r="B679">
        <v>93</v>
      </c>
      <c r="C679">
        <v>408</v>
      </c>
      <c r="D679" t="s">
        <v>62</v>
      </c>
      <c r="E679" t="s">
        <v>62</v>
      </c>
      <c r="F679">
        <v>0</v>
      </c>
      <c r="G679">
        <v>267.9</v>
      </c>
      <c r="H679">
        <v>114</v>
      </c>
      <c r="I679">
        <v>45.54</v>
      </c>
      <c r="J679">
        <v>223</v>
      </c>
      <c r="K679">
        <v>74</v>
      </c>
      <c r="L679">
        <v>18.96</v>
      </c>
      <c r="M679">
        <v>262.7</v>
      </c>
      <c r="N679">
        <v>90</v>
      </c>
      <c r="O679">
        <v>11.82</v>
      </c>
      <c r="P679">
        <v>11.3</v>
      </c>
      <c r="Q679">
        <v>3</v>
      </c>
      <c r="R679">
        <v>3.05</v>
      </c>
      <c r="S679">
        <v>3</v>
      </c>
      <c r="T679" t="b">
        <v>1</v>
      </c>
    </row>
    <row r="680" spans="1:20">
      <c r="A680" t="s">
        <v>114</v>
      </c>
      <c r="B680">
        <v>169</v>
      </c>
      <c r="C680">
        <v>415</v>
      </c>
      <c r="D680" t="s">
        <v>62</v>
      </c>
      <c r="E680" t="s">
        <v>62</v>
      </c>
      <c r="F680">
        <v>0</v>
      </c>
      <c r="G680">
        <v>179.2</v>
      </c>
      <c r="H680">
        <v>111</v>
      </c>
      <c r="I680">
        <v>30.46</v>
      </c>
      <c r="J680">
        <v>175.2</v>
      </c>
      <c r="K680">
        <v>130</v>
      </c>
      <c r="L680">
        <v>14.89</v>
      </c>
      <c r="M680">
        <v>228.6</v>
      </c>
      <c r="N680">
        <v>92</v>
      </c>
      <c r="O680">
        <v>10.29</v>
      </c>
      <c r="P680">
        <v>9.9</v>
      </c>
      <c r="Q680">
        <v>6</v>
      </c>
      <c r="R680">
        <v>2.67</v>
      </c>
      <c r="S680">
        <v>2</v>
      </c>
      <c r="T680" t="b">
        <v>0</v>
      </c>
    </row>
    <row r="681" spans="1:20">
      <c r="A681" t="s">
        <v>69</v>
      </c>
      <c r="B681">
        <v>58</v>
      </c>
      <c r="C681">
        <v>415</v>
      </c>
      <c r="D681" t="s">
        <v>62</v>
      </c>
      <c r="E681" t="s">
        <v>62</v>
      </c>
      <c r="F681">
        <v>0</v>
      </c>
      <c r="G681">
        <v>149.4</v>
      </c>
      <c r="H681">
        <v>145</v>
      </c>
      <c r="I681">
        <v>25.4</v>
      </c>
      <c r="J681">
        <v>196.5</v>
      </c>
      <c r="K681">
        <v>105</v>
      </c>
      <c r="L681">
        <v>16.7</v>
      </c>
      <c r="M681">
        <v>209.5</v>
      </c>
      <c r="N681">
        <v>108</v>
      </c>
      <c r="O681">
        <v>9.43</v>
      </c>
      <c r="P681">
        <v>14.9</v>
      </c>
      <c r="Q681">
        <v>3</v>
      </c>
      <c r="R681">
        <v>4.02</v>
      </c>
      <c r="S681">
        <v>1</v>
      </c>
      <c r="T681" t="b">
        <v>0</v>
      </c>
    </row>
    <row r="682" spans="1:20">
      <c r="A682" t="s">
        <v>69</v>
      </c>
      <c r="B682">
        <v>45</v>
      </c>
      <c r="C682">
        <v>408</v>
      </c>
      <c r="D682" t="s">
        <v>62</v>
      </c>
      <c r="E682" t="s">
        <v>62</v>
      </c>
      <c r="F682">
        <v>0</v>
      </c>
      <c r="G682">
        <v>207.6</v>
      </c>
      <c r="H682">
        <v>71</v>
      </c>
      <c r="I682">
        <v>35.29</v>
      </c>
      <c r="J682">
        <v>152.7</v>
      </c>
      <c r="K682">
        <v>94</v>
      </c>
      <c r="L682">
        <v>12.98</v>
      </c>
      <c r="M682">
        <v>217.8</v>
      </c>
      <c r="N682">
        <v>125</v>
      </c>
      <c r="O682">
        <v>9.8</v>
      </c>
      <c r="P682">
        <v>12.4</v>
      </c>
      <c r="Q682">
        <v>13</v>
      </c>
      <c r="R682">
        <v>3.35</v>
      </c>
      <c r="S682">
        <v>1</v>
      </c>
      <c r="T682" t="b">
        <v>0</v>
      </c>
    </row>
    <row r="683" spans="1:20">
      <c r="A683" t="s">
        <v>116</v>
      </c>
      <c r="B683">
        <v>155</v>
      </c>
      <c r="C683">
        <v>510</v>
      </c>
      <c r="D683" t="s">
        <v>62</v>
      </c>
      <c r="E683" t="s">
        <v>62</v>
      </c>
      <c r="F683">
        <v>0</v>
      </c>
      <c r="G683">
        <v>165.4</v>
      </c>
      <c r="H683">
        <v>108</v>
      </c>
      <c r="I683">
        <v>28.12</v>
      </c>
      <c r="J683">
        <v>183.7</v>
      </c>
      <c r="K683">
        <v>103</v>
      </c>
      <c r="L683">
        <v>15.61</v>
      </c>
      <c r="M683">
        <v>80.2</v>
      </c>
      <c r="N683">
        <v>108</v>
      </c>
      <c r="O683">
        <v>3.61</v>
      </c>
      <c r="P683">
        <v>8.9</v>
      </c>
      <c r="Q683">
        <v>4</v>
      </c>
      <c r="R683">
        <v>2.4</v>
      </c>
      <c r="S683">
        <v>3</v>
      </c>
      <c r="T683" t="b">
        <v>0</v>
      </c>
    </row>
    <row r="684" spans="1:20">
      <c r="A684" t="s">
        <v>91</v>
      </c>
      <c r="B684">
        <v>52</v>
      </c>
      <c r="C684">
        <v>415</v>
      </c>
      <c r="D684" t="s">
        <v>62</v>
      </c>
      <c r="E684" t="s">
        <v>62</v>
      </c>
      <c r="F684">
        <v>0</v>
      </c>
      <c r="G684">
        <v>209.8</v>
      </c>
      <c r="H684">
        <v>114</v>
      </c>
      <c r="I684">
        <v>35.67</v>
      </c>
      <c r="J684">
        <v>171.3</v>
      </c>
      <c r="K684">
        <v>82</v>
      </c>
      <c r="L684">
        <v>14.56</v>
      </c>
      <c r="M684">
        <v>154.6</v>
      </c>
      <c r="N684">
        <v>119</v>
      </c>
      <c r="O684">
        <v>6.96</v>
      </c>
      <c r="P684">
        <v>9.9</v>
      </c>
      <c r="Q684">
        <v>9</v>
      </c>
      <c r="R684">
        <v>2.67</v>
      </c>
      <c r="S684">
        <v>4</v>
      </c>
      <c r="T684" t="b">
        <v>0</v>
      </c>
    </row>
    <row r="685" spans="1:20">
      <c r="A685" t="s">
        <v>64</v>
      </c>
      <c r="B685">
        <v>119</v>
      </c>
      <c r="C685">
        <v>415</v>
      </c>
      <c r="D685" t="s">
        <v>62</v>
      </c>
      <c r="E685" t="s">
        <v>63</v>
      </c>
      <c r="F685">
        <v>27</v>
      </c>
      <c r="G685">
        <v>220.1</v>
      </c>
      <c r="H685">
        <v>128</v>
      </c>
      <c r="I685">
        <v>37.42</v>
      </c>
      <c r="J685">
        <v>268.2</v>
      </c>
      <c r="K685">
        <v>133</v>
      </c>
      <c r="L685">
        <v>22.8</v>
      </c>
      <c r="M685">
        <v>146.5</v>
      </c>
      <c r="N685">
        <v>80</v>
      </c>
      <c r="O685">
        <v>6.59</v>
      </c>
      <c r="P685">
        <v>11.1</v>
      </c>
      <c r="Q685">
        <v>3</v>
      </c>
      <c r="R685">
        <v>3</v>
      </c>
      <c r="S685">
        <v>0</v>
      </c>
      <c r="T685" t="b">
        <v>0</v>
      </c>
    </row>
    <row r="686" spans="1:20">
      <c r="A686" t="s">
        <v>104</v>
      </c>
      <c r="B686">
        <v>86</v>
      </c>
      <c r="C686">
        <v>510</v>
      </c>
      <c r="D686" t="s">
        <v>62</v>
      </c>
      <c r="E686" t="s">
        <v>62</v>
      </c>
      <c r="F686">
        <v>0</v>
      </c>
      <c r="G686">
        <v>141.3</v>
      </c>
      <c r="H686">
        <v>72</v>
      </c>
      <c r="I686">
        <v>24.02</v>
      </c>
      <c r="J686">
        <v>154.3</v>
      </c>
      <c r="K686">
        <v>95</v>
      </c>
      <c r="L686">
        <v>13.12</v>
      </c>
      <c r="M686">
        <v>210.6</v>
      </c>
      <c r="N686">
        <v>91</v>
      </c>
      <c r="O686">
        <v>9.48</v>
      </c>
      <c r="P686">
        <v>8.2</v>
      </c>
      <c r="Q686">
        <v>5</v>
      </c>
      <c r="R686">
        <v>2.21</v>
      </c>
      <c r="S686">
        <v>1</v>
      </c>
      <c r="T686" t="b">
        <v>0</v>
      </c>
    </row>
    <row r="687" spans="1:20">
      <c r="A687" t="s">
        <v>91</v>
      </c>
      <c r="B687">
        <v>42</v>
      </c>
      <c r="C687">
        <v>408</v>
      </c>
      <c r="D687" t="s">
        <v>62</v>
      </c>
      <c r="E687" t="s">
        <v>62</v>
      </c>
      <c r="F687">
        <v>0</v>
      </c>
      <c r="G687">
        <v>196.5</v>
      </c>
      <c r="H687">
        <v>89</v>
      </c>
      <c r="I687">
        <v>33.41</v>
      </c>
      <c r="J687">
        <v>241.3</v>
      </c>
      <c r="K687">
        <v>123</v>
      </c>
      <c r="L687">
        <v>20.51</v>
      </c>
      <c r="M687">
        <v>143.2</v>
      </c>
      <c r="N687">
        <v>105</v>
      </c>
      <c r="O687">
        <v>6.44</v>
      </c>
      <c r="P687">
        <v>4</v>
      </c>
      <c r="Q687">
        <v>7</v>
      </c>
      <c r="R687">
        <v>1.08</v>
      </c>
      <c r="S687">
        <v>0</v>
      </c>
      <c r="T687" t="b">
        <v>0</v>
      </c>
    </row>
    <row r="688" spans="1:20">
      <c r="A688" t="s">
        <v>64</v>
      </c>
      <c r="B688">
        <v>123</v>
      </c>
      <c r="C688">
        <v>408</v>
      </c>
      <c r="D688" t="s">
        <v>62</v>
      </c>
      <c r="E688" t="s">
        <v>62</v>
      </c>
      <c r="F688">
        <v>0</v>
      </c>
      <c r="G688">
        <v>105</v>
      </c>
      <c r="H688">
        <v>150</v>
      </c>
      <c r="I688">
        <v>17.85</v>
      </c>
      <c r="J688">
        <v>251.6</v>
      </c>
      <c r="K688">
        <v>90</v>
      </c>
      <c r="L688">
        <v>21.39</v>
      </c>
      <c r="M688">
        <v>258</v>
      </c>
      <c r="N688">
        <v>93</v>
      </c>
      <c r="O688">
        <v>11.61</v>
      </c>
      <c r="P688">
        <v>14.9</v>
      </c>
      <c r="Q688">
        <v>5</v>
      </c>
      <c r="R688">
        <v>4.02</v>
      </c>
      <c r="S688">
        <v>0</v>
      </c>
      <c r="T688" t="b">
        <v>0</v>
      </c>
    </row>
    <row r="689" spans="1:20">
      <c r="A689" t="s">
        <v>68</v>
      </c>
      <c r="B689">
        <v>98</v>
      </c>
      <c r="C689">
        <v>510</v>
      </c>
      <c r="D689" t="s">
        <v>62</v>
      </c>
      <c r="E689" t="s">
        <v>62</v>
      </c>
      <c r="F689">
        <v>0</v>
      </c>
      <c r="G689">
        <v>271.4</v>
      </c>
      <c r="H689">
        <v>119</v>
      </c>
      <c r="I689">
        <v>46.14</v>
      </c>
      <c r="J689">
        <v>190.4</v>
      </c>
      <c r="K689">
        <v>102</v>
      </c>
      <c r="L689">
        <v>16.18</v>
      </c>
      <c r="M689">
        <v>284.7</v>
      </c>
      <c r="N689">
        <v>118</v>
      </c>
      <c r="O689">
        <v>12.81</v>
      </c>
      <c r="P689">
        <v>11.1</v>
      </c>
      <c r="Q689">
        <v>6</v>
      </c>
      <c r="R689">
        <v>3</v>
      </c>
      <c r="S689">
        <v>4</v>
      </c>
      <c r="T689" t="b">
        <v>1</v>
      </c>
    </row>
    <row r="690" spans="1:20">
      <c r="A690" t="s">
        <v>66</v>
      </c>
      <c r="B690">
        <v>149</v>
      </c>
      <c r="C690">
        <v>510</v>
      </c>
      <c r="D690" t="s">
        <v>62</v>
      </c>
      <c r="E690" t="s">
        <v>63</v>
      </c>
      <c r="F690">
        <v>43</v>
      </c>
      <c r="G690">
        <v>206.7</v>
      </c>
      <c r="H690">
        <v>79</v>
      </c>
      <c r="I690">
        <v>35.14</v>
      </c>
      <c r="J690">
        <v>174.6</v>
      </c>
      <c r="K690">
        <v>122</v>
      </c>
      <c r="L690">
        <v>14.84</v>
      </c>
      <c r="M690">
        <v>241.5</v>
      </c>
      <c r="N690">
        <v>80</v>
      </c>
      <c r="O690">
        <v>10.87</v>
      </c>
      <c r="P690">
        <v>10.9</v>
      </c>
      <c r="Q690">
        <v>3</v>
      </c>
      <c r="R690">
        <v>2.94</v>
      </c>
      <c r="S690">
        <v>1</v>
      </c>
      <c r="T690" t="b">
        <v>0</v>
      </c>
    </row>
    <row r="691" spans="1:20">
      <c r="A691" t="s">
        <v>68</v>
      </c>
      <c r="B691">
        <v>160</v>
      </c>
      <c r="C691">
        <v>408</v>
      </c>
      <c r="D691" t="s">
        <v>62</v>
      </c>
      <c r="E691" t="s">
        <v>62</v>
      </c>
      <c r="F691">
        <v>0</v>
      </c>
      <c r="G691">
        <v>166.8</v>
      </c>
      <c r="H691">
        <v>109</v>
      </c>
      <c r="I691">
        <v>28.36</v>
      </c>
      <c r="J691">
        <v>236</v>
      </c>
      <c r="K691">
        <v>117</v>
      </c>
      <c r="L691">
        <v>20.06</v>
      </c>
      <c r="M691">
        <v>307.6</v>
      </c>
      <c r="N691">
        <v>77</v>
      </c>
      <c r="O691">
        <v>13.84</v>
      </c>
      <c r="P691">
        <v>9.3</v>
      </c>
      <c r="Q691">
        <v>1</v>
      </c>
      <c r="R691">
        <v>2.51</v>
      </c>
      <c r="S691">
        <v>1</v>
      </c>
      <c r="T691" t="b">
        <v>0</v>
      </c>
    </row>
    <row r="692" spans="1:20">
      <c r="A692" t="s">
        <v>101</v>
      </c>
      <c r="B692">
        <v>103</v>
      </c>
      <c r="C692">
        <v>415</v>
      </c>
      <c r="D692" t="s">
        <v>62</v>
      </c>
      <c r="E692" t="s">
        <v>62</v>
      </c>
      <c r="F692">
        <v>0</v>
      </c>
      <c r="G692">
        <v>204.9</v>
      </c>
      <c r="H692">
        <v>107</v>
      </c>
      <c r="I692">
        <v>34.83</v>
      </c>
      <c r="J692">
        <v>135.2</v>
      </c>
      <c r="K692">
        <v>102</v>
      </c>
      <c r="L692">
        <v>11.49</v>
      </c>
      <c r="M692">
        <v>208.2</v>
      </c>
      <c r="N692">
        <v>106</v>
      </c>
      <c r="O692">
        <v>9.37</v>
      </c>
      <c r="P692">
        <v>10.4</v>
      </c>
      <c r="Q692">
        <v>3</v>
      </c>
      <c r="R692">
        <v>2.81</v>
      </c>
      <c r="S692">
        <v>5</v>
      </c>
      <c r="T692" t="b">
        <v>0</v>
      </c>
    </row>
    <row r="693" spans="1:20">
      <c r="A693" t="s">
        <v>114</v>
      </c>
      <c r="B693">
        <v>132</v>
      </c>
      <c r="C693">
        <v>415</v>
      </c>
      <c r="D693" t="s">
        <v>62</v>
      </c>
      <c r="E693" t="s">
        <v>63</v>
      </c>
      <c r="F693">
        <v>15</v>
      </c>
      <c r="G693">
        <v>154.6</v>
      </c>
      <c r="H693">
        <v>128</v>
      </c>
      <c r="I693">
        <v>26.28</v>
      </c>
      <c r="J693">
        <v>245.6</v>
      </c>
      <c r="K693">
        <v>106</v>
      </c>
      <c r="L693">
        <v>20.88</v>
      </c>
      <c r="M693">
        <v>148.6</v>
      </c>
      <c r="N693">
        <v>90</v>
      </c>
      <c r="O693">
        <v>6.69</v>
      </c>
      <c r="P693">
        <v>9.1</v>
      </c>
      <c r="Q693">
        <v>4</v>
      </c>
      <c r="R693">
        <v>2.46</v>
      </c>
      <c r="S693">
        <v>1</v>
      </c>
      <c r="T693" t="b">
        <v>0</v>
      </c>
    </row>
    <row r="694" spans="1:20">
      <c r="A694" t="s">
        <v>82</v>
      </c>
      <c r="B694">
        <v>137</v>
      </c>
      <c r="C694">
        <v>415</v>
      </c>
      <c r="D694" t="s">
        <v>62</v>
      </c>
      <c r="E694" t="s">
        <v>62</v>
      </c>
      <c r="F694">
        <v>0</v>
      </c>
      <c r="G694">
        <v>127</v>
      </c>
      <c r="H694">
        <v>107</v>
      </c>
      <c r="I694">
        <v>21.59</v>
      </c>
      <c r="J694">
        <v>323.2</v>
      </c>
      <c r="K694">
        <v>75</v>
      </c>
      <c r="L694">
        <v>27.47</v>
      </c>
      <c r="M694">
        <v>143.9</v>
      </c>
      <c r="N694">
        <v>127</v>
      </c>
      <c r="O694">
        <v>6.48</v>
      </c>
      <c r="P694">
        <v>7.5</v>
      </c>
      <c r="Q694">
        <v>2</v>
      </c>
      <c r="R694">
        <v>2.03</v>
      </c>
      <c r="S694">
        <v>1</v>
      </c>
      <c r="T694" t="b">
        <v>0</v>
      </c>
    </row>
    <row r="695" spans="1:20">
      <c r="A695" t="s">
        <v>81</v>
      </c>
      <c r="B695">
        <v>129</v>
      </c>
      <c r="C695">
        <v>415</v>
      </c>
      <c r="D695" t="s">
        <v>63</v>
      </c>
      <c r="E695" t="s">
        <v>62</v>
      </c>
      <c r="F695">
        <v>0</v>
      </c>
      <c r="G695">
        <v>267.4</v>
      </c>
      <c r="H695">
        <v>78</v>
      </c>
      <c r="I695">
        <v>45.46</v>
      </c>
      <c r="J695">
        <v>204.2</v>
      </c>
      <c r="K695">
        <v>85</v>
      </c>
      <c r="L695">
        <v>17.36</v>
      </c>
      <c r="M695">
        <v>111.7</v>
      </c>
      <c r="N695">
        <v>146</v>
      </c>
      <c r="O695">
        <v>5.03</v>
      </c>
      <c r="P695">
        <v>5.9</v>
      </c>
      <c r="Q695">
        <v>4</v>
      </c>
      <c r="R695">
        <v>1.59</v>
      </c>
      <c r="S695">
        <v>1</v>
      </c>
      <c r="T695" t="b">
        <v>0</v>
      </c>
    </row>
    <row r="696" spans="1:20">
      <c r="A696" t="s">
        <v>93</v>
      </c>
      <c r="B696">
        <v>62</v>
      </c>
      <c r="C696">
        <v>415</v>
      </c>
      <c r="D696" t="s">
        <v>62</v>
      </c>
      <c r="E696" t="s">
        <v>62</v>
      </c>
      <c r="F696">
        <v>0</v>
      </c>
      <c r="G696">
        <v>281</v>
      </c>
      <c r="H696">
        <v>66</v>
      </c>
      <c r="I696">
        <v>47.77</v>
      </c>
      <c r="J696">
        <v>160.6</v>
      </c>
      <c r="K696">
        <v>108</v>
      </c>
      <c r="L696">
        <v>13.65</v>
      </c>
      <c r="M696">
        <v>77.9</v>
      </c>
      <c r="N696">
        <v>74</v>
      </c>
      <c r="O696">
        <v>3.51</v>
      </c>
      <c r="P696">
        <v>0</v>
      </c>
      <c r="Q696">
        <v>0</v>
      </c>
      <c r="R696">
        <v>0</v>
      </c>
      <c r="S696">
        <v>1</v>
      </c>
      <c r="T696" t="b">
        <v>0</v>
      </c>
    </row>
    <row r="697" spans="1:20">
      <c r="A697" t="s">
        <v>85</v>
      </c>
      <c r="B697">
        <v>32</v>
      </c>
      <c r="C697">
        <v>408</v>
      </c>
      <c r="D697" t="s">
        <v>62</v>
      </c>
      <c r="E697" t="s">
        <v>62</v>
      </c>
      <c r="F697">
        <v>0</v>
      </c>
      <c r="G697">
        <v>171.2</v>
      </c>
      <c r="H697">
        <v>82</v>
      </c>
      <c r="I697">
        <v>29.1</v>
      </c>
      <c r="J697">
        <v>185.6</v>
      </c>
      <c r="K697">
        <v>102</v>
      </c>
      <c r="L697">
        <v>15.78</v>
      </c>
      <c r="M697">
        <v>203.3</v>
      </c>
      <c r="N697">
        <v>64</v>
      </c>
      <c r="O697">
        <v>9.15</v>
      </c>
      <c r="P697">
        <v>10.2</v>
      </c>
      <c r="Q697">
        <v>7</v>
      </c>
      <c r="R697">
        <v>2.75</v>
      </c>
      <c r="S697">
        <v>1</v>
      </c>
      <c r="T697" t="b">
        <v>0</v>
      </c>
    </row>
    <row r="698" spans="1:20">
      <c r="A698" t="s">
        <v>89</v>
      </c>
      <c r="B698">
        <v>86</v>
      </c>
      <c r="C698">
        <v>510</v>
      </c>
      <c r="D698" t="s">
        <v>62</v>
      </c>
      <c r="E698" t="s">
        <v>62</v>
      </c>
      <c r="F698">
        <v>0</v>
      </c>
      <c r="G698">
        <v>124.1</v>
      </c>
      <c r="H698">
        <v>82</v>
      </c>
      <c r="I698">
        <v>21.1</v>
      </c>
      <c r="J698">
        <v>202.6</v>
      </c>
      <c r="K698">
        <v>120</v>
      </c>
      <c r="L698">
        <v>17.22</v>
      </c>
      <c r="M698">
        <v>289.6</v>
      </c>
      <c r="N698">
        <v>119</v>
      </c>
      <c r="O698">
        <v>13.03</v>
      </c>
      <c r="P698">
        <v>6.7</v>
      </c>
      <c r="Q698">
        <v>8</v>
      </c>
      <c r="R698">
        <v>1.81</v>
      </c>
      <c r="S698">
        <v>3</v>
      </c>
      <c r="T698" t="b">
        <v>0</v>
      </c>
    </row>
    <row r="699" spans="1:20">
      <c r="A699" t="s">
        <v>81</v>
      </c>
      <c r="B699">
        <v>130</v>
      </c>
      <c r="C699">
        <v>415</v>
      </c>
      <c r="D699" t="s">
        <v>62</v>
      </c>
      <c r="E699" t="s">
        <v>62</v>
      </c>
      <c r="F699">
        <v>0</v>
      </c>
      <c r="G699">
        <v>162.8</v>
      </c>
      <c r="H699">
        <v>113</v>
      </c>
      <c r="I699">
        <v>27.68</v>
      </c>
      <c r="J699">
        <v>290.3</v>
      </c>
      <c r="K699">
        <v>111</v>
      </c>
      <c r="L699">
        <v>24.68</v>
      </c>
      <c r="M699">
        <v>114.9</v>
      </c>
      <c r="N699">
        <v>140</v>
      </c>
      <c r="O699">
        <v>5.17</v>
      </c>
      <c r="P699">
        <v>7.2</v>
      </c>
      <c r="Q699">
        <v>3</v>
      </c>
      <c r="R699">
        <v>1.94</v>
      </c>
      <c r="S699">
        <v>1</v>
      </c>
      <c r="T699" t="b">
        <v>0</v>
      </c>
    </row>
    <row r="700" spans="1:20">
      <c r="A700" t="s">
        <v>85</v>
      </c>
      <c r="B700">
        <v>42</v>
      </c>
      <c r="C700">
        <v>408</v>
      </c>
      <c r="D700" t="s">
        <v>62</v>
      </c>
      <c r="E700" t="s">
        <v>62</v>
      </c>
      <c r="F700">
        <v>0</v>
      </c>
      <c r="G700">
        <v>146.3</v>
      </c>
      <c r="H700">
        <v>84</v>
      </c>
      <c r="I700">
        <v>24.87</v>
      </c>
      <c r="J700">
        <v>255.9</v>
      </c>
      <c r="K700">
        <v>113</v>
      </c>
      <c r="L700">
        <v>21.75</v>
      </c>
      <c r="M700">
        <v>45</v>
      </c>
      <c r="N700">
        <v>117</v>
      </c>
      <c r="O700">
        <v>2.03</v>
      </c>
      <c r="P700">
        <v>8</v>
      </c>
      <c r="Q700">
        <v>12</v>
      </c>
      <c r="R700">
        <v>2.16</v>
      </c>
      <c r="S700">
        <v>1</v>
      </c>
      <c r="T700" t="b">
        <v>0</v>
      </c>
    </row>
    <row r="701" spans="1:20">
      <c r="A701" t="s">
        <v>95</v>
      </c>
      <c r="B701">
        <v>73</v>
      </c>
      <c r="C701">
        <v>415</v>
      </c>
      <c r="D701" t="s">
        <v>62</v>
      </c>
      <c r="E701" t="s">
        <v>62</v>
      </c>
      <c r="F701">
        <v>0</v>
      </c>
      <c r="G701">
        <v>254.8</v>
      </c>
      <c r="H701">
        <v>85</v>
      </c>
      <c r="I701">
        <v>43.32</v>
      </c>
      <c r="J701">
        <v>143.4</v>
      </c>
      <c r="K701">
        <v>80</v>
      </c>
      <c r="L701">
        <v>12.19</v>
      </c>
      <c r="M701">
        <v>153.9</v>
      </c>
      <c r="N701">
        <v>102</v>
      </c>
      <c r="O701">
        <v>6.93</v>
      </c>
      <c r="P701">
        <v>15</v>
      </c>
      <c r="Q701">
        <v>7</v>
      </c>
      <c r="R701">
        <v>4.05</v>
      </c>
      <c r="S701">
        <v>2</v>
      </c>
      <c r="T701" t="b">
        <v>0</v>
      </c>
    </row>
    <row r="702" spans="1:20">
      <c r="A702" t="s">
        <v>108</v>
      </c>
      <c r="B702">
        <v>66</v>
      </c>
      <c r="C702">
        <v>408</v>
      </c>
      <c r="D702" t="s">
        <v>62</v>
      </c>
      <c r="E702" t="s">
        <v>63</v>
      </c>
      <c r="F702">
        <v>26</v>
      </c>
      <c r="G702">
        <v>254.9</v>
      </c>
      <c r="H702">
        <v>108</v>
      </c>
      <c r="I702">
        <v>43.33</v>
      </c>
      <c r="J702">
        <v>243.2</v>
      </c>
      <c r="K702">
        <v>135</v>
      </c>
      <c r="L702">
        <v>20.67</v>
      </c>
      <c r="M702">
        <v>190.8</v>
      </c>
      <c r="N702">
        <v>95</v>
      </c>
      <c r="O702">
        <v>8.59</v>
      </c>
      <c r="P702">
        <v>5.4</v>
      </c>
      <c r="Q702">
        <v>3</v>
      </c>
      <c r="R702">
        <v>1.46</v>
      </c>
      <c r="S702">
        <v>2</v>
      </c>
      <c r="T702" t="b">
        <v>0</v>
      </c>
    </row>
    <row r="703" spans="1:20">
      <c r="A703" t="s">
        <v>105</v>
      </c>
      <c r="B703">
        <v>103</v>
      </c>
      <c r="C703">
        <v>510</v>
      </c>
      <c r="D703" t="s">
        <v>62</v>
      </c>
      <c r="E703" t="s">
        <v>63</v>
      </c>
      <c r="F703">
        <v>31</v>
      </c>
      <c r="G703">
        <v>107.7</v>
      </c>
      <c r="H703">
        <v>124</v>
      </c>
      <c r="I703">
        <v>18.31</v>
      </c>
      <c r="J703">
        <v>188.9</v>
      </c>
      <c r="K703">
        <v>104</v>
      </c>
      <c r="L703">
        <v>16.06</v>
      </c>
      <c r="M703">
        <v>196.2</v>
      </c>
      <c r="N703">
        <v>98</v>
      </c>
      <c r="O703">
        <v>8.83</v>
      </c>
      <c r="P703">
        <v>8.9</v>
      </c>
      <c r="Q703">
        <v>3</v>
      </c>
      <c r="R703">
        <v>2.4</v>
      </c>
      <c r="S703">
        <v>0</v>
      </c>
      <c r="T703" t="b">
        <v>0</v>
      </c>
    </row>
    <row r="704" spans="1:20">
      <c r="A704" t="s">
        <v>75</v>
      </c>
      <c r="B704">
        <v>128</v>
      </c>
      <c r="C704">
        <v>408</v>
      </c>
      <c r="D704" t="s">
        <v>62</v>
      </c>
      <c r="E704" t="s">
        <v>62</v>
      </c>
      <c r="F704">
        <v>0</v>
      </c>
      <c r="G704">
        <v>158.8</v>
      </c>
      <c r="H704">
        <v>75</v>
      </c>
      <c r="I704">
        <v>27</v>
      </c>
      <c r="J704">
        <v>264.8</v>
      </c>
      <c r="K704">
        <v>91</v>
      </c>
      <c r="L704">
        <v>22.51</v>
      </c>
      <c r="M704">
        <v>270</v>
      </c>
      <c r="N704">
        <v>77</v>
      </c>
      <c r="O704">
        <v>12.15</v>
      </c>
      <c r="P704">
        <v>7.6</v>
      </c>
      <c r="Q704">
        <v>7</v>
      </c>
      <c r="R704">
        <v>2.05</v>
      </c>
      <c r="S704">
        <v>1</v>
      </c>
      <c r="T704" t="b">
        <v>0</v>
      </c>
    </row>
    <row r="705" spans="1:20">
      <c r="A705" t="s">
        <v>82</v>
      </c>
      <c r="B705">
        <v>104</v>
      </c>
      <c r="C705">
        <v>415</v>
      </c>
      <c r="D705" t="s">
        <v>62</v>
      </c>
      <c r="E705" t="s">
        <v>62</v>
      </c>
      <c r="F705">
        <v>0</v>
      </c>
      <c r="G705">
        <v>182.9</v>
      </c>
      <c r="H705">
        <v>113</v>
      </c>
      <c r="I705">
        <v>31.09</v>
      </c>
      <c r="J705">
        <v>239.6</v>
      </c>
      <c r="K705">
        <v>85</v>
      </c>
      <c r="L705">
        <v>20.37</v>
      </c>
      <c r="M705">
        <v>229.8</v>
      </c>
      <c r="N705">
        <v>104</v>
      </c>
      <c r="O705">
        <v>10.34</v>
      </c>
      <c r="P705">
        <v>5.5</v>
      </c>
      <c r="Q705">
        <v>4</v>
      </c>
      <c r="R705">
        <v>1.49</v>
      </c>
      <c r="S705">
        <v>2</v>
      </c>
      <c r="T705" t="b">
        <v>0</v>
      </c>
    </row>
    <row r="706" spans="1:20">
      <c r="A706" t="s">
        <v>102</v>
      </c>
      <c r="B706">
        <v>103</v>
      </c>
      <c r="C706">
        <v>415</v>
      </c>
      <c r="D706" t="s">
        <v>62</v>
      </c>
      <c r="E706" t="s">
        <v>62</v>
      </c>
      <c r="F706">
        <v>0</v>
      </c>
      <c r="G706">
        <v>198.5</v>
      </c>
      <c r="H706">
        <v>112</v>
      </c>
      <c r="I706">
        <v>33.75</v>
      </c>
      <c r="J706">
        <v>42.5</v>
      </c>
      <c r="K706">
        <v>90</v>
      </c>
      <c r="L706">
        <v>3.61</v>
      </c>
      <c r="M706">
        <v>179.2</v>
      </c>
      <c r="N706">
        <v>124</v>
      </c>
      <c r="O706">
        <v>8.06</v>
      </c>
      <c r="P706">
        <v>12.4</v>
      </c>
      <c r="Q706">
        <v>5</v>
      </c>
      <c r="R706">
        <v>3.35</v>
      </c>
      <c r="S706">
        <v>0</v>
      </c>
      <c r="T706" t="b">
        <v>0</v>
      </c>
    </row>
    <row r="707" spans="1:20">
      <c r="A707" t="s">
        <v>83</v>
      </c>
      <c r="B707">
        <v>87</v>
      </c>
      <c r="C707">
        <v>510</v>
      </c>
      <c r="D707" t="s">
        <v>62</v>
      </c>
      <c r="E707" t="s">
        <v>62</v>
      </c>
      <c r="F707">
        <v>0</v>
      </c>
      <c r="G707">
        <v>110.9</v>
      </c>
      <c r="H707">
        <v>91</v>
      </c>
      <c r="I707">
        <v>18.85</v>
      </c>
      <c r="J707">
        <v>158.5</v>
      </c>
      <c r="K707">
        <v>115</v>
      </c>
      <c r="L707">
        <v>13.47</v>
      </c>
      <c r="M707">
        <v>207.5</v>
      </c>
      <c r="N707">
        <v>131</v>
      </c>
      <c r="O707">
        <v>9.34</v>
      </c>
      <c r="P707">
        <v>6.2</v>
      </c>
      <c r="Q707">
        <v>5</v>
      </c>
      <c r="R707">
        <v>1.67</v>
      </c>
      <c r="S707">
        <v>1</v>
      </c>
      <c r="T707" t="b">
        <v>0</v>
      </c>
    </row>
    <row r="708" spans="1:20">
      <c r="A708" t="s">
        <v>88</v>
      </c>
      <c r="B708">
        <v>109</v>
      </c>
      <c r="C708">
        <v>415</v>
      </c>
      <c r="D708" t="s">
        <v>62</v>
      </c>
      <c r="E708" t="s">
        <v>63</v>
      </c>
      <c r="F708">
        <v>27</v>
      </c>
      <c r="G708">
        <v>166.9</v>
      </c>
      <c r="H708">
        <v>85</v>
      </c>
      <c r="I708">
        <v>28.37</v>
      </c>
      <c r="J708">
        <v>221.2</v>
      </c>
      <c r="K708">
        <v>92</v>
      </c>
      <c r="L708">
        <v>18.8</v>
      </c>
      <c r="M708">
        <v>197.3</v>
      </c>
      <c r="N708">
        <v>97</v>
      </c>
      <c r="O708">
        <v>8.88</v>
      </c>
      <c r="P708">
        <v>12.3</v>
      </c>
      <c r="Q708">
        <v>4</v>
      </c>
      <c r="R708">
        <v>3.32</v>
      </c>
      <c r="S708">
        <v>1</v>
      </c>
      <c r="T708" t="b">
        <v>1</v>
      </c>
    </row>
    <row r="709" spans="1:20">
      <c r="A709" t="s">
        <v>108</v>
      </c>
      <c r="B709">
        <v>97</v>
      </c>
      <c r="C709">
        <v>510</v>
      </c>
      <c r="D709" t="s">
        <v>62</v>
      </c>
      <c r="E709" t="s">
        <v>62</v>
      </c>
      <c r="F709">
        <v>0</v>
      </c>
      <c r="G709">
        <v>120.8</v>
      </c>
      <c r="H709">
        <v>96</v>
      </c>
      <c r="I709">
        <v>20.54</v>
      </c>
      <c r="J709">
        <v>169.8</v>
      </c>
      <c r="K709">
        <v>101</v>
      </c>
      <c r="L709">
        <v>14.43</v>
      </c>
      <c r="M709">
        <v>194.1</v>
      </c>
      <c r="N709">
        <v>63</v>
      </c>
      <c r="O709">
        <v>8.73</v>
      </c>
      <c r="P709">
        <v>11.9</v>
      </c>
      <c r="Q709">
        <v>3</v>
      </c>
      <c r="R709">
        <v>3.21</v>
      </c>
      <c r="S709">
        <v>4</v>
      </c>
      <c r="T709" t="b">
        <v>1</v>
      </c>
    </row>
    <row r="710" spans="1:20">
      <c r="A710" t="s">
        <v>91</v>
      </c>
      <c r="B710">
        <v>106</v>
      </c>
      <c r="C710">
        <v>415</v>
      </c>
      <c r="D710" t="s">
        <v>62</v>
      </c>
      <c r="E710" t="s">
        <v>62</v>
      </c>
      <c r="F710">
        <v>0</v>
      </c>
      <c r="G710">
        <v>165.3</v>
      </c>
      <c r="H710">
        <v>118</v>
      </c>
      <c r="I710">
        <v>28.1</v>
      </c>
      <c r="J710">
        <v>210</v>
      </c>
      <c r="K710">
        <v>101</v>
      </c>
      <c r="L710">
        <v>17.85</v>
      </c>
      <c r="M710">
        <v>187.2</v>
      </c>
      <c r="N710">
        <v>93</v>
      </c>
      <c r="O710">
        <v>8.42</v>
      </c>
      <c r="P710">
        <v>8.5</v>
      </c>
      <c r="Q710">
        <v>3</v>
      </c>
      <c r="R710">
        <v>2.3</v>
      </c>
      <c r="S710">
        <v>2</v>
      </c>
      <c r="T710" t="b">
        <v>0</v>
      </c>
    </row>
    <row r="711" spans="1:20">
      <c r="A711" t="s">
        <v>78</v>
      </c>
      <c r="B711">
        <v>125</v>
      </c>
      <c r="C711">
        <v>415</v>
      </c>
      <c r="D711" t="s">
        <v>62</v>
      </c>
      <c r="E711" t="s">
        <v>62</v>
      </c>
      <c r="F711">
        <v>0</v>
      </c>
      <c r="G711">
        <v>126.7</v>
      </c>
      <c r="H711">
        <v>113</v>
      </c>
      <c r="I711">
        <v>21.54</v>
      </c>
      <c r="J711">
        <v>155.5</v>
      </c>
      <c r="K711">
        <v>131</v>
      </c>
      <c r="L711">
        <v>13.22</v>
      </c>
      <c r="M711">
        <v>206.2</v>
      </c>
      <c r="N711">
        <v>112</v>
      </c>
      <c r="O711">
        <v>9.28</v>
      </c>
      <c r="P711">
        <v>14.4</v>
      </c>
      <c r="Q711">
        <v>7</v>
      </c>
      <c r="R711">
        <v>3.89</v>
      </c>
      <c r="S711">
        <v>2</v>
      </c>
      <c r="T711" t="b">
        <v>0</v>
      </c>
    </row>
    <row r="712" spans="1:20">
      <c r="A712" t="s">
        <v>105</v>
      </c>
      <c r="B712">
        <v>108</v>
      </c>
      <c r="C712">
        <v>408</v>
      </c>
      <c r="D712" t="s">
        <v>62</v>
      </c>
      <c r="E712" t="s">
        <v>63</v>
      </c>
      <c r="F712">
        <v>35</v>
      </c>
      <c r="G712">
        <v>215.9</v>
      </c>
      <c r="H712">
        <v>106</v>
      </c>
      <c r="I712">
        <v>36.7</v>
      </c>
      <c r="J712">
        <v>200.6</v>
      </c>
      <c r="K712">
        <v>107</v>
      </c>
      <c r="L712">
        <v>17.05</v>
      </c>
      <c r="M712">
        <v>195.4</v>
      </c>
      <c r="N712">
        <v>107</v>
      </c>
      <c r="O712">
        <v>8.79</v>
      </c>
      <c r="P712">
        <v>15.5</v>
      </c>
      <c r="Q712">
        <v>7</v>
      </c>
      <c r="R712">
        <v>4.19</v>
      </c>
      <c r="S712">
        <v>0</v>
      </c>
      <c r="T712" t="b">
        <v>0</v>
      </c>
    </row>
    <row r="713" spans="1:20">
      <c r="A713" t="s">
        <v>85</v>
      </c>
      <c r="B713">
        <v>125</v>
      </c>
      <c r="C713">
        <v>415</v>
      </c>
      <c r="D713" t="s">
        <v>62</v>
      </c>
      <c r="E713" t="s">
        <v>62</v>
      </c>
      <c r="F713">
        <v>0</v>
      </c>
      <c r="G713">
        <v>140.1</v>
      </c>
      <c r="H713">
        <v>132</v>
      </c>
      <c r="I713">
        <v>23.82</v>
      </c>
      <c r="J713">
        <v>209.6</v>
      </c>
      <c r="K713">
        <v>126</v>
      </c>
      <c r="L713">
        <v>17.82</v>
      </c>
      <c r="M713">
        <v>264.1</v>
      </c>
      <c r="N713">
        <v>77</v>
      </c>
      <c r="O713">
        <v>11.88</v>
      </c>
      <c r="P713">
        <v>8</v>
      </c>
      <c r="Q713">
        <v>2</v>
      </c>
      <c r="R713">
        <v>2.16</v>
      </c>
      <c r="S713">
        <v>1</v>
      </c>
      <c r="T713" t="b">
        <v>0</v>
      </c>
    </row>
    <row r="714" spans="1:20">
      <c r="A714" t="s">
        <v>79</v>
      </c>
      <c r="B714">
        <v>72</v>
      </c>
      <c r="C714">
        <v>510</v>
      </c>
      <c r="D714" t="s">
        <v>63</v>
      </c>
      <c r="E714" t="s">
        <v>63</v>
      </c>
      <c r="F714">
        <v>29</v>
      </c>
      <c r="G714">
        <v>139.8</v>
      </c>
      <c r="H714">
        <v>114</v>
      </c>
      <c r="I714">
        <v>23.77</v>
      </c>
      <c r="J714">
        <v>138.2</v>
      </c>
      <c r="K714">
        <v>91</v>
      </c>
      <c r="L714">
        <v>11.75</v>
      </c>
      <c r="M714">
        <v>221</v>
      </c>
      <c r="N714">
        <v>88</v>
      </c>
      <c r="O714">
        <v>9.95</v>
      </c>
      <c r="P714">
        <v>5.5</v>
      </c>
      <c r="Q714">
        <v>6</v>
      </c>
      <c r="R714">
        <v>1.49</v>
      </c>
      <c r="S714">
        <v>0</v>
      </c>
      <c r="T714" t="b">
        <v>0</v>
      </c>
    </row>
    <row r="715" spans="1:20">
      <c r="A715" t="s">
        <v>116</v>
      </c>
      <c r="B715">
        <v>23</v>
      </c>
      <c r="C715">
        <v>510</v>
      </c>
      <c r="D715" t="s">
        <v>62</v>
      </c>
      <c r="E715" t="s">
        <v>62</v>
      </c>
      <c r="F715">
        <v>0</v>
      </c>
      <c r="G715">
        <v>321.6</v>
      </c>
      <c r="H715">
        <v>107</v>
      </c>
      <c r="I715">
        <v>54.67</v>
      </c>
      <c r="J715">
        <v>251.6</v>
      </c>
      <c r="K715">
        <v>115</v>
      </c>
      <c r="L715">
        <v>21.39</v>
      </c>
      <c r="M715">
        <v>141.1</v>
      </c>
      <c r="N715">
        <v>158</v>
      </c>
      <c r="O715">
        <v>6.35</v>
      </c>
      <c r="P715">
        <v>11.3</v>
      </c>
      <c r="Q715">
        <v>3</v>
      </c>
      <c r="R715">
        <v>3.05</v>
      </c>
      <c r="S715">
        <v>2</v>
      </c>
      <c r="T715" t="b">
        <v>1</v>
      </c>
    </row>
    <row r="716" spans="1:20">
      <c r="A716" t="s">
        <v>114</v>
      </c>
      <c r="B716">
        <v>149</v>
      </c>
      <c r="C716">
        <v>510</v>
      </c>
      <c r="D716" t="s">
        <v>62</v>
      </c>
      <c r="E716" t="s">
        <v>62</v>
      </c>
      <c r="F716">
        <v>0</v>
      </c>
      <c r="G716">
        <v>166.6</v>
      </c>
      <c r="H716">
        <v>61</v>
      </c>
      <c r="I716">
        <v>28.32</v>
      </c>
      <c r="J716">
        <v>218.8</v>
      </c>
      <c r="K716">
        <v>107</v>
      </c>
      <c r="L716">
        <v>18.6</v>
      </c>
      <c r="M716">
        <v>208.3</v>
      </c>
      <c r="N716">
        <v>131</v>
      </c>
      <c r="O716">
        <v>9.37</v>
      </c>
      <c r="P716">
        <v>8.2</v>
      </c>
      <c r="Q716">
        <v>6</v>
      </c>
      <c r="R716">
        <v>2.21</v>
      </c>
      <c r="S716">
        <v>7</v>
      </c>
      <c r="T716" t="b">
        <v>0</v>
      </c>
    </row>
    <row r="717" spans="1:20">
      <c r="A717" t="s">
        <v>93</v>
      </c>
      <c r="B717">
        <v>73</v>
      </c>
      <c r="C717">
        <v>415</v>
      </c>
      <c r="D717" t="s">
        <v>62</v>
      </c>
      <c r="E717" t="s">
        <v>62</v>
      </c>
      <c r="F717">
        <v>0</v>
      </c>
      <c r="G717">
        <v>214.2</v>
      </c>
      <c r="H717">
        <v>90</v>
      </c>
      <c r="I717">
        <v>36.41</v>
      </c>
      <c r="J717">
        <v>196.8</v>
      </c>
      <c r="K717">
        <v>78</v>
      </c>
      <c r="L717">
        <v>16.73</v>
      </c>
      <c r="M717">
        <v>157.9</v>
      </c>
      <c r="N717">
        <v>112</v>
      </c>
      <c r="O717">
        <v>7.11</v>
      </c>
      <c r="P717">
        <v>5.9</v>
      </c>
      <c r="Q717">
        <v>8</v>
      </c>
      <c r="R717">
        <v>1.59</v>
      </c>
      <c r="S717">
        <v>0</v>
      </c>
      <c r="T717" t="b">
        <v>0</v>
      </c>
    </row>
    <row r="718" spans="1:20">
      <c r="A718" t="s">
        <v>91</v>
      </c>
      <c r="B718">
        <v>61</v>
      </c>
      <c r="C718">
        <v>415</v>
      </c>
      <c r="D718" t="s">
        <v>62</v>
      </c>
      <c r="E718" t="s">
        <v>62</v>
      </c>
      <c r="F718">
        <v>0</v>
      </c>
      <c r="G718">
        <v>260</v>
      </c>
      <c r="H718">
        <v>123</v>
      </c>
      <c r="I718">
        <v>44.2</v>
      </c>
      <c r="J718">
        <v>210.5</v>
      </c>
      <c r="K718">
        <v>127</v>
      </c>
      <c r="L718">
        <v>17.89</v>
      </c>
      <c r="M718">
        <v>234.7</v>
      </c>
      <c r="N718">
        <v>70</v>
      </c>
      <c r="O718">
        <v>10.56</v>
      </c>
      <c r="P718">
        <v>9</v>
      </c>
      <c r="Q718">
        <v>3</v>
      </c>
      <c r="R718">
        <v>2.43</v>
      </c>
      <c r="S718">
        <v>1</v>
      </c>
      <c r="T718" t="b">
        <v>1</v>
      </c>
    </row>
    <row r="719" spans="1:20">
      <c r="A719" t="s">
        <v>71</v>
      </c>
      <c r="B719">
        <v>161</v>
      </c>
      <c r="C719">
        <v>415</v>
      </c>
      <c r="D719" t="s">
        <v>62</v>
      </c>
      <c r="E719" t="s">
        <v>62</v>
      </c>
      <c r="F719">
        <v>0</v>
      </c>
      <c r="G719">
        <v>191.9</v>
      </c>
      <c r="H719">
        <v>113</v>
      </c>
      <c r="I719">
        <v>32.62</v>
      </c>
      <c r="J719">
        <v>70.9</v>
      </c>
      <c r="K719">
        <v>87</v>
      </c>
      <c r="L719">
        <v>6.03</v>
      </c>
      <c r="M719">
        <v>204.8</v>
      </c>
      <c r="N719">
        <v>107</v>
      </c>
      <c r="O719">
        <v>9.22</v>
      </c>
      <c r="P719">
        <v>13.4</v>
      </c>
      <c r="Q719">
        <v>4</v>
      </c>
      <c r="R719">
        <v>3.62</v>
      </c>
      <c r="S719">
        <v>4</v>
      </c>
      <c r="T719" t="b">
        <v>1</v>
      </c>
    </row>
    <row r="720" spans="1:20">
      <c r="A720" t="s">
        <v>97</v>
      </c>
      <c r="B720">
        <v>118</v>
      </c>
      <c r="C720">
        <v>415</v>
      </c>
      <c r="D720" t="s">
        <v>62</v>
      </c>
      <c r="E720" t="s">
        <v>63</v>
      </c>
      <c r="F720">
        <v>24</v>
      </c>
      <c r="G720">
        <v>118.1</v>
      </c>
      <c r="H720">
        <v>83</v>
      </c>
      <c r="I720">
        <v>20.08</v>
      </c>
      <c r="J720">
        <v>109.6</v>
      </c>
      <c r="K720">
        <v>72</v>
      </c>
      <c r="L720">
        <v>9.32</v>
      </c>
      <c r="M720">
        <v>245.5</v>
      </c>
      <c r="N720">
        <v>73</v>
      </c>
      <c r="O720">
        <v>11.05</v>
      </c>
      <c r="P720">
        <v>16.9</v>
      </c>
      <c r="Q720">
        <v>2</v>
      </c>
      <c r="R720">
        <v>4.56</v>
      </c>
      <c r="S720">
        <v>1</v>
      </c>
      <c r="T720" t="b">
        <v>0</v>
      </c>
    </row>
    <row r="721" spans="1:20">
      <c r="A721" t="s">
        <v>82</v>
      </c>
      <c r="B721">
        <v>23</v>
      </c>
      <c r="C721">
        <v>408</v>
      </c>
      <c r="D721" t="s">
        <v>62</v>
      </c>
      <c r="E721" t="s">
        <v>62</v>
      </c>
      <c r="F721">
        <v>0</v>
      </c>
      <c r="G721">
        <v>190.2</v>
      </c>
      <c r="H721">
        <v>89</v>
      </c>
      <c r="I721">
        <v>32.33</v>
      </c>
      <c r="J721">
        <v>166.4</v>
      </c>
      <c r="K721">
        <v>108</v>
      </c>
      <c r="L721">
        <v>14.14</v>
      </c>
      <c r="M721">
        <v>219.8</v>
      </c>
      <c r="N721">
        <v>73</v>
      </c>
      <c r="O721">
        <v>9.89</v>
      </c>
      <c r="P721">
        <v>15</v>
      </c>
      <c r="Q721">
        <v>4</v>
      </c>
      <c r="R721">
        <v>4.05</v>
      </c>
      <c r="S721">
        <v>6</v>
      </c>
      <c r="T721" t="b">
        <v>0</v>
      </c>
    </row>
    <row r="722" spans="1:20">
      <c r="A722" t="s">
        <v>100</v>
      </c>
      <c r="B722">
        <v>127</v>
      </c>
      <c r="C722">
        <v>415</v>
      </c>
      <c r="D722" t="s">
        <v>62</v>
      </c>
      <c r="E722" t="s">
        <v>63</v>
      </c>
      <c r="F722">
        <v>25</v>
      </c>
      <c r="G722">
        <v>82.2</v>
      </c>
      <c r="H722">
        <v>95</v>
      </c>
      <c r="I722">
        <v>13.97</v>
      </c>
      <c r="J722">
        <v>163.3</v>
      </c>
      <c r="K722">
        <v>109</v>
      </c>
      <c r="L722">
        <v>13.88</v>
      </c>
      <c r="M722">
        <v>264.9</v>
      </c>
      <c r="N722">
        <v>104</v>
      </c>
      <c r="O722">
        <v>11.92</v>
      </c>
      <c r="P722">
        <v>5.1</v>
      </c>
      <c r="Q722">
        <v>6</v>
      </c>
      <c r="R722">
        <v>1.38</v>
      </c>
      <c r="S722">
        <v>0</v>
      </c>
      <c r="T722" t="b">
        <v>0</v>
      </c>
    </row>
    <row r="723" spans="1:20">
      <c r="A723" t="s">
        <v>65</v>
      </c>
      <c r="B723">
        <v>42</v>
      </c>
      <c r="C723">
        <v>415</v>
      </c>
      <c r="D723" t="s">
        <v>62</v>
      </c>
      <c r="E723" t="s">
        <v>63</v>
      </c>
      <c r="F723">
        <v>32</v>
      </c>
      <c r="G723">
        <v>163.8</v>
      </c>
      <c r="H723">
        <v>80</v>
      </c>
      <c r="I723">
        <v>27.85</v>
      </c>
      <c r="J723">
        <v>177.8</v>
      </c>
      <c r="K723">
        <v>123</v>
      </c>
      <c r="L723">
        <v>15.11</v>
      </c>
      <c r="M723">
        <v>190.4</v>
      </c>
      <c r="N723">
        <v>106</v>
      </c>
      <c r="O723">
        <v>8.57</v>
      </c>
      <c r="P723">
        <v>8.1</v>
      </c>
      <c r="Q723">
        <v>5</v>
      </c>
      <c r="R723">
        <v>2.19</v>
      </c>
      <c r="S723">
        <v>0</v>
      </c>
      <c r="T723" t="b">
        <v>0</v>
      </c>
    </row>
    <row r="724" spans="1:20">
      <c r="A724" t="s">
        <v>92</v>
      </c>
      <c r="B724">
        <v>118</v>
      </c>
      <c r="C724">
        <v>415</v>
      </c>
      <c r="D724" t="s">
        <v>62</v>
      </c>
      <c r="E724" t="s">
        <v>62</v>
      </c>
      <c r="F724">
        <v>0</v>
      </c>
      <c r="G724">
        <v>267.8</v>
      </c>
      <c r="H724">
        <v>145</v>
      </c>
      <c r="I724">
        <v>45.53</v>
      </c>
      <c r="J724">
        <v>316.4</v>
      </c>
      <c r="K724">
        <v>121</v>
      </c>
      <c r="L724">
        <v>26.89</v>
      </c>
      <c r="M724">
        <v>208.6</v>
      </c>
      <c r="N724">
        <v>91</v>
      </c>
      <c r="O724">
        <v>9.39</v>
      </c>
      <c r="P724">
        <v>14.4</v>
      </c>
      <c r="Q724">
        <v>11</v>
      </c>
      <c r="R724">
        <v>3.89</v>
      </c>
      <c r="S724">
        <v>5</v>
      </c>
      <c r="T724" t="b">
        <v>1</v>
      </c>
    </row>
    <row r="725" spans="1:20">
      <c r="A725" t="s">
        <v>75</v>
      </c>
      <c r="B725">
        <v>45</v>
      </c>
      <c r="C725">
        <v>510</v>
      </c>
      <c r="D725" t="s">
        <v>62</v>
      </c>
      <c r="E725" t="s">
        <v>62</v>
      </c>
      <c r="F725">
        <v>0</v>
      </c>
      <c r="G725">
        <v>159.8</v>
      </c>
      <c r="H725">
        <v>91</v>
      </c>
      <c r="I725">
        <v>27.17</v>
      </c>
      <c r="J725">
        <v>120.4</v>
      </c>
      <c r="K725">
        <v>86</v>
      </c>
      <c r="L725">
        <v>10.23</v>
      </c>
      <c r="M725">
        <v>163</v>
      </c>
      <c r="N725">
        <v>93</v>
      </c>
      <c r="O725">
        <v>7.34</v>
      </c>
      <c r="P725">
        <v>10.6</v>
      </c>
      <c r="Q725">
        <v>3</v>
      </c>
      <c r="R725">
        <v>2.86</v>
      </c>
      <c r="S725">
        <v>2</v>
      </c>
      <c r="T725" t="b">
        <v>0</v>
      </c>
    </row>
    <row r="726" spans="1:20">
      <c r="A726" t="s">
        <v>89</v>
      </c>
      <c r="B726">
        <v>50</v>
      </c>
      <c r="C726">
        <v>408</v>
      </c>
      <c r="D726" t="s">
        <v>62</v>
      </c>
      <c r="E726" t="s">
        <v>63</v>
      </c>
      <c r="F726">
        <v>24</v>
      </c>
      <c r="G726">
        <v>214.3</v>
      </c>
      <c r="H726">
        <v>129</v>
      </c>
      <c r="I726">
        <v>36.43</v>
      </c>
      <c r="J726">
        <v>289.8</v>
      </c>
      <c r="K726">
        <v>55</v>
      </c>
      <c r="L726">
        <v>24.63</v>
      </c>
      <c r="M726">
        <v>312.5</v>
      </c>
      <c r="N726">
        <v>130</v>
      </c>
      <c r="O726">
        <v>14.06</v>
      </c>
      <c r="P726">
        <v>10.6</v>
      </c>
      <c r="Q726">
        <v>4</v>
      </c>
      <c r="R726">
        <v>2.86</v>
      </c>
      <c r="S726">
        <v>1</v>
      </c>
      <c r="T726" t="b">
        <v>0</v>
      </c>
    </row>
    <row r="727" spans="1:20">
      <c r="A727" t="s">
        <v>69</v>
      </c>
      <c r="B727">
        <v>179</v>
      </c>
      <c r="C727">
        <v>510</v>
      </c>
      <c r="D727" t="s">
        <v>62</v>
      </c>
      <c r="E727" t="s">
        <v>62</v>
      </c>
      <c r="F727">
        <v>0</v>
      </c>
      <c r="G727">
        <v>287.3</v>
      </c>
      <c r="H727">
        <v>123</v>
      </c>
      <c r="I727">
        <v>48.84</v>
      </c>
      <c r="J727">
        <v>288</v>
      </c>
      <c r="K727">
        <v>114</v>
      </c>
      <c r="L727">
        <v>24.48</v>
      </c>
      <c r="M727">
        <v>266</v>
      </c>
      <c r="N727">
        <v>112</v>
      </c>
      <c r="O727">
        <v>11.97</v>
      </c>
      <c r="P727">
        <v>10.5</v>
      </c>
      <c r="Q727">
        <v>4</v>
      </c>
      <c r="R727">
        <v>2.84</v>
      </c>
      <c r="S727">
        <v>0</v>
      </c>
      <c r="T727" t="b">
        <v>1</v>
      </c>
    </row>
    <row r="728" spans="1:20">
      <c r="A728" t="s">
        <v>69</v>
      </c>
      <c r="B728">
        <v>152</v>
      </c>
      <c r="C728">
        <v>408</v>
      </c>
      <c r="D728" t="s">
        <v>62</v>
      </c>
      <c r="E728" t="s">
        <v>62</v>
      </c>
      <c r="F728">
        <v>0</v>
      </c>
      <c r="G728">
        <v>101.2</v>
      </c>
      <c r="H728">
        <v>122</v>
      </c>
      <c r="I728">
        <v>17.2</v>
      </c>
      <c r="J728">
        <v>141.6</v>
      </c>
      <c r="K728">
        <v>87</v>
      </c>
      <c r="L728">
        <v>12.04</v>
      </c>
      <c r="M728">
        <v>198.5</v>
      </c>
      <c r="N728">
        <v>124</v>
      </c>
      <c r="O728">
        <v>8.93</v>
      </c>
      <c r="P728">
        <v>7.5</v>
      </c>
      <c r="Q728">
        <v>3</v>
      </c>
      <c r="R728">
        <v>2.03</v>
      </c>
      <c r="S728">
        <v>2</v>
      </c>
      <c r="T728" t="b">
        <v>0</v>
      </c>
    </row>
    <row r="729" spans="1:20">
      <c r="A729" t="s">
        <v>85</v>
      </c>
      <c r="B729">
        <v>105</v>
      </c>
      <c r="C729">
        <v>415</v>
      </c>
      <c r="D729" t="s">
        <v>62</v>
      </c>
      <c r="E729" t="s">
        <v>62</v>
      </c>
      <c r="F729">
        <v>0</v>
      </c>
      <c r="G729">
        <v>102.8</v>
      </c>
      <c r="H729">
        <v>74</v>
      </c>
      <c r="I729">
        <v>17.48</v>
      </c>
      <c r="J729">
        <v>281.7</v>
      </c>
      <c r="K729">
        <v>125</v>
      </c>
      <c r="L729">
        <v>23.94</v>
      </c>
      <c r="M729">
        <v>228.1</v>
      </c>
      <c r="N729">
        <v>113</v>
      </c>
      <c r="O729">
        <v>10.26</v>
      </c>
      <c r="P729">
        <v>13.2</v>
      </c>
      <c r="Q729">
        <v>5</v>
      </c>
      <c r="R729">
        <v>3.56</v>
      </c>
      <c r="S729">
        <v>2</v>
      </c>
      <c r="T729" t="b">
        <v>0</v>
      </c>
    </row>
    <row r="730" spans="1:20">
      <c r="A730" t="s">
        <v>114</v>
      </c>
      <c r="B730">
        <v>72</v>
      </c>
      <c r="C730">
        <v>415</v>
      </c>
      <c r="D730" t="s">
        <v>62</v>
      </c>
      <c r="E730" t="s">
        <v>62</v>
      </c>
      <c r="F730">
        <v>0</v>
      </c>
      <c r="G730">
        <v>109.1</v>
      </c>
      <c r="H730">
        <v>97</v>
      </c>
      <c r="I730">
        <v>18.55</v>
      </c>
      <c r="J730">
        <v>115.7</v>
      </c>
      <c r="K730">
        <v>96</v>
      </c>
      <c r="L730">
        <v>9.83</v>
      </c>
      <c r="M730">
        <v>295.8</v>
      </c>
      <c r="N730">
        <v>84</v>
      </c>
      <c r="O730">
        <v>13.31</v>
      </c>
      <c r="P730">
        <v>8.3</v>
      </c>
      <c r="Q730">
        <v>6</v>
      </c>
      <c r="R730">
        <v>2.24</v>
      </c>
      <c r="S730">
        <v>0</v>
      </c>
      <c r="T730" t="b">
        <v>0</v>
      </c>
    </row>
    <row r="731" spans="1:20">
      <c r="A731" t="s">
        <v>113</v>
      </c>
      <c r="B731">
        <v>52</v>
      </c>
      <c r="C731">
        <v>408</v>
      </c>
      <c r="D731" t="s">
        <v>62</v>
      </c>
      <c r="E731" t="s">
        <v>62</v>
      </c>
      <c r="F731">
        <v>0</v>
      </c>
      <c r="G731">
        <v>215.9</v>
      </c>
      <c r="H731">
        <v>67</v>
      </c>
      <c r="I731">
        <v>36.7</v>
      </c>
      <c r="J731">
        <v>217</v>
      </c>
      <c r="K731">
        <v>108</v>
      </c>
      <c r="L731">
        <v>18.45</v>
      </c>
      <c r="M731">
        <v>342.8</v>
      </c>
      <c r="N731">
        <v>130</v>
      </c>
      <c r="O731">
        <v>15.43</v>
      </c>
      <c r="P731">
        <v>5.2</v>
      </c>
      <c r="Q731">
        <v>2</v>
      </c>
      <c r="R731">
        <v>1.4</v>
      </c>
      <c r="S731">
        <v>1</v>
      </c>
      <c r="T731" t="b">
        <v>0</v>
      </c>
    </row>
    <row r="732" spans="1:20">
      <c r="A732" t="s">
        <v>80</v>
      </c>
      <c r="B732">
        <v>125</v>
      </c>
      <c r="C732">
        <v>415</v>
      </c>
      <c r="D732" t="s">
        <v>62</v>
      </c>
      <c r="E732" t="s">
        <v>62</v>
      </c>
      <c r="F732">
        <v>0</v>
      </c>
      <c r="G732">
        <v>203.4</v>
      </c>
      <c r="H732">
        <v>110</v>
      </c>
      <c r="I732">
        <v>34.58</v>
      </c>
      <c r="J732">
        <v>128.7</v>
      </c>
      <c r="K732">
        <v>97</v>
      </c>
      <c r="L732">
        <v>10.94</v>
      </c>
      <c r="M732">
        <v>190.5</v>
      </c>
      <c r="N732">
        <v>113</v>
      </c>
      <c r="O732">
        <v>8.57</v>
      </c>
      <c r="P732">
        <v>11</v>
      </c>
      <c r="Q732">
        <v>4</v>
      </c>
      <c r="R732">
        <v>2.97</v>
      </c>
      <c r="S732">
        <v>1</v>
      </c>
      <c r="T732" t="b">
        <v>0</v>
      </c>
    </row>
    <row r="733" spans="1:20">
      <c r="A733" t="s">
        <v>79</v>
      </c>
      <c r="B733">
        <v>143</v>
      </c>
      <c r="C733">
        <v>510</v>
      </c>
      <c r="D733" t="s">
        <v>62</v>
      </c>
      <c r="E733" t="s">
        <v>62</v>
      </c>
      <c r="F733">
        <v>0</v>
      </c>
      <c r="G733">
        <v>110.1</v>
      </c>
      <c r="H733">
        <v>113</v>
      </c>
      <c r="I733">
        <v>18.72</v>
      </c>
      <c r="J733">
        <v>169</v>
      </c>
      <c r="K733">
        <v>59</v>
      </c>
      <c r="L733">
        <v>14.37</v>
      </c>
      <c r="M733">
        <v>166.7</v>
      </c>
      <c r="N733">
        <v>94</v>
      </c>
      <c r="O733">
        <v>7.5</v>
      </c>
      <c r="P733">
        <v>9.2</v>
      </c>
      <c r="Q733">
        <v>2</v>
      </c>
      <c r="R733">
        <v>2.48</v>
      </c>
      <c r="S733">
        <v>1</v>
      </c>
      <c r="T733" t="b">
        <v>0</v>
      </c>
    </row>
    <row r="734" spans="1:20">
      <c r="A734" t="s">
        <v>73</v>
      </c>
      <c r="B734">
        <v>65</v>
      </c>
      <c r="C734">
        <v>415</v>
      </c>
      <c r="D734" t="s">
        <v>62</v>
      </c>
      <c r="E734" t="s">
        <v>62</v>
      </c>
      <c r="F734">
        <v>0</v>
      </c>
      <c r="G734">
        <v>111</v>
      </c>
      <c r="H734">
        <v>51</v>
      </c>
      <c r="I734">
        <v>18.87</v>
      </c>
      <c r="J734">
        <v>219.8</v>
      </c>
      <c r="K734">
        <v>84</v>
      </c>
      <c r="L734">
        <v>18.68</v>
      </c>
      <c r="M734">
        <v>202</v>
      </c>
      <c r="N734">
        <v>89</v>
      </c>
      <c r="O734">
        <v>9.09</v>
      </c>
      <c r="P734">
        <v>4.4</v>
      </c>
      <c r="Q734">
        <v>14</v>
      </c>
      <c r="R734">
        <v>1.19</v>
      </c>
      <c r="S734">
        <v>1</v>
      </c>
      <c r="T734" t="b">
        <v>0</v>
      </c>
    </row>
    <row r="735" spans="1:20">
      <c r="A735" t="s">
        <v>93</v>
      </c>
      <c r="B735">
        <v>80</v>
      </c>
      <c r="C735">
        <v>415</v>
      </c>
      <c r="D735" t="s">
        <v>62</v>
      </c>
      <c r="E735" t="s">
        <v>62</v>
      </c>
      <c r="F735">
        <v>0</v>
      </c>
      <c r="G735">
        <v>239.9</v>
      </c>
      <c r="H735">
        <v>121</v>
      </c>
      <c r="I735">
        <v>40.78</v>
      </c>
      <c r="J735">
        <v>142.3</v>
      </c>
      <c r="K735">
        <v>51</v>
      </c>
      <c r="L735">
        <v>12.1</v>
      </c>
      <c r="M735">
        <v>364.3</v>
      </c>
      <c r="N735">
        <v>106</v>
      </c>
      <c r="O735">
        <v>16.39</v>
      </c>
      <c r="P735">
        <v>9.3</v>
      </c>
      <c r="Q735">
        <v>5</v>
      </c>
      <c r="R735">
        <v>2.51</v>
      </c>
      <c r="S735">
        <v>1</v>
      </c>
      <c r="T735" t="b">
        <v>0</v>
      </c>
    </row>
    <row r="736" spans="1:20">
      <c r="A736" t="s">
        <v>100</v>
      </c>
      <c r="B736">
        <v>43</v>
      </c>
      <c r="C736">
        <v>415</v>
      </c>
      <c r="D736" t="s">
        <v>62</v>
      </c>
      <c r="E736" t="s">
        <v>62</v>
      </c>
      <c r="F736">
        <v>0</v>
      </c>
      <c r="G736">
        <v>84.2</v>
      </c>
      <c r="H736">
        <v>134</v>
      </c>
      <c r="I736">
        <v>14.31</v>
      </c>
      <c r="J736">
        <v>80.8</v>
      </c>
      <c r="K736">
        <v>103</v>
      </c>
      <c r="L736">
        <v>6.87</v>
      </c>
      <c r="M736">
        <v>196.1</v>
      </c>
      <c r="N736">
        <v>79</v>
      </c>
      <c r="O736">
        <v>8.82</v>
      </c>
      <c r="P736">
        <v>10.8</v>
      </c>
      <c r="Q736">
        <v>2</v>
      </c>
      <c r="R736">
        <v>2.92</v>
      </c>
      <c r="S736">
        <v>1</v>
      </c>
      <c r="T736" t="b">
        <v>0</v>
      </c>
    </row>
    <row r="737" spans="1:20">
      <c r="A737" t="s">
        <v>104</v>
      </c>
      <c r="B737">
        <v>143</v>
      </c>
      <c r="C737">
        <v>415</v>
      </c>
      <c r="D737" t="s">
        <v>62</v>
      </c>
      <c r="E737" t="s">
        <v>62</v>
      </c>
      <c r="F737">
        <v>0</v>
      </c>
      <c r="G737">
        <v>209.1</v>
      </c>
      <c r="H737">
        <v>127</v>
      </c>
      <c r="I737">
        <v>35.55</v>
      </c>
      <c r="J737">
        <v>106.1</v>
      </c>
      <c r="K737">
        <v>80</v>
      </c>
      <c r="L737">
        <v>9.02</v>
      </c>
      <c r="M737">
        <v>179.6</v>
      </c>
      <c r="N737">
        <v>90</v>
      </c>
      <c r="O737">
        <v>8.08</v>
      </c>
      <c r="P737">
        <v>14</v>
      </c>
      <c r="Q737">
        <v>6</v>
      </c>
      <c r="R737">
        <v>3.78</v>
      </c>
      <c r="S737">
        <v>0</v>
      </c>
      <c r="T737" t="b">
        <v>0</v>
      </c>
    </row>
    <row r="738" spans="1:20">
      <c r="A738" t="s">
        <v>97</v>
      </c>
      <c r="B738">
        <v>81</v>
      </c>
      <c r="C738">
        <v>415</v>
      </c>
      <c r="D738" t="s">
        <v>62</v>
      </c>
      <c r="E738" t="s">
        <v>63</v>
      </c>
      <c r="F738">
        <v>24</v>
      </c>
      <c r="G738">
        <v>130.1</v>
      </c>
      <c r="H738">
        <v>117</v>
      </c>
      <c r="I738">
        <v>22.12</v>
      </c>
      <c r="J738">
        <v>196</v>
      </c>
      <c r="K738">
        <v>61</v>
      </c>
      <c r="L738">
        <v>16.66</v>
      </c>
      <c r="M738">
        <v>139.3</v>
      </c>
      <c r="N738">
        <v>123</v>
      </c>
      <c r="O738">
        <v>6.27</v>
      </c>
      <c r="P738">
        <v>11.4</v>
      </c>
      <c r="Q738">
        <v>5</v>
      </c>
      <c r="R738">
        <v>3.08</v>
      </c>
      <c r="S738">
        <v>0</v>
      </c>
      <c r="T738" t="b">
        <v>0</v>
      </c>
    </row>
    <row r="739" spans="1:20">
      <c r="A739" t="s">
        <v>108</v>
      </c>
      <c r="B739">
        <v>205</v>
      </c>
      <c r="C739">
        <v>510</v>
      </c>
      <c r="D739" t="s">
        <v>62</v>
      </c>
      <c r="E739" t="s">
        <v>63</v>
      </c>
      <c r="F739">
        <v>24</v>
      </c>
      <c r="G739">
        <v>175.8</v>
      </c>
      <c r="H739">
        <v>139</v>
      </c>
      <c r="I739">
        <v>29.89</v>
      </c>
      <c r="J739">
        <v>155</v>
      </c>
      <c r="K739">
        <v>98</v>
      </c>
      <c r="L739">
        <v>13.18</v>
      </c>
      <c r="M739">
        <v>180.7</v>
      </c>
      <c r="N739">
        <v>64</v>
      </c>
      <c r="O739">
        <v>8.13</v>
      </c>
      <c r="P739">
        <v>7.8</v>
      </c>
      <c r="Q739">
        <v>5</v>
      </c>
      <c r="R739">
        <v>2.11</v>
      </c>
      <c r="S739">
        <v>2</v>
      </c>
      <c r="T739" t="b">
        <v>0</v>
      </c>
    </row>
    <row r="740" spans="1:20">
      <c r="A740" t="s">
        <v>114</v>
      </c>
      <c r="B740">
        <v>24</v>
      </c>
      <c r="C740">
        <v>415</v>
      </c>
      <c r="D740" t="s">
        <v>62</v>
      </c>
      <c r="E740" t="s">
        <v>62</v>
      </c>
      <c r="F740">
        <v>0</v>
      </c>
      <c r="G740">
        <v>241.9</v>
      </c>
      <c r="H740">
        <v>104</v>
      </c>
      <c r="I740">
        <v>41.12</v>
      </c>
      <c r="J740">
        <v>145.2</v>
      </c>
      <c r="K740">
        <v>112</v>
      </c>
      <c r="L740">
        <v>12.34</v>
      </c>
      <c r="M740">
        <v>214.5</v>
      </c>
      <c r="N740">
        <v>105</v>
      </c>
      <c r="O740">
        <v>9.65</v>
      </c>
      <c r="P740">
        <v>6.6</v>
      </c>
      <c r="Q740">
        <v>5</v>
      </c>
      <c r="R740">
        <v>1.78</v>
      </c>
      <c r="S740">
        <v>1</v>
      </c>
      <c r="T740" t="b">
        <v>0</v>
      </c>
    </row>
    <row r="741" spans="1:20">
      <c r="A741" t="s">
        <v>64</v>
      </c>
      <c r="B741">
        <v>74</v>
      </c>
      <c r="C741">
        <v>415</v>
      </c>
      <c r="D741" t="s">
        <v>62</v>
      </c>
      <c r="E741" t="s">
        <v>62</v>
      </c>
      <c r="F741">
        <v>0</v>
      </c>
      <c r="G741">
        <v>136.7</v>
      </c>
      <c r="H741">
        <v>106</v>
      </c>
      <c r="I741">
        <v>23.24</v>
      </c>
      <c r="J741">
        <v>228.6</v>
      </c>
      <c r="K741">
        <v>105</v>
      </c>
      <c r="L741">
        <v>19.43</v>
      </c>
      <c r="M741">
        <v>265.3</v>
      </c>
      <c r="N741">
        <v>114</v>
      </c>
      <c r="O741">
        <v>11.94</v>
      </c>
      <c r="P741">
        <v>9.8</v>
      </c>
      <c r="Q741">
        <v>4</v>
      </c>
      <c r="R741">
        <v>2.65</v>
      </c>
      <c r="S741">
        <v>0</v>
      </c>
      <c r="T741" t="b">
        <v>0</v>
      </c>
    </row>
    <row r="742" spans="1:20">
      <c r="A742" t="s">
        <v>66</v>
      </c>
      <c r="B742">
        <v>74</v>
      </c>
      <c r="C742">
        <v>415</v>
      </c>
      <c r="D742" t="s">
        <v>62</v>
      </c>
      <c r="E742" t="s">
        <v>62</v>
      </c>
      <c r="F742">
        <v>0</v>
      </c>
      <c r="G742">
        <v>200.4</v>
      </c>
      <c r="H742">
        <v>87</v>
      </c>
      <c r="I742">
        <v>34.07</v>
      </c>
      <c r="J742">
        <v>309.2</v>
      </c>
      <c r="K742">
        <v>105</v>
      </c>
      <c r="L742">
        <v>26.28</v>
      </c>
      <c r="M742">
        <v>152.1</v>
      </c>
      <c r="N742">
        <v>118</v>
      </c>
      <c r="O742">
        <v>6.84</v>
      </c>
      <c r="P742">
        <v>10</v>
      </c>
      <c r="Q742">
        <v>2</v>
      </c>
      <c r="R742">
        <v>2.7</v>
      </c>
      <c r="S742">
        <v>1</v>
      </c>
      <c r="T742" t="b">
        <v>0</v>
      </c>
    </row>
    <row r="743" spans="1:20">
      <c r="A743" t="s">
        <v>107</v>
      </c>
      <c r="B743">
        <v>74</v>
      </c>
      <c r="C743">
        <v>510</v>
      </c>
      <c r="D743" t="s">
        <v>63</v>
      </c>
      <c r="E743" t="s">
        <v>62</v>
      </c>
      <c r="F743">
        <v>0</v>
      </c>
      <c r="G743">
        <v>125.8</v>
      </c>
      <c r="H743">
        <v>103</v>
      </c>
      <c r="I743">
        <v>21.39</v>
      </c>
      <c r="J743">
        <v>207.7</v>
      </c>
      <c r="K743">
        <v>96</v>
      </c>
      <c r="L743">
        <v>17.65</v>
      </c>
      <c r="M743">
        <v>207.4</v>
      </c>
      <c r="N743">
        <v>143</v>
      </c>
      <c r="O743">
        <v>9.33</v>
      </c>
      <c r="P743">
        <v>14.1</v>
      </c>
      <c r="Q743">
        <v>4</v>
      </c>
      <c r="R743">
        <v>3.81</v>
      </c>
      <c r="S743">
        <v>1</v>
      </c>
      <c r="T743" t="b">
        <v>1</v>
      </c>
    </row>
    <row r="744" spans="1:20">
      <c r="A744" t="s">
        <v>67</v>
      </c>
      <c r="B744">
        <v>200</v>
      </c>
      <c r="C744">
        <v>408</v>
      </c>
      <c r="D744" t="s">
        <v>62</v>
      </c>
      <c r="E744" t="s">
        <v>62</v>
      </c>
      <c r="F744">
        <v>0</v>
      </c>
      <c r="G744">
        <v>128.2</v>
      </c>
      <c r="H744">
        <v>87</v>
      </c>
      <c r="I744">
        <v>21.79</v>
      </c>
      <c r="J744">
        <v>133.2</v>
      </c>
      <c r="K744">
        <v>105</v>
      </c>
      <c r="L744">
        <v>11.32</v>
      </c>
      <c r="M744">
        <v>177.6</v>
      </c>
      <c r="N744">
        <v>123</v>
      </c>
      <c r="O744">
        <v>7.99</v>
      </c>
      <c r="P744">
        <v>11.2</v>
      </c>
      <c r="Q744">
        <v>2</v>
      </c>
      <c r="R744">
        <v>3.02</v>
      </c>
      <c r="S744">
        <v>1</v>
      </c>
      <c r="T744" t="b">
        <v>0</v>
      </c>
    </row>
    <row r="745" spans="1:20">
      <c r="A745" t="s">
        <v>91</v>
      </c>
      <c r="B745">
        <v>86</v>
      </c>
      <c r="C745">
        <v>408</v>
      </c>
      <c r="D745" t="s">
        <v>62</v>
      </c>
      <c r="E745" t="s">
        <v>62</v>
      </c>
      <c r="F745">
        <v>0</v>
      </c>
      <c r="G745">
        <v>226.3</v>
      </c>
      <c r="H745">
        <v>88</v>
      </c>
      <c r="I745">
        <v>38.47</v>
      </c>
      <c r="J745">
        <v>223</v>
      </c>
      <c r="K745">
        <v>107</v>
      </c>
      <c r="L745">
        <v>18.96</v>
      </c>
      <c r="M745">
        <v>255.6</v>
      </c>
      <c r="N745">
        <v>92</v>
      </c>
      <c r="O745">
        <v>11.5</v>
      </c>
      <c r="P745">
        <v>13</v>
      </c>
      <c r="Q745">
        <v>3</v>
      </c>
      <c r="R745">
        <v>3.51</v>
      </c>
      <c r="S745">
        <v>4</v>
      </c>
      <c r="T745" t="b">
        <v>0</v>
      </c>
    </row>
    <row r="746" spans="1:20">
      <c r="A746" t="s">
        <v>84</v>
      </c>
      <c r="B746">
        <v>91</v>
      </c>
      <c r="C746">
        <v>510</v>
      </c>
      <c r="D746" t="s">
        <v>62</v>
      </c>
      <c r="E746" t="s">
        <v>63</v>
      </c>
      <c r="F746">
        <v>37</v>
      </c>
      <c r="G746">
        <v>162.3</v>
      </c>
      <c r="H746">
        <v>107</v>
      </c>
      <c r="I746">
        <v>27.59</v>
      </c>
      <c r="J746">
        <v>233.9</v>
      </c>
      <c r="K746">
        <v>115</v>
      </c>
      <c r="L746">
        <v>19.88</v>
      </c>
      <c r="M746">
        <v>277.4</v>
      </c>
      <c r="N746">
        <v>94</v>
      </c>
      <c r="O746">
        <v>12.48</v>
      </c>
      <c r="P746">
        <v>9.2</v>
      </c>
      <c r="Q746">
        <v>4</v>
      </c>
      <c r="R746">
        <v>2.48</v>
      </c>
      <c r="S746">
        <v>0</v>
      </c>
      <c r="T746" t="b">
        <v>0</v>
      </c>
    </row>
    <row r="747" spans="1:20">
      <c r="A747" t="s">
        <v>80</v>
      </c>
      <c r="B747">
        <v>130</v>
      </c>
      <c r="C747">
        <v>415</v>
      </c>
      <c r="D747" t="s">
        <v>62</v>
      </c>
      <c r="E747" t="s">
        <v>62</v>
      </c>
      <c r="F747">
        <v>0</v>
      </c>
      <c r="G747">
        <v>120.5</v>
      </c>
      <c r="H747">
        <v>127</v>
      </c>
      <c r="I747">
        <v>20.49</v>
      </c>
      <c r="J747">
        <v>189.7</v>
      </c>
      <c r="K747">
        <v>52</v>
      </c>
      <c r="L747">
        <v>16.12</v>
      </c>
      <c r="M747">
        <v>270.1</v>
      </c>
      <c r="N747">
        <v>107</v>
      </c>
      <c r="O747">
        <v>12.15</v>
      </c>
      <c r="P747">
        <v>14.3</v>
      </c>
      <c r="Q747">
        <v>2</v>
      </c>
      <c r="R747">
        <v>3.86</v>
      </c>
      <c r="S747">
        <v>1</v>
      </c>
      <c r="T747" t="b">
        <v>0</v>
      </c>
    </row>
    <row r="748" spans="1:20">
      <c r="A748" t="s">
        <v>64</v>
      </c>
      <c r="B748">
        <v>56</v>
      </c>
      <c r="C748">
        <v>408</v>
      </c>
      <c r="D748" t="s">
        <v>62</v>
      </c>
      <c r="E748" t="s">
        <v>62</v>
      </c>
      <c r="F748">
        <v>0</v>
      </c>
      <c r="G748">
        <v>91.1</v>
      </c>
      <c r="H748">
        <v>90</v>
      </c>
      <c r="I748">
        <v>15.49</v>
      </c>
      <c r="J748">
        <v>179.3</v>
      </c>
      <c r="K748">
        <v>115</v>
      </c>
      <c r="L748">
        <v>15.24</v>
      </c>
      <c r="M748">
        <v>300.7</v>
      </c>
      <c r="N748">
        <v>89</v>
      </c>
      <c r="O748">
        <v>13.53</v>
      </c>
      <c r="P748">
        <v>11.9</v>
      </c>
      <c r="Q748">
        <v>8</v>
      </c>
      <c r="R748">
        <v>3.21</v>
      </c>
      <c r="S748">
        <v>2</v>
      </c>
      <c r="T748" t="b">
        <v>0</v>
      </c>
    </row>
    <row r="749" spans="1:20">
      <c r="A749" t="s">
        <v>95</v>
      </c>
      <c r="B749">
        <v>117</v>
      </c>
      <c r="C749">
        <v>415</v>
      </c>
      <c r="D749" t="s">
        <v>62</v>
      </c>
      <c r="E749" t="s">
        <v>62</v>
      </c>
      <c r="F749">
        <v>0</v>
      </c>
      <c r="G749">
        <v>168.8</v>
      </c>
      <c r="H749">
        <v>137</v>
      </c>
      <c r="I749">
        <v>28.7</v>
      </c>
      <c r="J749">
        <v>241.4</v>
      </c>
      <c r="K749">
        <v>107</v>
      </c>
      <c r="L749">
        <v>20.52</v>
      </c>
      <c r="M749">
        <v>204.8</v>
      </c>
      <c r="N749">
        <v>106</v>
      </c>
      <c r="O749">
        <v>9.22</v>
      </c>
      <c r="P749">
        <v>15.5</v>
      </c>
      <c r="Q749">
        <v>4</v>
      </c>
      <c r="R749">
        <v>4.19</v>
      </c>
      <c r="S749">
        <v>0</v>
      </c>
      <c r="T749" t="b">
        <v>0</v>
      </c>
    </row>
    <row r="750" spans="1:20">
      <c r="A750" t="s">
        <v>78</v>
      </c>
      <c r="B750">
        <v>126</v>
      </c>
      <c r="C750">
        <v>415</v>
      </c>
      <c r="D750" t="s">
        <v>62</v>
      </c>
      <c r="E750" t="s">
        <v>62</v>
      </c>
      <c r="F750">
        <v>0</v>
      </c>
      <c r="G750">
        <v>226.2</v>
      </c>
      <c r="H750">
        <v>88</v>
      </c>
      <c r="I750">
        <v>38.45</v>
      </c>
      <c r="J750">
        <v>140.3</v>
      </c>
      <c r="K750">
        <v>114</v>
      </c>
      <c r="L750">
        <v>11.93</v>
      </c>
      <c r="M750">
        <v>208.9</v>
      </c>
      <c r="N750">
        <v>110</v>
      </c>
      <c r="O750">
        <v>9.4</v>
      </c>
      <c r="P750">
        <v>6.4</v>
      </c>
      <c r="Q750">
        <v>2</v>
      </c>
      <c r="R750">
        <v>1.73</v>
      </c>
      <c r="S750">
        <v>0</v>
      </c>
      <c r="T750" t="b">
        <v>0</v>
      </c>
    </row>
    <row r="751" spans="1:20">
      <c r="A751" t="s">
        <v>94</v>
      </c>
      <c r="B751">
        <v>132</v>
      </c>
      <c r="C751">
        <v>510</v>
      </c>
      <c r="D751" t="s">
        <v>62</v>
      </c>
      <c r="E751" t="s">
        <v>62</v>
      </c>
      <c r="F751">
        <v>0</v>
      </c>
      <c r="G751">
        <v>191.9</v>
      </c>
      <c r="H751">
        <v>107</v>
      </c>
      <c r="I751">
        <v>32.62</v>
      </c>
      <c r="J751">
        <v>206.9</v>
      </c>
      <c r="K751">
        <v>127</v>
      </c>
      <c r="L751">
        <v>17.59</v>
      </c>
      <c r="M751">
        <v>272</v>
      </c>
      <c r="N751">
        <v>88</v>
      </c>
      <c r="O751">
        <v>12.24</v>
      </c>
      <c r="P751">
        <v>12.6</v>
      </c>
      <c r="Q751">
        <v>2</v>
      </c>
      <c r="R751">
        <v>3.4</v>
      </c>
      <c r="S751">
        <v>1</v>
      </c>
      <c r="T751" t="b">
        <v>0</v>
      </c>
    </row>
    <row r="752" spans="1:20">
      <c r="A752" t="s">
        <v>104</v>
      </c>
      <c r="B752">
        <v>81</v>
      </c>
      <c r="C752">
        <v>415</v>
      </c>
      <c r="D752" t="s">
        <v>62</v>
      </c>
      <c r="E752" t="s">
        <v>63</v>
      </c>
      <c r="F752">
        <v>28</v>
      </c>
      <c r="G752">
        <v>167.9</v>
      </c>
      <c r="H752">
        <v>147</v>
      </c>
      <c r="I752">
        <v>28.54</v>
      </c>
      <c r="J752">
        <v>190.7</v>
      </c>
      <c r="K752">
        <v>105</v>
      </c>
      <c r="L752">
        <v>16.21</v>
      </c>
      <c r="M752">
        <v>193</v>
      </c>
      <c r="N752">
        <v>103</v>
      </c>
      <c r="O752">
        <v>8.69</v>
      </c>
      <c r="P752">
        <v>9.2</v>
      </c>
      <c r="Q752">
        <v>6</v>
      </c>
      <c r="R752">
        <v>2.48</v>
      </c>
      <c r="S752">
        <v>4</v>
      </c>
      <c r="T752" t="b">
        <v>1</v>
      </c>
    </row>
    <row r="753" spans="1:20">
      <c r="A753" t="s">
        <v>100</v>
      </c>
      <c r="B753">
        <v>122</v>
      </c>
      <c r="C753">
        <v>415</v>
      </c>
      <c r="D753" t="s">
        <v>62</v>
      </c>
      <c r="E753" t="s">
        <v>62</v>
      </c>
      <c r="F753">
        <v>0</v>
      </c>
      <c r="G753">
        <v>180</v>
      </c>
      <c r="H753">
        <v>88</v>
      </c>
      <c r="I753">
        <v>30.6</v>
      </c>
      <c r="J753">
        <v>145</v>
      </c>
      <c r="K753">
        <v>77</v>
      </c>
      <c r="L753">
        <v>12.33</v>
      </c>
      <c r="M753">
        <v>233.7</v>
      </c>
      <c r="N753">
        <v>120</v>
      </c>
      <c r="O753">
        <v>10.52</v>
      </c>
      <c r="P753">
        <v>11.5</v>
      </c>
      <c r="Q753">
        <v>6</v>
      </c>
      <c r="R753">
        <v>3.11</v>
      </c>
      <c r="S753">
        <v>2</v>
      </c>
      <c r="T753" t="b">
        <v>0</v>
      </c>
    </row>
    <row r="754" spans="1:20">
      <c r="A754" t="s">
        <v>65</v>
      </c>
      <c r="B754">
        <v>46</v>
      </c>
      <c r="C754">
        <v>408</v>
      </c>
      <c r="D754" t="s">
        <v>62</v>
      </c>
      <c r="E754" t="s">
        <v>62</v>
      </c>
      <c r="F754">
        <v>0</v>
      </c>
      <c r="G754">
        <v>257.4</v>
      </c>
      <c r="H754">
        <v>67</v>
      </c>
      <c r="I754">
        <v>43.76</v>
      </c>
      <c r="J754">
        <v>261.1</v>
      </c>
      <c r="K754">
        <v>91</v>
      </c>
      <c r="L754">
        <v>22.19</v>
      </c>
      <c r="M754">
        <v>204.4</v>
      </c>
      <c r="N754">
        <v>107</v>
      </c>
      <c r="O754">
        <v>9.2</v>
      </c>
      <c r="P754">
        <v>13.4</v>
      </c>
      <c r="Q754">
        <v>5</v>
      </c>
      <c r="R754">
        <v>3.62</v>
      </c>
      <c r="S754">
        <v>2</v>
      </c>
      <c r="T754" t="b">
        <v>1</v>
      </c>
    </row>
    <row r="755" spans="1:20">
      <c r="A755" t="s">
        <v>77</v>
      </c>
      <c r="B755">
        <v>99</v>
      </c>
      <c r="C755">
        <v>408</v>
      </c>
      <c r="D755" t="s">
        <v>62</v>
      </c>
      <c r="E755" t="s">
        <v>62</v>
      </c>
      <c r="F755">
        <v>0</v>
      </c>
      <c r="G755">
        <v>159.7</v>
      </c>
      <c r="H755">
        <v>83</v>
      </c>
      <c r="I755">
        <v>27.15</v>
      </c>
      <c r="J755">
        <v>155.4</v>
      </c>
      <c r="K755">
        <v>121</v>
      </c>
      <c r="L755">
        <v>13.21</v>
      </c>
      <c r="M755">
        <v>255.7</v>
      </c>
      <c r="N755">
        <v>114</v>
      </c>
      <c r="O755">
        <v>11.51</v>
      </c>
      <c r="P755">
        <v>8.4</v>
      </c>
      <c r="Q755">
        <v>3</v>
      </c>
      <c r="R755">
        <v>2.27</v>
      </c>
      <c r="S755">
        <v>1</v>
      </c>
      <c r="T755" t="b">
        <v>0</v>
      </c>
    </row>
    <row r="756" spans="1:20">
      <c r="A756" t="s">
        <v>67</v>
      </c>
      <c r="B756">
        <v>87</v>
      </c>
      <c r="C756">
        <v>408</v>
      </c>
      <c r="D756" t="s">
        <v>62</v>
      </c>
      <c r="E756" t="s">
        <v>62</v>
      </c>
      <c r="F756">
        <v>0</v>
      </c>
      <c r="G756">
        <v>237.2</v>
      </c>
      <c r="H756">
        <v>124</v>
      </c>
      <c r="I756">
        <v>40.32</v>
      </c>
      <c r="J756">
        <v>222.6</v>
      </c>
      <c r="K756">
        <v>87</v>
      </c>
      <c r="L756">
        <v>18.92</v>
      </c>
      <c r="M756">
        <v>173.3</v>
      </c>
      <c r="N756">
        <v>81</v>
      </c>
      <c r="O756">
        <v>7.8</v>
      </c>
      <c r="P756">
        <v>11</v>
      </c>
      <c r="Q756">
        <v>3</v>
      </c>
      <c r="R756">
        <v>2.97</v>
      </c>
      <c r="S756">
        <v>1</v>
      </c>
      <c r="T756" t="b">
        <v>0</v>
      </c>
    </row>
    <row r="757" spans="1:20">
      <c r="A757" t="s">
        <v>90</v>
      </c>
      <c r="B757">
        <v>108</v>
      </c>
      <c r="C757">
        <v>415</v>
      </c>
      <c r="D757" t="s">
        <v>62</v>
      </c>
      <c r="E757" t="s">
        <v>62</v>
      </c>
      <c r="F757">
        <v>0</v>
      </c>
      <c r="G757">
        <v>103</v>
      </c>
      <c r="H757">
        <v>129</v>
      </c>
      <c r="I757">
        <v>17.51</v>
      </c>
      <c r="J757">
        <v>242.3</v>
      </c>
      <c r="K757">
        <v>103</v>
      </c>
      <c r="L757">
        <v>20.6</v>
      </c>
      <c r="M757">
        <v>170.2</v>
      </c>
      <c r="N757">
        <v>89</v>
      </c>
      <c r="O757">
        <v>7.66</v>
      </c>
      <c r="P757">
        <v>7.9</v>
      </c>
      <c r="Q757">
        <v>3</v>
      </c>
      <c r="R757">
        <v>2.13</v>
      </c>
      <c r="S757">
        <v>1</v>
      </c>
      <c r="T757" t="b">
        <v>0</v>
      </c>
    </row>
    <row r="758" spans="1:20">
      <c r="A758" t="s">
        <v>113</v>
      </c>
      <c r="B758">
        <v>53</v>
      </c>
      <c r="C758">
        <v>415</v>
      </c>
      <c r="D758" t="s">
        <v>62</v>
      </c>
      <c r="E758" t="s">
        <v>62</v>
      </c>
      <c r="F758">
        <v>0</v>
      </c>
      <c r="G758">
        <v>205.1</v>
      </c>
      <c r="H758">
        <v>86</v>
      </c>
      <c r="I758">
        <v>34.87</v>
      </c>
      <c r="J758">
        <v>160.5</v>
      </c>
      <c r="K758">
        <v>95</v>
      </c>
      <c r="L758">
        <v>13.64</v>
      </c>
      <c r="M758">
        <v>149.5</v>
      </c>
      <c r="N758">
        <v>142</v>
      </c>
      <c r="O758">
        <v>6.73</v>
      </c>
      <c r="P758">
        <v>10.7</v>
      </c>
      <c r="Q758">
        <v>2</v>
      </c>
      <c r="R758">
        <v>2.89</v>
      </c>
      <c r="S758">
        <v>3</v>
      </c>
      <c r="T758" t="b">
        <v>0</v>
      </c>
    </row>
    <row r="759" spans="1:20">
      <c r="A759" t="s">
        <v>104</v>
      </c>
      <c r="B759">
        <v>144</v>
      </c>
      <c r="C759">
        <v>415</v>
      </c>
      <c r="D759" t="s">
        <v>63</v>
      </c>
      <c r="E759" t="s">
        <v>62</v>
      </c>
      <c r="F759">
        <v>0</v>
      </c>
      <c r="G759">
        <v>150</v>
      </c>
      <c r="H759">
        <v>69</v>
      </c>
      <c r="I759">
        <v>25.5</v>
      </c>
      <c r="J759">
        <v>285.9</v>
      </c>
      <c r="K759">
        <v>73</v>
      </c>
      <c r="L759">
        <v>24.3</v>
      </c>
      <c r="M759">
        <v>190.6</v>
      </c>
      <c r="N759">
        <v>121</v>
      </c>
      <c r="O759">
        <v>8.58</v>
      </c>
      <c r="P759">
        <v>9.4</v>
      </c>
      <c r="Q759">
        <v>15</v>
      </c>
      <c r="R759">
        <v>2.54</v>
      </c>
      <c r="S759">
        <v>0</v>
      </c>
      <c r="T759" t="b">
        <v>0</v>
      </c>
    </row>
    <row r="760" spans="1:20">
      <c r="A760" t="s">
        <v>67</v>
      </c>
      <c r="B760">
        <v>91</v>
      </c>
      <c r="C760">
        <v>510</v>
      </c>
      <c r="D760" t="s">
        <v>62</v>
      </c>
      <c r="E760" t="s">
        <v>63</v>
      </c>
      <c r="F760">
        <v>23</v>
      </c>
      <c r="G760">
        <v>232.4</v>
      </c>
      <c r="H760">
        <v>97</v>
      </c>
      <c r="I760">
        <v>39.51</v>
      </c>
      <c r="J760">
        <v>186</v>
      </c>
      <c r="K760">
        <v>88</v>
      </c>
      <c r="L760">
        <v>15.81</v>
      </c>
      <c r="M760">
        <v>190.5</v>
      </c>
      <c r="N760">
        <v>128</v>
      </c>
      <c r="O760">
        <v>8.57</v>
      </c>
      <c r="P760">
        <v>12.3</v>
      </c>
      <c r="Q760">
        <v>3</v>
      </c>
      <c r="R760">
        <v>3.32</v>
      </c>
      <c r="S760">
        <v>3</v>
      </c>
      <c r="T760" t="b">
        <v>0</v>
      </c>
    </row>
    <row r="761" spans="1:20">
      <c r="A761" t="s">
        <v>89</v>
      </c>
      <c r="B761">
        <v>58</v>
      </c>
      <c r="C761">
        <v>408</v>
      </c>
      <c r="D761" t="s">
        <v>62</v>
      </c>
      <c r="E761" t="s">
        <v>62</v>
      </c>
      <c r="F761">
        <v>0</v>
      </c>
      <c r="G761">
        <v>165.4</v>
      </c>
      <c r="H761">
        <v>100</v>
      </c>
      <c r="I761">
        <v>28.12</v>
      </c>
      <c r="J761">
        <v>115.7</v>
      </c>
      <c r="K761">
        <v>87</v>
      </c>
      <c r="L761">
        <v>9.83</v>
      </c>
      <c r="M761">
        <v>193.8</v>
      </c>
      <c r="N761">
        <v>118</v>
      </c>
      <c r="O761">
        <v>8.72</v>
      </c>
      <c r="P761">
        <v>12.8</v>
      </c>
      <c r="Q761">
        <v>5</v>
      </c>
      <c r="R761">
        <v>3.46</v>
      </c>
      <c r="S761">
        <v>2</v>
      </c>
      <c r="T761" t="b">
        <v>0</v>
      </c>
    </row>
    <row r="762" spans="1:20">
      <c r="A762" t="s">
        <v>92</v>
      </c>
      <c r="B762">
        <v>5</v>
      </c>
      <c r="C762">
        <v>415</v>
      </c>
      <c r="D762" t="s">
        <v>62</v>
      </c>
      <c r="E762" t="s">
        <v>62</v>
      </c>
      <c r="F762">
        <v>0</v>
      </c>
      <c r="G762">
        <v>199.2</v>
      </c>
      <c r="H762">
        <v>106</v>
      </c>
      <c r="I762">
        <v>33.86</v>
      </c>
      <c r="J762">
        <v>187.3</v>
      </c>
      <c r="K762">
        <v>12</v>
      </c>
      <c r="L762">
        <v>15.92</v>
      </c>
      <c r="M762">
        <v>214</v>
      </c>
      <c r="N762">
        <v>85</v>
      </c>
      <c r="O762">
        <v>9.63</v>
      </c>
      <c r="P762">
        <v>13.3</v>
      </c>
      <c r="Q762">
        <v>3</v>
      </c>
      <c r="R762">
        <v>3.59</v>
      </c>
      <c r="S762">
        <v>3</v>
      </c>
      <c r="T762" t="b">
        <v>0</v>
      </c>
    </row>
    <row r="763" spans="1:20">
      <c r="A763" t="s">
        <v>68</v>
      </c>
      <c r="B763">
        <v>97</v>
      </c>
      <c r="C763">
        <v>408</v>
      </c>
      <c r="D763" t="s">
        <v>62</v>
      </c>
      <c r="E763" t="s">
        <v>62</v>
      </c>
      <c r="F763">
        <v>0</v>
      </c>
      <c r="G763">
        <v>217.6</v>
      </c>
      <c r="H763">
        <v>81</v>
      </c>
      <c r="I763">
        <v>36.99</v>
      </c>
      <c r="J763">
        <v>320.5</v>
      </c>
      <c r="K763">
        <v>51</v>
      </c>
      <c r="L763">
        <v>27.24</v>
      </c>
      <c r="M763">
        <v>150.7</v>
      </c>
      <c r="N763">
        <v>110</v>
      </c>
      <c r="O763">
        <v>6.78</v>
      </c>
      <c r="P763">
        <v>4.2</v>
      </c>
      <c r="Q763">
        <v>3</v>
      </c>
      <c r="R763">
        <v>1.13</v>
      </c>
      <c r="S763">
        <v>0</v>
      </c>
      <c r="T763" t="b">
        <v>0</v>
      </c>
    </row>
    <row r="764" spans="1:20">
      <c r="A764" t="s">
        <v>69</v>
      </c>
      <c r="B764">
        <v>142</v>
      </c>
      <c r="C764">
        <v>415</v>
      </c>
      <c r="D764" t="s">
        <v>62</v>
      </c>
      <c r="E764" t="s">
        <v>63</v>
      </c>
      <c r="F764">
        <v>30</v>
      </c>
      <c r="G764">
        <v>154</v>
      </c>
      <c r="H764">
        <v>75</v>
      </c>
      <c r="I764">
        <v>26.18</v>
      </c>
      <c r="J764">
        <v>165.8</v>
      </c>
      <c r="K764">
        <v>97</v>
      </c>
      <c r="L764">
        <v>14.09</v>
      </c>
      <c r="M764">
        <v>270</v>
      </c>
      <c r="N764">
        <v>83</v>
      </c>
      <c r="O764">
        <v>12.15</v>
      </c>
      <c r="P764">
        <v>10.8</v>
      </c>
      <c r="Q764">
        <v>5</v>
      </c>
      <c r="R764">
        <v>2.92</v>
      </c>
      <c r="S764">
        <v>1</v>
      </c>
      <c r="T764" t="b">
        <v>0</v>
      </c>
    </row>
    <row r="765" spans="1:20">
      <c r="A765" t="s">
        <v>106</v>
      </c>
      <c r="B765">
        <v>9</v>
      </c>
      <c r="C765">
        <v>408</v>
      </c>
      <c r="D765" t="s">
        <v>62</v>
      </c>
      <c r="E765" t="s">
        <v>63</v>
      </c>
      <c r="F765">
        <v>31</v>
      </c>
      <c r="G765">
        <v>193.8</v>
      </c>
      <c r="H765">
        <v>130</v>
      </c>
      <c r="I765">
        <v>32.95</v>
      </c>
      <c r="J765">
        <v>202.6</v>
      </c>
      <c r="K765">
        <v>98</v>
      </c>
      <c r="L765">
        <v>17.22</v>
      </c>
      <c r="M765">
        <v>191.2</v>
      </c>
      <c r="N765">
        <v>102</v>
      </c>
      <c r="O765">
        <v>8.6</v>
      </c>
      <c r="P765">
        <v>13.3</v>
      </c>
      <c r="Q765">
        <v>2</v>
      </c>
      <c r="R765">
        <v>3.59</v>
      </c>
      <c r="S765">
        <v>1</v>
      </c>
      <c r="T765" t="b">
        <v>0</v>
      </c>
    </row>
    <row r="766" spans="1:20">
      <c r="A766" t="s">
        <v>83</v>
      </c>
      <c r="B766">
        <v>73</v>
      </c>
      <c r="C766">
        <v>415</v>
      </c>
      <c r="D766" t="s">
        <v>62</v>
      </c>
      <c r="E766" t="s">
        <v>62</v>
      </c>
      <c r="F766">
        <v>0</v>
      </c>
      <c r="G766">
        <v>175.4</v>
      </c>
      <c r="H766">
        <v>130</v>
      </c>
      <c r="I766">
        <v>29.82</v>
      </c>
      <c r="J766">
        <v>248.1</v>
      </c>
      <c r="K766">
        <v>105</v>
      </c>
      <c r="L766">
        <v>21.09</v>
      </c>
      <c r="M766">
        <v>122.4</v>
      </c>
      <c r="N766">
        <v>85</v>
      </c>
      <c r="O766">
        <v>5.51</v>
      </c>
      <c r="P766">
        <v>12.2</v>
      </c>
      <c r="Q766">
        <v>4</v>
      </c>
      <c r="R766">
        <v>3.29</v>
      </c>
      <c r="S766">
        <v>0</v>
      </c>
      <c r="T766" t="b">
        <v>0</v>
      </c>
    </row>
    <row r="767" spans="1:20">
      <c r="A767" t="s">
        <v>71</v>
      </c>
      <c r="B767">
        <v>43</v>
      </c>
      <c r="C767">
        <v>408</v>
      </c>
      <c r="D767" t="s">
        <v>62</v>
      </c>
      <c r="E767" t="s">
        <v>62</v>
      </c>
      <c r="F767">
        <v>0</v>
      </c>
      <c r="G767">
        <v>230.2</v>
      </c>
      <c r="H767">
        <v>147</v>
      </c>
      <c r="I767">
        <v>39.13</v>
      </c>
      <c r="J767">
        <v>186.7</v>
      </c>
      <c r="K767">
        <v>121</v>
      </c>
      <c r="L767">
        <v>15.87</v>
      </c>
      <c r="M767">
        <v>128.4</v>
      </c>
      <c r="N767">
        <v>100</v>
      </c>
      <c r="O767">
        <v>5.78</v>
      </c>
      <c r="P767">
        <v>9.2</v>
      </c>
      <c r="Q767">
        <v>3</v>
      </c>
      <c r="R767">
        <v>2.48</v>
      </c>
      <c r="S767">
        <v>0</v>
      </c>
      <c r="T767" t="b">
        <v>0</v>
      </c>
    </row>
    <row r="768" spans="1:20">
      <c r="A768" t="s">
        <v>103</v>
      </c>
      <c r="B768">
        <v>122</v>
      </c>
      <c r="C768">
        <v>408</v>
      </c>
      <c r="D768" t="s">
        <v>62</v>
      </c>
      <c r="E768" t="s">
        <v>63</v>
      </c>
      <c r="F768">
        <v>33</v>
      </c>
      <c r="G768">
        <v>174.9</v>
      </c>
      <c r="H768">
        <v>103</v>
      </c>
      <c r="I768">
        <v>29.73</v>
      </c>
      <c r="J768">
        <v>248.2</v>
      </c>
      <c r="K768">
        <v>105</v>
      </c>
      <c r="L768">
        <v>21.1</v>
      </c>
      <c r="M768">
        <v>164.6</v>
      </c>
      <c r="N768">
        <v>116</v>
      </c>
      <c r="O768">
        <v>7.41</v>
      </c>
      <c r="P768">
        <v>13.5</v>
      </c>
      <c r="Q768">
        <v>3</v>
      </c>
      <c r="R768">
        <v>3.65</v>
      </c>
      <c r="S768">
        <v>1</v>
      </c>
      <c r="T768" t="b">
        <v>1</v>
      </c>
    </row>
    <row r="769" spans="1:20">
      <c r="A769" t="s">
        <v>111</v>
      </c>
      <c r="B769">
        <v>93</v>
      </c>
      <c r="C769">
        <v>415</v>
      </c>
      <c r="D769" t="s">
        <v>62</v>
      </c>
      <c r="E769" t="s">
        <v>62</v>
      </c>
      <c r="F769">
        <v>0</v>
      </c>
      <c r="G769">
        <v>190.2</v>
      </c>
      <c r="H769">
        <v>68</v>
      </c>
      <c r="I769">
        <v>32.33</v>
      </c>
      <c r="J769">
        <v>262.2</v>
      </c>
      <c r="K769">
        <v>64</v>
      </c>
      <c r="L769">
        <v>22.29</v>
      </c>
      <c r="M769">
        <v>130</v>
      </c>
      <c r="N769">
        <v>92</v>
      </c>
      <c r="O769">
        <v>5.85</v>
      </c>
      <c r="P769">
        <v>8.8</v>
      </c>
      <c r="Q769">
        <v>4</v>
      </c>
      <c r="R769">
        <v>2.38</v>
      </c>
      <c r="S769">
        <v>0</v>
      </c>
      <c r="T769" t="b">
        <v>0</v>
      </c>
    </row>
    <row r="770" spans="1:20">
      <c r="A770" t="s">
        <v>78</v>
      </c>
      <c r="B770">
        <v>85</v>
      </c>
      <c r="C770">
        <v>415</v>
      </c>
      <c r="D770" t="s">
        <v>62</v>
      </c>
      <c r="E770" t="s">
        <v>62</v>
      </c>
      <c r="F770">
        <v>0</v>
      </c>
      <c r="G770">
        <v>176.4</v>
      </c>
      <c r="H770">
        <v>122</v>
      </c>
      <c r="I770">
        <v>29.99</v>
      </c>
      <c r="J770">
        <v>224.9</v>
      </c>
      <c r="K770">
        <v>123</v>
      </c>
      <c r="L770">
        <v>19.12</v>
      </c>
      <c r="M770">
        <v>219.6</v>
      </c>
      <c r="N770">
        <v>50</v>
      </c>
      <c r="O770">
        <v>9.88</v>
      </c>
      <c r="P770">
        <v>11.5</v>
      </c>
      <c r="Q770">
        <v>1</v>
      </c>
      <c r="R770">
        <v>3.11</v>
      </c>
      <c r="S770">
        <v>1</v>
      </c>
      <c r="T770" t="b">
        <v>0</v>
      </c>
    </row>
    <row r="771" spans="1:20">
      <c r="A771" t="s">
        <v>88</v>
      </c>
      <c r="B771">
        <v>87</v>
      </c>
      <c r="C771">
        <v>415</v>
      </c>
      <c r="D771" t="s">
        <v>62</v>
      </c>
      <c r="E771" t="s">
        <v>62</v>
      </c>
      <c r="F771">
        <v>0</v>
      </c>
      <c r="G771">
        <v>228.7</v>
      </c>
      <c r="H771">
        <v>90</v>
      </c>
      <c r="I771">
        <v>38.88</v>
      </c>
      <c r="J771">
        <v>163</v>
      </c>
      <c r="K771">
        <v>99</v>
      </c>
      <c r="L771">
        <v>13.86</v>
      </c>
      <c r="M771">
        <v>154.1</v>
      </c>
      <c r="N771">
        <v>90</v>
      </c>
      <c r="O771">
        <v>6.93</v>
      </c>
      <c r="P771">
        <v>11.8</v>
      </c>
      <c r="Q771">
        <v>3</v>
      </c>
      <c r="R771">
        <v>3.19</v>
      </c>
      <c r="S771">
        <v>1</v>
      </c>
      <c r="T771" t="b">
        <v>0</v>
      </c>
    </row>
    <row r="772" spans="1:20">
      <c r="A772" t="s">
        <v>64</v>
      </c>
      <c r="B772">
        <v>137</v>
      </c>
      <c r="C772">
        <v>408</v>
      </c>
      <c r="D772" t="s">
        <v>62</v>
      </c>
      <c r="E772" t="s">
        <v>62</v>
      </c>
      <c r="F772">
        <v>0</v>
      </c>
      <c r="G772">
        <v>144</v>
      </c>
      <c r="H772">
        <v>90</v>
      </c>
      <c r="I772">
        <v>24.48</v>
      </c>
      <c r="J772">
        <v>181.6</v>
      </c>
      <c r="K772">
        <v>100</v>
      </c>
      <c r="L772">
        <v>15.44</v>
      </c>
      <c r="M772">
        <v>128.1</v>
      </c>
      <c r="N772">
        <v>93</v>
      </c>
      <c r="O772">
        <v>5.76</v>
      </c>
      <c r="P772">
        <v>12.3</v>
      </c>
      <c r="Q772">
        <v>2</v>
      </c>
      <c r="R772">
        <v>3.32</v>
      </c>
      <c r="S772">
        <v>0</v>
      </c>
      <c r="T772" t="b">
        <v>0</v>
      </c>
    </row>
    <row r="773" spans="1:20">
      <c r="A773" t="s">
        <v>94</v>
      </c>
      <c r="B773">
        <v>21</v>
      </c>
      <c r="C773">
        <v>510</v>
      </c>
      <c r="D773" t="s">
        <v>62</v>
      </c>
      <c r="E773" t="s">
        <v>63</v>
      </c>
      <c r="F773">
        <v>31</v>
      </c>
      <c r="G773">
        <v>135.9</v>
      </c>
      <c r="H773">
        <v>90</v>
      </c>
      <c r="I773">
        <v>23.1</v>
      </c>
      <c r="J773">
        <v>271</v>
      </c>
      <c r="K773">
        <v>84</v>
      </c>
      <c r="L773">
        <v>23.04</v>
      </c>
      <c r="M773">
        <v>179.1</v>
      </c>
      <c r="N773">
        <v>89</v>
      </c>
      <c r="O773">
        <v>8.06</v>
      </c>
      <c r="P773">
        <v>9.5</v>
      </c>
      <c r="Q773">
        <v>7</v>
      </c>
      <c r="R773">
        <v>2.57</v>
      </c>
      <c r="S773">
        <v>6</v>
      </c>
      <c r="T773" t="b">
        <v>0</v>
      </c>
    </row>
    <row r="774" spans="1:20">
      <c r="A774" t="s">
        <v>107</v>
      </c>
      <c r="B774">
        <v>104</v>
      </c>
      <c r="C774">
        <v>415</v>
      </c>
      <c r="D774" t="s">
        <v>62</v>
      </c>
      <c r="E774" t="s">
        <v>62</v>
      </c>
      <c r="F774">
        <v>0</v>
      </c>
      <c r="G774">
        <v>130.5</v>
      </c>
      <c r="H774">
        <v>77</v>
      </c>
      <c r="I774">
        <v>22.19</v>
      </c>
      <c r="J774">
        <v>131.2</v>
      </c>
      <c r="K774">
        <v>117</v>
      </c>
      <c r="L774">
        <v>11.15</v>
      </c>
      <c r="M774">
        <v>264.7</v>
      </c>
      <c r="N774">
        <v>63</v>
      </c>
      <c r="O774">
        <v>11.91</v>
      </c>
      <c r="P774">
        <v>13</v>
      </c>
      <c r="Q774">
        <v>6</v>
      </c>
      <c r="R774">
        <v>3.51</v>
      </c>
      <c r="S774">
        <v>0</v>
      </c>
      <c r="T774" t="b">
        <v>0</v>
      </c>
    </row>
    <row r="775" spans="1:20">
      <c r="A775" t="s">
        <v>89</v>
      </c>
      <c r="B775">
        <v>93</v>
      </c>
      <c r="C775">
        <v>408</v>
      </c>
      <c r="D775" t="s">
        <v>62</v>
      </c>
      <c r="E775" t="s">
        <v>63</v>
      </c>
      <c r="F775">
        <v>21</v>
      </c>
      <c r="G775">
        <v>134.2</v>
      </c>
      <c r="H775">
        <v>105</v>
      </c>
      <c r="I775">
        <v>22.81</v>
      </c>
      <c r="J775">
        <v>162.5</v>
      </c>
      <c r="K775">
        <v>128</v>
      </c>
      <c r="L775">
        <v>13.81</v>
      </c>
      <c r="M775">
        <v>186.6</v>
      </c>
      <c r="N775">
        <v>90</v>
      </c>
      <c r="O775">
        <v>8.4</v>
      </c>
      <c r="P775">
        <v>11.8</v>
      </c>
      <c r="Q775">
        <v>2</v>
      </c>
      <c r="R775">
        <v>3.19</v>
      </c>
      <c r="S775">
        <v>4</v>
      </c>
      <c r="T775" t="b">
        <v>1</v>
      </c>
    </row>
    <row r="776" spans="1:20">
      <c r="A776" t="s">
        <v>78</v>
      </c>
      <c r="B776">
        <v>63</v>
      </c>
      <c r="C776">
        <v>415</v>
      </c>
      <c r="D776" t="s">
        <v>62</v>
      </c>
      <c r="E776" t="s">
        <v>62</v>
      </c>
      <c r="F776">
        <v>0</v>
      </c>
      <c r="G776">
        <v>278</v>
      </c>
      <c r="H776">
        <v>102</v>
      </c>
      <c r="I776">
        <v>47.26</v>
      </c>
      <c r="J776">
        <v>266.4</v>
      </c>
      <c r="K776">
        <v>114</v>
      </c>
      <c r="L776">
        <v>22.64</v>
      </c>
      <c r="M776">
        <v>224.1</v>
      </c>
      <c r="N776">
        <v>118</v>
      </c>
      <c r="O776">
        <v>10.08</v>
      </c>
      <c r="P776">
        <v>13.1</v>
      </c>
      <c r="Q776">
        <v>4</v>
      </c>
      <c r="R776">
        <v>3.54</v>
      </c>
      <c r="S776">
        <v>4</v>
      </c>
      <c r="T776" t="b">
        <v>1</v>
      </c>
    </row>
    <row r="777" spans="1:20">
      <c r="A777" t="s">
        <v>94</v>
      </c>
      <c r="B777">
        <v>161</v>
      </c>
      <c r="C777">
        <v>415</v>
      </c>
      <c r="D777" t="s">
        <v>62</v>
      </c>
      <c r="E777" t="s">
        <v>62</v>
      </c>
      <c r="F777">
        <v>0</v>
      </c>
      <c r="G777">
        <v>105.4</v>
      </c>
      <c r="H777">
        <v>70</v>
      </c>
      <c r="I777">
        <v>17.92</v>
      </c>
      <c r="J777">
        <v>214.8</v>
      </c>
      <c r="K777">
        <v>122</v>
      </c>
      <c r="L777">
        <v>18.26</v>
      </c>
      <c r="M777">
        <v>223.6</v>
      </c>
      <c r="N777">
        <v>126</v>
      </c>
      <c r="O777">
        <v>10.06</v>
      </c>
      <c r="P777">
        <v>7.8</v>
      </c>
      <c r="Q777">
        <v>5</v>
      </c>
      <c r="R777">
        <v>2.11</v>
      </c>
      <c r="S777">
        <v>0</v>
      </c>
      <c r="T777" t="b">
        <v>0</v>
      </c>
    </row>
    <row r="778" spans="1:20">
      <c r="A778" t="s">
        <v>69</v>
      </c>
      <c r="B778">
        <v>103</v>
      </c>
      <c r="C778">
        <v>408</v>
      </c>
      <c r="D778" t="s">
        <v>62</v>
      </c>
      <c r="E778" t="s">
        <v>63</v>
      </c>
      <c r="F778">
        <v>24</v>
      </c>
      <c r="G778">
        <v>111.8</v>
      </c>
      <c r="H778">
        <v>85</v>
      </c>
      <c r="I778">
        <v>19.01</v>
      </c>
      <c r="J778">
        <v>239.6</v>
      </c>
      <c r="K778">
        <v>102</v>
      </c>
      <c r="L778">
        <v>20.37</v>
      </c>
      <c r="M778">
        <v>268.3</v>
      </c>
      <c r="N778">
        <v>81</v>
      </c>
      <c r="O778">
        <v>12.07</v>
      </c>
      <c r="P778">
        <v>6.9</v>
      </c>
      <c r="Q778">
        <v>4</v>
      </c>
      <c r="R778">
        <v>1.86</v>
      </c>
      <c r="S778">
        <v>1</v>
      </c>
      <c r="T778" t="b">
        <v>0</v>
      </c>
    </row>
    <row r="779" spans="1:20">
      <c r="A779" t="s">
        <v>115</v>
      </c>
      <c r="B779">
        <v>84</v>
      </c>
      <c r="C779">
        <v>415</v>
      </c>
      <c r="D779" t="s">
        <v>62</v>
      </c>
      <c r="E779" t="s">
        <v>63</v>
      </c>
      <c r="F779">
        <v>33</v>
      </c>
      <c r="G779">
        <v>159.1</v>
      </c>
      <c r="H779">
        <v>106</v>
      </c>
      <c r="I779">
        <v>27.05</v>
      </c>
      <c r="J779">
        <v>149.8</v>
      </c>
      <c r="K779">
        <v>101</v>
      </c>
      <c r="L779">
        <v>12.73</v>
      </c>
      <c r="M779">
        <v>213.4</v>
      </c>
      <c r="N779">
        <v>108</v>
      </c>
      <c r="O779">
        <v>9.6</v>
      </c>
      <c r="P779">
        <v>13</v>
      </c>
      <c r="Q779">
        <v>18</v>
      </c>
      <c r="R779">
        <v>3.51</v>
      </c>
      <c r="S779">
        <v>1</v>
      </c>
      <c r="T779" t="b">
        <v>0</v>
      </c>
    </row>
    <row r="780" spans="1:20">
      <c r="A780" t="s">
        <v>102</v>
      </c>
      <c r="B780">
        <v>92</v>
      </c>
      <c r="C780">
        <v>510</v>
      </c>
      <c r="D780" t="s">
        <v>62</v>
      </c>
      <c r="E780" t="s">
        <v>62</v>
      </c>
      <c r="F780">
        <v>0</v>
      </c>
      <c r="G780">
        <v>212.4</v>
      </c>
      <c r="H780">
        <v>105</v>
      </c>
      <c r="I780">
        <v>36.11</v>
      </c>
      <c r="J780">
        <v>224.6</v>
      </c>
      <c r="K780">
        <v>118</v>
      </c>
      <c r="L780">
        <v>19.09</v>
      </c>
      <c r="M780">
        <v>221.3</v>
      </c>
      <c r="N780">
        <v>105</v>
      </c>
      <c r="O780">
        <v>9.96</v>
      </c>
      <c r="P780">
        <v>9</v>
      </c>
      <c r="Q780">
        <v>4</v>
      </c>
      <c r="R780">
        <v>2.43</v>
      </c>
      <c r="S780">
        <v>1</v>
      </c>
      <c r="T780" t="b">
        <v>0</v>
      </c>
    </row>
    <row r="781" spans="1:20">
      <c r="A781" t="s">
        <v>104</v>
      </c>
      <c r="B781">
        <v>77</v>
      </c>
      <c r="C781">
        <v>415</v>
      </c>
      <c r="D781" t="s">
        <v>62</v>
      </c>
      <c r="E781" t="s">
        <v>62</v>
      </c>
      <c r="F781">
        <v>0</v>
      </c>
      <c r="G781">
        <v>142.3</v>
      </c>
      <c r="H781">
        <v>112</v>
      </c>
      <c r="I781">
        <v>24.19</v>
      </c>
      <c r="J781">
        <v>306.3</v>
      </c>
      <c r="K781">
        <v>111</v>
      </c>
      <c r="L781">
        <v>26.04</v>
      </c>
      <c r="M781">
        <v>196.5</v>
      </c>
      <c r="N781">
        <v>82</v>
      </c>
      <c r="O781">
        <v>8.84</v>
      </c>
      <c r="P781">
        <v>9.9</v>
      </c>
      <c r="Q781">
        <v>1</v>
      </c>
      <c r="R781">
        <v>2.67</v>
      </c>
      <c r="S781">
        <v>1</v>
      </c>
      <c r="T781" t="b">
        <v>0</v>
      </c>
    </row>
    <row r="782" spans="1:20">
      <c r="A782" t="s">
        <v>106</v>
      </c>
      <c r="B782">
        <v>64</v>
      </c>
      <c r="C782">
        <v>415</v>
      </c>
      <c r="D782" t="s">
        <v>63</v>
      </c>
      <c r="E782" t="s">
        <v>62</v>
      </c>
      <c r="F782">
        <v>0</v>
      </c>
      <c r="G782">
        <v>346.8</v>
      </c>
      <c r="H782">
        <v>55</v>
      </c>
      <c r="I782">
        <v>58.96</v>
      </c>
      <c r="J782">
        <v>249.5</v>
      </c>
      <c r="K782">
        <v>79</v>
      </c>
      <c r="L782">
        <v>21.21</v>
      </c>
      <c r="M782">
        <v>275.4</v>
      </c>
      <c r="N782">
        <v>102</v>
      </c>
      <c r="O782">
        <v>12.39</v>
      </c>
      <c r="P782">
        <v>13.3</v>
      </c>
      <c r="Q782">
        <v>9</v>
      </c>
      <c r="R782">
        <v>3.59</v>
      </c>
      <c r="S782">
        <v>1</v>
      </c>
      <c r="T782" t="b">
        <v>1</v>
      </c>
    </row>
    <row r="783" spans="1:20">
      <c r="A783" t="s">
        <v>81</v>
      </c>
      <c r="B783">
        <v>159</v>
      </c>
      <c r="C783">
        <v>415</v>
      </c>
      <c r="D783" t="s">
        <v>62</v>
      </c>
      <c r="E783" t="s">
        <v>63</v>
      </c>
      <c r="F783">
        <v>15</v>
      </c>
      <c r="G783">
        <v>113.9</v>
      </c>
      <c r="H783">
        <v>102</v>
      </c>
      <c r="I783">
        <v>19.36</v>
      </c>
      <c r="J783">
        <v>145.3</v>
      </c>
      <c r="K783">
        <v>146</v>
      </c>
      <c r="L783">
        <v>12.35</v>
      </c>
      <c r="M783">
        <v>195.2</v>
      </c>
      <c r="N783">
        <v>137</v>
      </c>
      <c r="O783">
        <v>8.78</v>
      </c>
      <c r="P783">
        <v>11.8</v>
      </c>
      <c r="Q783">
        <v>9</v>
      </c>
      <c r="R783">
        <v>3.19</v>
      </c>
      <c r="S783">
        <v>1</v>
      </c>
      <c r="T783" t="b">
        <v>0</v>
      </c>
    </row>
    <row r="784" spans="1:20">
      <c r="A784" t="s">
        <v>61</v>
      </c>
      <c r="B784">
        <v>110</v>
      </c>
      <c r="C784">
        <v>415</v>
      </c>
      <c r="D784" t="s">
        <v>63</v>
      </c>
      <c r="E784" t="s">
        <v>63</v>
      </c>
      <c r="F784">
        <v>27</v>
      </c>
      <c r="G784">
        <v>267.9</v>
      </c>
      <c r="H784">
        <v>103</v>
      </c>
      <c r="I784">
        <v>45.54</v>
      </c>
      <c r="J784">
        <v>263.3</v>
      </c>
      <c r="K784">
        <v>74</v>
      </c>
      <c r="L784">
        <v>22.38</v>
      </c>
      <c r="M784">
        <v>178.1</v>
      </c>
      <c r="N784">
        <v>106</v>
      </c>
      <c r="O784">
        <v>8.01</v>
      </c>
      <c r="P784">
        <v>8.3</v>
      </c>
      <c r="Q784">
        <v>2</v>
      </c>
      <c r="R784">
        <v>2.24</v>
      </c>
      <c r="S784">
        <v>1</v>
      </c>
      <c r="T784" t="b">
        <v>1</v>
      </c>
    </row>
    <row r="785" spans="1:20">
      <c r="A785" t="s">
        <v>104</v>
      </c>
      <c r="B785">
        <v>138</v>
      </c>
      <c r="C785">
        <v>510</v>
      </c>
      <c r="D785" t="s">
        <v>62</v>
      </c>
      <c r="E785" t="s">
        <v>62</v>
      </c>
      <c r="F785">
        <v>0</v>
      </c>
      <c r="G785">
        <v>171.4</v>
      </c>
      <c r="H785">
        <v>117</v>
      </c>
      <c r="I785">
        <v>29.14</v>
      </c>
      <c r="J785">
        <v>115.2</v>
      </c>
      <c r="K785">
        <v>128</v>
      </c>
      <c r="L785">
        <v>9.79</v>
      </c>
      <c r="M785">
        <v>224.5</v>
      </c>
      <c r="N785">
        <v>115</v>
      </c>
      <c r="O785">
        <v>10.1</v>
      </c>
      <c r="P785">
        <v>17</v>
      </c>
      <c r="Q785">
        <v>4</v>
      </c>
      <c r="R785">
        <v>4.59</v>
      </c>
      <c r="S785">
        <v>3</v>
      </c>
      <c r="T785" t="b">
        <v>0</v>
      </c>
    </row>
    <row r="786" spans="1:20">
      <c r="A786" t="s">
        <v>104</v>
      </c>
      <c r="B786">
        <v>178</v>
      </c>
      <c r="C786">
        <v>408</v>
      </c>
      <c r="D786" t="s">
        <v>62</v>
      </c>
      <c r="E786" t="s">
        <v>62</v>
      </c>
      <c r="F786">
        <v>0</v>
      </c>
      <c r="G786">
        <v>275.4</v>
      </c>
      <c r="H786">
        <v>150</v>
      </c>
      <c r="I786">
        <v>46.82</v>
      </c>
      <c r="J786">
        <v>187.5</v>
      </c>
      <c r="K786">
        <v>62</v>
      </c>
      <c r="L786">
        <v>15.94</v>
      </c>
      <c r="M786">
        <v>147.1</v>
      </c>
      <c r="N786">
        <v>126</v>
      </c>
      <c r="O786">
        <v>6.62</v>
      </c>
      <c r="P786">
        <v>13.6</v>
      </c>
      <c r="Q786">
        <v>3</v>
      </c>
      <c r="R786">
        <v>3.67</v>
      </c>
      <c r="S786">
        <v>1</v>
      </c>
      <c r="T786" t="b">
        <v>0</v>
      </c>
    </row>
    <row r="787" spans="1:20">
      <c r="A787" t="s">
        <v>111</v>
      </c>
      <c r="B787">
        <v>38</v>
      </c>
      <c r="C787">
        <v>415</v>
      </c>
      <c r="D787" t="s">
        <v>62</v>
      </c>
      <c r="E787" t="s">
        <v>63</v>
      </c>
      <c r="F787">
        <v>31</v>
      </c>
      <c r="G787">
        <v>197.2</v>
      </c>
      <c r="H787">
        <v>118</v>
      </c>
      <c r="I787">
        <v>33.52</v>
      </c>
      <c r="J787">
        <v>249.9</v>
      </c>
      <c r="K787">
        <v>70</v>
      </c>
      <c r="L787">
        <v>21.24</v>
      </c>
      <c r="M787">
        <v>298.9</v>
      </c>
      <c r="N787">
        <v>104</v>
      </c>
      <c r="O787">
        <v>13.45</v>
      </c>
      <c r="P787">
        <v>3.9</v>
      </c>
      <c r="Q787">
        <v>2</v>
      </c>
      <c r="R787">
        <v>1.05</v>
      </c>
      <c r="S787">
        <v>0</v>
      </c>
      <c r="T787" t="b">
        <v>0</v>
      </c>
    </row>
    <row r="788" spans="1:20">
      <c r="A788" t="s">
        <v>110</v>
      </c>
      <c r="B788">
        <v>45</v>
      </c>
      <c r="C788">
        <v>510</v>
      </c>
      <c r="D788" t="s">
        <v>62</v>
      </c>
      <c r="E788" t="s">
        <v>63</v>
      </c>
      <c r="F788">
        <v>26</v>
      </c>
      <c r="G788">
        <v>91.7</v>
      </c>
      <c r="H788">
        <v>104</v>
      </c>
      <c r="I788">
        <v>15.59</v>
      </c>
      <c r="J788">
        <v>150.6</v>
      </c>
      <c r="K788">
        <v>119</v>
      </c>
      <c r="L788">
        <v>12.8</v>
      </c>
      <c r="M788">
        <v>63.3</v>
      </c>
      <c r="N788">
        <v>103</v>
      </c>
      <c r="O788">
        <v>2.85</v>
      </c>
      <c r="P788">
        <v>7.7</v>
      </c>
      <c r="Q788">
        <v>5</v>
      </c>
      <c r="R788">
        <v>2.08</v>
      </c>
      <c r="S788">
        <v>1</v>
      </c>
      <c r="T788" t="b">
        <v>0</v>
      </c>
    </row>
    <row r="789" spans="1:20">
      <c r="A789" t="s">
        <v>112</v>
      </c>
      <c r="B789">
        <v>70</v>
      </c>
      <c r="C789">
        <v>510</v>
      </c>
      <c r="D789" t="s">
        <v>62</v>
      </c>
      <c r="E789" t="s">
        <v>62</v>
      </c>
      <c r="F789">
        <v>0</v>
      </c>
      <c r="G789">
        <v>126.3</v>
      </c>
      <c r="H789">
        <v>99</v>
      </c>
      <c r="I789">
        <v>21.47</v>
      </c>
      <c r="J789">
        <v>141.6</v>
      </c>
      <c r="K789">
        <v>106</v>
      </c>
      <c r="L789">
        <v>12.04</v>
      </c>
      <c r="M789">
        <v>255.9</v>
      </c>
      <c r="N789">
        <v>96</v>
      </c>
      <c r="O789">
        <v>11.52</v>
      </c>
      <c r="P789">
        <v>9.6</v>
      </c>
      <c r="Q789">
        <v>2</v>
      </c>
      <c r="R789">
        <v>2.59</v>
      </c>
      <c r="S789">
        <v>0</v>
      </c>
      <c r="T789" t="b">
        <v>0</v>
      </c>
    </row>
    <row r="790" spans="1:20">
      <c r="A790" t="s">
        <v>106</v>
      </c>
      <c r="B790">
        <v>147</v>
      </c>
      <c r="C790">
        <v>510</v>
      </c>
      <c r="D790" t="s">
        <v>62</v>
      </c>
      <c r="E790" t="s">
        <v>63</v>
      </c>
      <c r="F790">
        <v>33</v>
      </c>
      <c r="G790">
        <v>251.5</v>
      </c>
      <c r="H790">
        <v>107</v>
      </c>
      <c r="I790">
        <v>42.76</v>
      </c>
      <c r="J790">
        <v>234.1</v>
      </c>
      <c r="K790">
        <v>110</v>
      </c>
      <c r="L790">
        <v>19.9</v>
      </c>
      <c r="M790">
        <v>213.4</v>
      </c>
      <c r="N790">
        <v>87</v>
      </c>
      <c r="O790">
        <v>9.6</v>
      </c>
      <c r="P790">
        <v>10.4</v>
      </c>
      <c r="Q790">
        <v>6</v>
      </c>
      <c r="R790">
        <v>2.81</v>
      </c>
      <c r="S790">
        <v>3</v>
      </c>
      <c r="T790" t="b">
        <v>0</v>
      </c>
    </row>
    <row r="791" spans="1:20">
      <c r="A791" t="s">
        <v>104</v>
      </c>
      <c r="B791">
        <v>94</v>
      </c>
      <c r="C791">
        <v>510</v>
      </c>
      <c r="D791" t="s">
        <v>62</v>
      </c>
      <c r="E791" t="s">
        <v>62</v>
      </c>
      <c r="F791">
        <v>0</v>
      </c>
      <c r="G791">
        <v>190.6</v>
      </c>
      <c r="H791">
        <v>108</v>
      </c>
      <c r="I791">
        <v>32.4</v>
      </c>
      <c r="J791">
        <v>152.3</v>
      </c>
      <c r="K791">
        <v>95</v>
      </c>
      <c r="L791">
        <v>12.95</v>
      </c>
      <c r="M791">
        <v>144.7</v>
      </c>
      <c r="N791">
        <v>97</v>
      </c>
      <c r="O791">
        <v>6.51</v>
      </c>
      <c r="P791">
        <v>7.5</v>
      </c>
      <c r="Q791">
        <v>5</v>
      </c>
      <c r="R791">
        <v>2.03</v>
      </c>
      <c r="S791">
        <v>1</v>
      </c>
      <c r="T791" t="b">
        <v>0</v>
      </c>
    </row>
    <row r="792" spans="1:20">
      <c r="A792" t="s">
        <v>86</v>
      </c>
      <c r="B792">
        <v>179</v>
      </c>
      <c r="C792">
        <v>510</v>
      </c>
      <c r="D792" t="s">
        <v>62</v>
      </c>
      <c r="E792" t="s">
        <v>62</v>
      </c>
      <c r="F792">
        <v>0</v>
      </c>
      <c r="G792">
        <v>116.1</v>
      </c>
      <c r="H792">
        <v>101</v>
      </c>
      <c r="I792">
        <v>19.74</v>
      </c>
      <c r="J792">
        <v>201.8</v>
      </c>
      <c r="K792">
        <v>99</v>
      </c>
      <c r="L792">
        <v>17.15</v>
      </c>
      <c r="M792">
        <v>181.9</v>
      </c>
      <c r="N792">
        <v>103</v>
      </c>
      <c r="O792">
        <v>8.19</v>
      </c>
      <c r="P792">
        <v>11.6</v>
      </c>
      <c r="Q792">
        <v>5</v>
      </c>
      <c r="R792">
        <v>3.13</v>
      </c>
      <c r="S792">
        <v>0</v>
      </c>
      <c r="T792" t="b">
        <v>0</v>
      </c>
    </row>
    <row r="793" spans="1:20">
      <c r="A793" t="s">
        <v>115</v>
      </c>
      <c r="B793">
        <v>59</v>
      </c>
      <c r="C793">
        <v>510</v>
      </c>
      <c r="D793" t="s">
        <v>62</v>
      </c>
      <c r="E793" t="s">
        <v>62</v>
      </c>
      <c r="F793">
        <v>0</v>
      </c>
      <c r="G793">
        <v>179.4</v>
      </c>
      <c r="H793">
        <v>80</v>
      </c>
      <c r="I793">
        <v>30.5</v>
      </c>
      <c r="J793">
        <v>232.5</v>
      </c>
      <c r="K793">
        <v>99</v>
      </c>
      <c r="L793">
        <v>19.76</v>
      </c>
      <c r="M793">
        <v>175.8</v>
      </c>
      <c r="N793">
        <v>105</v>
      </c>
      <c r="O793">
        <v>7.91</v>
      </c>
      <c r="P793">
        <v>14.7</v>
      </c>
      <c r="Q793">
        <v>3</v>
      </c>
      <c r="R793">
        <v>3.97</v>
      </c>
      <c r="S793">
        <v>0</v>
      </c>
      <c r="T793" t="b">
        <v>0</v>
      </c>
    </row>
    <row r="794" spans="1:20">
      <c r="A794" t="s">
        <v>100</v>
      </c>
      <c r="B794">
        <v>165</v>
      </c>
      <c r="C794">
        <v>415</v>
      </c>
      <c r="D794" t="s">
        <v>62</v>
      </c>
      <c r="E794" t="s">
        <v>62</v>
      </c>
      <c r="F794">
        <v>0</v>
      </c>
      <c r="G794">
        <v>207.7</v>
      </c>
      <c r="H794">
        <v>109</v>
      </c>
      <c r="I794">
        <v>35.31</v>
      </c>
      <c r="J794">
        <v>164.8</v>
      </c>
      <c r="K794">
        <v>94</v>
      </c>
      <c r="L794">
        <v>14.01</v>
      </c>
      <c r="M794">
        <v>54.5</v>
      </c>
      <c r="N794">
        <v>91</v>
      </c>
      <c r="O794">
        <v>2.45</v>
      </c>
      <c r="P794">
        <v>7.9</v>
      </c>
      <c r="Q794">
        <v>3</v>
      </c>
      <c r="R794">
        <v>2.13</v>
      </c>
      <c r="S794">
        <v>0</v>
      </c>
      <c r="T794" t="b">
        <v>0</v>
      </c>
    </row>
    <row r="795" spans="1:20">
      <c r="A795" t="s">
        <v>110</v>
      </c>
      <c r="B795">
        <v>133</v>
      </c>
      <c r="C795">
        <v>408</v>
      </c>
      <c r="D795" t="s">
        <v>62</v>
      </c>
      <c r="E795" t="s">
        <v>62</v>
      </c>
      <c r="F795">
        <v>0</v>
      </c>
      <c r="G795">
        <v>277.3</v>
      </c>
      <c r="H795">
        <v>138</v>
      </c>
      <c r="I795">
        <v>47.14</v>
      </c>
      <c r="J795">
        <v>228.4</v>
      </c>
      <c r="K795">
        <v>117</v>
      </c>
      <c r="L795">
        <v>19.41</v>
      </c>
      <c r="M795">
        <v>117.3</v>
      </c>
      <c r="N795">
        <v>103</v>
      </c>
      <c r="O795">
        <v>5.28</v>
      </c>
      <c r="P795">
        <v>12.8</v>
      </c>
      <c r="Q795">
        <v>4</v>
      </c>
      <c r="R795">
        <v>3.46</v>
      </c>
      <c r="S795">
        <v>2</v>
      </c>
      <c r="T795" t="b">
        <v>1</v>
      </c>
    </row>
    <row r="796" spans="1:20">
      <c r="A796" t="s">
        <v>112</v>
      </c>
      <c r="B796">
        <v>140</v>
      </c>
      <c r="C796">
        <v>415</v>
      </c>
      <c r="D796" t="s">
        <v>62</v>
      </c>
      <c r="E796" t="s">
        <v>62</v>
      </c>
      <c r="F796">
        <v>0</v>
      </c>
      <c r="G796">
        <v>125.3</v>
      </c>
      <c r="H796">
        <v>84</v>
      </c>
      <c r="I796">
        <v>21.3</v>
      </c>
      <c r="J796">
        <v>167.6</v>
      </c>
      <c r="K796">
        <v>121</v>
      </c>
      <c r="L796">
        <v>14.25</v>
      </c>
      <c r="M796">
        <v>260.6</v>
      </c>
      <c r="N796">
        <v>94</v>
      </c>
      <c r="O796">
        <v>11.73</v>
      </c>
      <c r="P796">
        <v>8.4</v>
      </c>
      <c r="Q796">
        <v>4</v>
      </c>
      <c r="R796">
        <v>2.27</v>
      </c>
      <c r="S796">
        <v>1</v>
      </c>
      <c r="T796" t="b">
        <v>0</v>
      </c>
    </row>
    <row r="797" spans="1:20">
      <c r="A797" t="s">
        <v>78</v>
      </c>
      <c r="B797">
        <v>93</v>
      </c>
      <c r="C797">
        <v>408</v>
      </c>
      <c r="D797" t="s">
        <v>62</v>
      </c>
      <c r="E797" t="s">
        <v>63</v>
      </c>
      <c r="F797">
        <v>32</v>
      </c>
      <c r="G797">
        <v>138.1</v>
      </c>
      <c r="H797">
        <v>91</v>
      </c>
      <c r="I797">
        <v>23.48</v>
      </c>
      <c r="J797">
        <v>167.3</v>
      </c>
      <c r="K797">
        <v>72</v>
      </c>
      <c r="L797">
        <v>14.22</v>
      </c>
      <c r="M797">
        <v>238.9</v>
      </c>
      <c r="N797">
        <v>115</v>
      </c>
      <c r="O797">
        <v>10.75</v>
      </c>
      <c r="P797">
        <v>6.8</v>
      </c>
      <c r="Q797">
        <v>3</v>
      </c>
      <c r="R797">
        <v>1.84</v>
      </c>
      <c r="S797">
        <v>2</v>
      </c>
      <c r="T797" t="b">
        <v>0</v>
      </c>
    </row>
    <row r="798" spans="1:20">
      <c r="A798" t="s">
        <v>95</v>
      </c>
      <c r="B798">
        <v>64</v>
      </c>
      <c r="C798">
        <v>415</v>
      </c>
      <c r="D798" t="s">
        <v>62</v>
      </c>
      <c r="E798" t="s">
        <v>63</v>
      </c>
      <c r="F798">
        <v>27</v>
      </c>
      <c r="G798">
        <v>201.3</v>
      </c>
      <c r="H798">
        <v>101</v>
      </c>
      <c r="I798">
        <v>34.22</v>
      </c>
      <c r="J798">
        <v>143.8</v>
      </c>
      <c r="K798">
        <v>89</v>
      </c>
      <c r="L798">
        <v>12.22</v>
      </c>
      <c r="M798">
        <v>150.2</v>
      </c>
      <c r="N798">
        <v>127</v>
      </c>
      <c r="O798">
        <v>6.76</v>
      </c>
      <c r="P798">
        <v>12.3</v>
      </c>
      <c r="Q798">
        <v>3</v>
      </c>
      <c r="R798">
        <v>3.32</v>
      </c>
      <c r="S798">
        <v>1</v>
      </c>
      <c r="T798" t="b">
        <v>0</v>
      </c>
    </row>
    <row r="799" spans="1:20">
      <c r="A799" t="s">
        <v>94</v>
      </c>
      <c r="B799">
        <v>48</v>
      </c>
      <c r="C799">
        <v>415</v>
      </c>
      <c r="D799" t="s">
        <v>62</v>
      </c>
      <c r="E799" t="s">
        <v>62</v>
      </c>
      <c r="F799">
        <v>0</v>
      </c>
      <c r="G799">
        <v>190.4</v>
      </c>
      <c r="H799">
        <v>92</v>
      </c>
      <c r="I799">
        <v>32.37</v>
      </c>
      <c r="J799">
        <v>317.5</v>
      </c>
      <c r="K799">
        <v>85</v>
      </c>
      <c r="L799">
        <v>26.99</v>
      </c>
      <c r="M799">
        <v>133.4</v>
      </c>
      <c r="N799">
        <v>113</v>
      </c>
      <c r="O799">
        <v>6</v>
      </c>
      <c r="P799">
        <v>8.3</v>
      </c>
      <c r="Q799">
        <v>4</v>
      </c>
      <c r="R799">
        <v>2.24</v>
      </c>
      <c r="S799">
        <v>2</v>
      </c>
      <c r="T799" t="b">
        <v>0</v>
      </c>
    </row>
    <row r="800" spans="1:20">
      <c r="A800" t="s">
        <v>106</v>
      </c>
      <c r="B800">
        <v>181</v>
      </c>
      <c r="C800">
        <v>408</v>
      </c>
      <c r="D800" t="s">
        <v>62</v>
      </c>
      <c r="E800" t="s">
        <v>62</v>
      </c>
      <c r="F800">
        <v>0</v>
      </c>
      <c r="G800">
        <v>143.3</v>
      </c>
      <c r="H800">
        <v>91</v>
      </c>
      <c r="I800">
        <v>24.36</v>
      </c>
      <c r="J800">
        <v>195.5</v>
      </c>
      <c r="K800">
        <v>58</v>
      </c>
      <c r="L800">
        <v>16.62</v>
      </c>
      <c r="M800">
        <v>223.3</v>
      </c>
      <c r="N800">
        <v>95</v>
      </c>
      <c r="O800">
        <v>10.05</v>
      </c>
      <c r="P800">
        <v>6</v>
      </c>
      <c r="Q800">
        <v>7</v>
      </c>
      <c r="R800">
        <v>1.62</v>
      </c>
      <c r="S800">
        <v>1</v>
      </c>
      <c r="T800" t="b">
        <v>0</v>
      </c>
    </row>
    <row r="801" spans="1:20">
      <c r="A801" t="s">
        <v>69</v>
      </c>
      <c r="B801">
        <v>168</v>
      </c>
      <c r="C801">
        <v>415</v>
      </c>
      <c r="D801" t="s">
        <v>62</v>
      </c>
      <c r="E801" t="s">
        <v>63</v>
      </c>
      <c r="F801">
        <v>42</v>
      </c>
      <c r="G801">
        <v>97.4</v>
      </c>
      <c r="H801">
        <v>57</v>
      </c>
      <c r="I801">
        <v>16.56</v>
      </c>
      <c r="J801">
        <v>203.6</v>
      </c>
      <c r="K801">
        <v>98</v>
      </c>
      <c r="L801">
        <v>17.31</v>
      </c>
      <c r="M801">
        <v>173.9</v>
      </c>
      <c r="N801">
        <v>124</v>
      </c>
      <c r="O801">
        <v>7.83</v>
      </c>
      <c r="P801">
        <v>11.4</v>
      </c>
      <c r="Q801">
        <v>2</v>
      </c>
      <c r="R801">
        <v>3.08</v>
      </c>
      <c r="S801">
        <v>2</v>
      </c>
      <c r="T801" t="b">
        <v>0</v>
      </c>
    </row>
    <row r="802" spans="1:20">
      <c r="A802" t="s">
        <v>81</v>
      </c>
      <c r="B802">
        <v>155</v>
      </c>
      <c r="C802">
        <v>415</v>
      </c>
      <c r="D802" t="s">
        <v>62</v>
      </c>
      <c r="E802" t="s">
        <v>62</v>
      </c>
      <c r="F802">
        <v>0</v>
      </c>
      <c r="G802">
        <v>181.4</v>
      </c>
      <c r="H802">
        <v>111</v>
      </c>
      <c r="I802">
        <v>30.84</v>
      </c>
      <c r="J802">
        <v>167.7</v>
      </c>
      <c r="K802">
        <v>92</v>
      </c>
      <c r="L802">
        <v>14.25</v>
      </c>
      <c r="M802">
        <v>168.5</v>
      </c>
      <c r="N802">
        <v>122</v>
      </c>
      <c r="O802">
        <v>7.58</v>
      </c>
      <c r="P802">
        <v>11.3</v>
      </c>
      <c r="Q802">
        <v>3</v>
      </c>
      <c r="R802">
        <v>3.05</v>
      </c>
      <c r="S802">
        <v>3</v>
      </c>
      <c r="T802" t="b">
        <v>0</v>
      </c>
    </row>
    <row r="803" spans="1:20">
      <c r="A803" t="s">
        <v>106</v>
      </c>
      <c r="B803">
        <v>11</v>
      </c>
      <c r="C803">
        <v>415</v>
      </c>
      <c r="D803" t="s">
        <v>62</v>
      </c>
      <c r="E803" t="s">
        <v>62</v>
      </c>
      <c r="F803">
        <v>0</v>
      </c>
      <c r="G803">
        <v>143.4</v>
      </c>
      <c r="H803">
        <v>130</v>
      </c>
      <c r="I803">
        <v>24.38</v>
      </c>
      <c r="J803">
        <v>289.4</v>
      </c>
      <c r="K803">
        <v>50</v>
      </c>
      <c r="L803">
        <v>24.6</v>
      </c>
      <c r="M803">
        <v>194</v>
      </c>
      <c r="N803">
        <v>100</v>
      </c>
      <c r="O803">
        <v>8.73</v>
      </c>
      <c r="P803">
        <v>9.7</v>
      </c>
      <c r="Q803">
        <v>6</v>
      </c>
      <c r="R803">
        <v>2.62</v>
      </c>
      <c r="S803">
        <v>2</v>
      </c>
      <c r="T803" t="b">
        <v>0</v>
      </c>
    </row>
    <row r="804" spans="1:20">
      <c r="A804" t="s">
        <v>115</v>
      </c>
      <c r="B804">
        <v>182</v>
      </c>
      <c r="C804">
        <v>415</v>
      </c>
      <c r="D804" t="s">
        <v>62</v>
      </c>
      <c r="E804" t="s">
        <v>62</v>
      </c>
      <c r="F804">
        <v>0</v>
      </c>
      <c r="G804">
        <v>104.9</v>
      </c>
      <c r="H804">
        <v>111</v>
      </c>
      <c r="I804">
        <v>17.83</v>
      </c>
      <c r="J804">
        <v>198.5</v>
      </c>
      <c r="K804">
        <v>120</v>
      </c>
      <c r="L804">
        <v>16.87</v>
      </c>
      <c r="M804">
        <v>258.2</v>
      </c>
      <c r="N804">
        <v>91</v>
      </c>
      <c r="O804">
        <v>11.62</v>
      </c>
      <c r="P804">
        <v>8</v>
      </c>
      <c r="Q804">
        <v>5</v>
      </c>
      <c r="R804">
        <v>2.16</v>
      </c>
      <c r="S804">
        <v>2</v>
      </c>
      <c r="T804" t="b">
        <v>0</v>
      </c>
    </row>
    <row r="805" spans="1:20">
      <c r="A805" t="s">
        <v>64</v>
      </c>
      <c r="B805">
        <v>102</v>
      </c>
      <c r="C805">
        <v>415</v>
      </c>
      <c r="D805" t="s">
        <v>62</v>
      </c>
      <c r="E805" t="s">
        <v>62</v>
      </c>
      <c r="F805">
        <v>0</v>
      </c>
      <c r="G805">
        <v>114.8</v>
      </c>
      <c r="H805">
        <v>125</v>
      </c>
      <c r="I805">
        <v>19.52</v>
      </c>
      <c r="J805">
        <v>81.9</v>
      </c>
      <c r="K805">
        <v>126</v>
      </c>
      <c r="L805">
        <v>6.96</v>
      </c>
      <c r="M805">
        <v>304.3</v>
      </c>
      <c r="N805">
        <v>101</v>
      </c>
      <c r="O805">
        <v>13.69</v>
      </c>
      <c r="P805">
        <v>12</v>
      </c>
      <c r="Q805">
        <v>4</v>
      </c>
      <c r="R805">
        <v>3.24</v>
      </c>
      <c r="S805">
        <v>0</v>
      </c>
      <c r="T805" t="b">
        <v>0</v>
      </c>
    </row>
    <row r="806" spans="1:20">
      <c r="A806" t="s">
        <v>67</v>
      </c>
      <c r="B806">
        <v>122</v>
      </c>
      <c r="C806">
        <v>415</v>
      </c>
      <c r="D806" t="s">
        <v>62</v>
      </c>
      <c r="E806" t="s">
        <v>62</v>
      </c>
      <c r="F806">
        <v>0</v>
      </c>
      <c r="G806">
        <v>232.5</v>
      </c>
      <c r="H806">
        <v>96</v>
      </c>
      <c r="I806">
        <v>39.53</v>
      </c>
      <c r="J806">
        <v>205.5</v>
      </c>
      <c r="K806">
        <v>120</v>
      </c>
      <c r="L806">
        <v>17.47</v>
      </c>
      <c r="M806">
        <v>213.7</v>
      </c>
      <c r="N806">
        <v>91</v>
      </c>
      <c r="O806">
        <v>9.62</v>
      </c>
      <c r="P806">
        <v>11.9</v>
      </c>
      <c r="Q806">
        <v>2</v>
      </c>
      <c r="R806">
        <v>3.21</v>
      </c>
      <c r="S806">
        <v>0</v>
      </c>
      <c r="T806" t="b">
        <v>0</v>
      </c>
    </row>
    <row r="807" spans="1:20">
      <c r="A807" t="s">
        <v>111</v>
      </c>
      <c r="B807">
        <v>41</v>
      </c>
      <c r="C807">
        <v>415</v>
      </c>
      <c r="D807" t="s">
        <v>62</v>
      </c>
      <c r="E807" t="s">
        <v>62</v>
      </c>
      <c r="F807">
        <v>0</v>
      </c>
      <c r="G807">
        <v>143.6</v>
      </c>
      <c r="H807">
        <v>117</v>
      </c>
      <c r="I807">
        <v>24.41</v>
      </c>
      <c r="J807">
        <v>152.4</v>
      </c>
      <c r="K807">
        <v>108</v>
      </c>
      <c r="L807">
        <v>12.95</v>
      </c>
      <c r="M807">
        <v>194.4</v>
      </c>
      <c r="N807">
        <v>110</v>
      </c>
      <c r="O807">
        <v>8.75</v>
      </c>
      <c r="P807">
        <v>8.6</v>
      </c>
      <c r="Q807">
        <v>3</v>
      </c>
      <c r="R807">
        <v>2.32</v>
      </c>
      <c r="S807">
        <v>1</v>
      </c>
      <c r="T807" t="b">
        <v>0</v>
      </c>
    </row>
    <row r="808" spans="1:20">
      <c r="A808" t="s">
        <v>89</v>
      </c>
      <c r="B808">
        <v>132</v>
      </c>
      <c r="C808">
        <v>415</v>
      </c>
      <c r="D808" t="s">
        <v>62</v>
      </c>
      <c r="E808" t="s">
        <v>62</v>
      </c>
      <c r="F808">
        <v>0</v>
      </c>
      <c r="G808">
        <v>176.7</v>
      </c>
      <c r="H808">
        <v>132</v>
      </c>
      <c r="I808">
        <v>30.04</v>
      </c>
      <c r="J808">
        <v>244.1</v>
      </c>
      <c r="K808">
        <v>80</v>
      </c>
      <c r="L808">
        <v>20.75</v>
      </c>
      <c r="M808">
        <v>176.3</v>
      </c>
      <c r="N808">
        <v>120</v>
      </c>
      <c r="O808">
        <v>7.93</v>
      </c>
      <c r="P808">
        <v>9.1</v>
      </c>
      <c r="Q808">
        <v>4</v>
      </c>
      <c r="R808">
        <v>2.46</v>
      </c>
      <c r="S808">
        <v>2</v>
      </c>
      <c r="T808" t="b">
        <v>0</v>
      </c>
    </row>
    <row r="809" spans="1:20">
      <c r="A809" t="s">
        <v>85</v>
      </c>
      <c r="B809">
        <v>76</v>
      </c>
      <c r="C809">
        <v>415</v>
      </c>
      <c r="D809" t="s">
        <v>62</v>
      </c>
      <c r="E809" t="s">
        <v>62</v>
      </c>
      <c r="F809">
        <v>0</v>
      </c>
      <c r="G809">
        <v>263.4</v>
      </c>
      <c r="H809">
        <v>148</v>
      </c>
      <c r="I809">
        <v>44.78</v>
      </c>
      <c r="J809">
        <v>230.3</v>
      </c>
      <c r="K809">
        <v>69</v>
      </c>
      <c r="L809">
        <v>19.58</v>
      </c>
      <c r="M809">
        <v>170.6</v>
      </c>
      <c r="N809">
        <v>101</v>
      </c>
      <c r="O809">
        <v>7.68</v>
      </c>
      <c r="P809">
        <v>11.4</v>
      </c>
      <c r="Q809">
        <v>5</v>
      </c>
      <c r="R809">
        <v>3.08</v>
      </c>
      <c r="S809">
        <v>1</v>
      </c>
      <c r="T809" t="b">
        <v>1</v>
      </c>
    </row>
    <row r="810" spans="1:20">
      <c r="A810" t="s">
        <v>114</v>
      </c>
      <c r="B810">
        <v>115</v>
      </c>
      <c r="C810">
        <v>415</v>
      </c>
      <c r="D810" t="s">
        <v>62</v>
      </c>
      <c r="E810" t="s">
        <v>63</v>
      </c>
      <c r="F810">
        <v>33</v>
      </c>
      <c r="G810">
        <v>145</v>
      </c>
      <c r="H810">
        <v>72</v>
      </c>
      <c r="I810">
        <v>24.65</v>
      </c>
      <c r="J810">
        <v>194.5</v>
      </c>
      <c r="K810">
        <v>157</v>
      </c>
      <c r="L810">
        <v>16.53</v>
      </c>
      <c r="M810">
        <v>242.3</v>
      </c>
      <c r="N810">
        <v>138</v>
      </c>
      <c r="O810">
        <v>10.9</v>
      </c>
      <c r="P810">
        <v>14.2</v>
      </c>
      <c r="Q810">
        <v>3</v>
      </c>
      <c r="R810">
        <v>3.83</v>
      </c>
      <c r="S810">
        <v>2</v>
      </c>
      <c r="T810" t="b">
        <v>0</v>
      </c>
    </row>
    <row r="811" spans="1:20">
      <c r="A811" t="s">
        <v>88</v>
      </c>
      <c r="B811">
        <v>154</v>
      </c>
      <c r="C811">
        <v>510</v>
      </c>
      <c r="D811" t="s">
        <v>62</v>
      </c>
      <c r="E811" t="s">
        <v>62</v>
      </c>
      <c r="F811">
        <v>0</v>
      </c>
      <c r="G811">
        <v>166.9</v>
      </c>
      <c r="H811">
        <v>99</v>
      </c>
      <c r="I811">
        <v>28.37</v>
      </c>
      <c r="J811">
        <v>154.9</v>
      </c>
      <c r="K811">
        <v>97</v>
      </c>
      <c r="L811">
        <v>13.17</v>
      </c>
      <c r="M811">
        <v>189.4</v>
      </c>
      <c r="N811">
        <v>89</v>
      </c>
      <c r="O811">
        <v>8.52</v>
      </c>
      <c r="P811">
        <v>7.2</v>
      </c>
      <c r="Q811">
        <v>5</v>
      </c>
      <c r="R811">
        <v>1.94</v>
      </c>
      <c r="S811">
        <v>0</v>
      </c>
      <c r="T811" t="b">
        <v>0</v>
      </c>
    </row>
    <row r="812" spans="1:20">
      <c r="A812" t="s">
        <v>92</v>
      </c>
      <c r="B812">
        <v>100</v>
      </c>
      <c r="C812">
        <v>510</v>
      </c>
      <c r="D812" t="s">
        <v>62</v>
      </c>
      <c r="E812" t="s">
        <v>62</v>
      </c>
      <c r="F812">
        <v>0</v>
      </c>
      <c r="G812">
        <v>142.5</v>
      </c>
      <c r="H812">
        <v>87</v>
      </c>
      <c r="I812">
        <v>24.23</v>
      </c>
      <c r="J812">
        <v>195.7</v>
      </c>
      <c r="K812">
        <v>88</v>
      </c>
      <c r="L812">
        <v>16.63</v>
      </c>
      <c r="M812">
        <v>122.1</v>
      </c>
      <c r="N812">
        <v>117</v>
      </c>
      <c r="O812">
        <v>5.49</v>
      </c>
      <c r="P812">
        <v>7.8</v>
      </c>
      <c r="Q812">
        <v>8</v>
      </c>
      <c r="R812">
        <v>2.11</v>
      </c>
      <c r="S812">
        <v>2</v>
      </c>
      <c r="T812" t="b">
        <v>0</v>
      </c>
    </row>
    <row r="813" spans="1:20">
      <c r="A813" t="s">
        <v>90</v>
      </c>
      <c r="B813">
        <v>146</v>
      </c>
      <c r="C813">
        <v>510</v>
      </c>
      <c r="D813" t="s">
        <v>63</v>
      </c>
      <c r="E813" t="s">
        <v>62</v>
      </c>
      <c r="F813">
        <v>0</v>
      </c>
      <c r="G813">
        <v>133</v>
      </c>
      <c r="H813">
        <v>65</v>
      </c>
      <c r="I813">
        <v>22.61</v>
      </c>
      <c r="J813">
        <v>262.8</v>
      </c>
      <c r="K813">
        <v>93</v>
      </c>
      <c r="L813">
        <v>22.34</v>
      </c>
      <c r="M813">
        <v>214.3</v>
      </c>
      <c r="N813">
        <v>128</v>
      </c>
      <c r="O813">
        <v>9.64</v>
      </c>
      <c r="P813">
        <v>11.2</v>
      </c>
      <c r="Q813">
        <v>3</v>
      </c>
      <c r="R813">
        <v>3.02</v>
      </c>
      <c r="S813">
        <v>1</v>
      </c>
      <c r="T813" t="b">
        <v>0</v>
      </c>
    </row>
    <row r="814" spans="1:20">
      <c r="A814" t="s">
        <v>67</v>
      </c>
      <c r="B814">
        <v>67</v>
      </c>
      <c r="C814">
        <v>415</v>
      </c>
      <c r="D814" t="s">
        <v>62</v>
      </c>
      <c r="E814" t="s">
        <v>63</v>
      </c>
      <c r="F814">
        <v>28</v>
      </c>
      <c r="G814">
        <v>95</v>
      </c>
      <c r="H814">
        <v>94</v>
      </c>
      <c r="I814">
        <v>16.15</v>
      </c>
      <c r="J814">
        <v>291.2</v>
      </c>
      <c r="K814">
        <v>73</v>
      </c>
      <c r="L814">
        <v>24.75</v>
      </c>
      <c r="M814">
        <v>159.6</v>
      </c>
      <c r="N814">
        <v>114</v>
      </c>
      <c r="O814">
        <v>7.18</v>
      </c>
      <c r="P814">
        <v>10</v>
      </c>
      <c r="Q814">
        <v>2</v>
      </c>
      <c r="R814">
        <v>2.7</v>
      </c>
      <c r="S814">
        <v>2</v>
      </c>
      <c r="T814" t="b">
        <v>0</v>
      </c>
    </row>
    <row r="815" spans="1:20">
      <c r="A815" t="s">
        <v>97</v>
      </c>
      <c r="B815">
        <v>161</v>
      </c>
      <c r="C815">
        <v>510</v>
      </c>
      <c r="D815" t="s">
        <v>63</v>
      </c>
      <c r="E815" t="s">
        <v>62</v>
      </c>
      <c r="F815">
        <v>0</v>
      </c>
      <c r="G815">
        <v>194.2</v>
      </c>
      <c r="H815">
        <v>106</v>
      </c>
      <c r="I815">
        <v>33.01</v>
      </c>
      <c r="J815">
        <v>249.4</v>
      </c>
      <c r="K815">
        <v>105</v>
      </c>
      <c r="L815">
        <v>21.2</v>
      </c>
      <c r="M815">
        <v>254.9</v>
      </c>
      <c r="N815">
        <v>129</v>
      </c>
      <c r="O815">
        <v>11.47</v>
      </c>
      <c r="P815">
        <v>12.9</v>
      </c>
      <c r="Q815">
        <v>1</v>
      </c>
      <c r="R815">
        <v>3.48</v>
      </c>
      <c r="S815">
        <v>1</v>
      </c>
      <c r="T815" t="b">
        <v>1</v>
      </c>
    </row>
    <row r="816" spans="1:20">
      <c r="A816" t="s">
        <v>61</v>
      </c>
      <c r="B816">
        <v>70</v>
      </c>
      <c r="C816">
        <v>415</v>
      </c>
      <c r="D816" t="s">
        <v>62</v>
      </c>
      <c r="E816" t="s">
        <v>62</v>
      </c>
      <c r="F816">
        <v>0</v>
      </c>
      <c r="G816">
        <v>222.8</v>
      </c>
      <c r="H816">
        <v>114</v>
      </c>
      <c r="I816">
        <v>37.88</v>
      </c>
      <c r="J816">
        <v>215.9</v>
      </c>
      <c r="K816">
        <v>113</v>
      </c>
      <c r="L816">
        <v>18.35</v>
      </c>
      <c r="M816">
        <v>223.5</v>
      </c>
      <c r="N816">
        <v>122</v>
      </c>
      <c r="O816">
        <v>10.06</v>
      </c>
      <c r="P816">
        <v>0</v>
      </c>
      <c r="Q816">
        <v>0</v>
      </c>
      <c r="R816">
        <v>0</v>
      </c>
      <c r="S816">
        <v>1</v>
      </c>
      <c r="T816" t="b">
        <v>0</v>
      </c>
    </row>
    <row r="817" spans="1:20">
      <c r="A817" t="s">
        <v>79</v>
      </c>
      <c r="B817">
        <v>99</v>
      </c>
      <c r="C817">
        <v>415</v>
      </c>
      <c r="D817" t="s">
        <v>62</v>
      </c>
      <c r="E817" t="s">
        <v>63</v>
      </c>
      <c r="F817">
        <v>42</v>
      </c>
      <c r="G817">
        <v>216</v>
      </c>
      <c r="H817">
        <v>125</v>
      </c>
      <c r="I817">
        <v>36.72</v>
      </c>
      <c r="J817">
        <v>232.3</v>
      </c>
      <c r="K817">
        <v>104</v>
      </c>
      <c r="L817">
        <v>19.75</v>
      </c>
      <c r="M817">
        <v>215.5</v>
      </c>
      <c r="N817">
        <v>100</v>
      </c>
      <c r="O817">
        <v>9.7</v>
      </c>
      <c r="P817">
        <v>9.3</v>
      </c>
      <c r="Q817">
        <v>4</v>
      </c>
      <c r="R817">
        <v>2.51</v>
      </c>
      <c r="S817">
        <v>2</v>
      </c>
      <c r="T817" t="b">
        <v>1</v>
      </c>
    </row>
    <row r="818" spans="1:20">
      <c r="A818" t="s">
        <v>97</v>
      </c>
      <c r="B818">
        <v>87</v>
      </c>
      <c r="C818">
        <v>415</v>
      </c>
      <c r="D818" t="s">
        <v>62</v>
      </c>
      <c r="E818" t="s">
        <v>62</v>
      </c>
      <c r="F818">
        <v>0</v>
      </c>
      <c r="G818">
        <v>146.3</v>
      </c>
      <c r="H818">
        <v>108</v>
      </c>
      <c r="I818">
        <v>24.87</v>
      </c>
      <c r="J818">
        <v>171.8</v>
      </c>
      <c r="K818">
        <v>102</v>
      </c>
      <c r="L818">
        <v>14.6</v>
      </c>
      <c r="M818">
        <v>167.5</v>
      </c>
      <c r="N818">
        <v>66</v>
      </c>
      <c r="O818">
        <v>7.54</v>
      </c>
      <c r="P818">
        <v>5.3</v>
      </c>
      <c r="Q818">
        <v>9</v>
      </c>
      <c r="R818">
        <v>1.43</v>
      </c>
      <c r="S818">
        <v>1</v>
      </c>
      <c r="T818" t="b">
        <v>0</v>
      </c>
    </row>
    <row r="819" spans="1:20">
      <c r="A819" t="s">
        <v>96</v>
      </c>
      <c r="B819">
        <v>87</v>
      </c>
      <c r="C819">
        <v>510</v>
      </c>
      <c r="D819" t="s">
        <v>62</v>
      </c>
      <c r="E819" t="s">
        <v>62</v>
      </c>
      <c r="F819">
        <v>0</v>
      </c>
      <c r="G819">
        <v>234.8</v>
      </c>
      <c r="H819">
        <v>85</v>
      </c>
      <c r="I819">
        <v>39.92</v>
      </c>
      <c r="J819">
        <v>140.9</v>
      </c>
      <c r="K819">
        <v>91</v>
      </c>
      <c r="L819">
        <v>11.98</v>
      </c>
      <c r="M819">
        <v>204.3</v>
      </c>
      <c r="N819">
        <v>93</v>
      </c>
      <c r="O819">
        <v>9.19</v>
      </c>
      <c r="P819">
        <v>9.5</v>
      </c>
      <c r="Q819">
        <v>5</v>
      </c>
      <c r="R819">
        <v>2.57</v>
      </c>
      <c r="S819">
        <v>1</v>
      </c>
      <c r="T819" t="b">
        <v>0</v>
      </c>
    </row>
    <row r="820" spans="1:20">
      <c r="A820" t="s">
        <v>116</v>
      </c>
      <c r="B820">
        <v>70</v>
      </c>
      <c r="C820">
        <v>408</v>
      </c>
      <c r="D820" t="s">
        <v>62</v>
      </c>
      <c r="E820" t="s">
        <v>62</v>
      </c>
      <c r="F820">
        <v>0</v>
      </c>
      <c r="G820">
        <v>198.6</v>
      </c>
      <c r="H820">
        <v>111</v>
      </c>
      <c r="I820">
        <v>33.76</v>
      </c>
      <c r="J820">
        <v>213.9</v>
      </c>
      <c r="K820">
        <v>115</v>
      </c>
      <c r="L820">
        <v>18.18</v>
      </c>
      <c r="M820">
        <v>171.2</v>
      </c>
      <c r="N820">
        <v>105</v>
      </c>
      <c r="O820">
        <v>7.7</v>
      </c>
      <c r="P820">
        <v>10.6</v>
      </c>
      <c r="Q820">
        <v>6</v>
      </c>
      <c r="R820">
        <v>2.86</v>
      </c>
      <c r="S820">
        <v>2</v>
      </c>
      <c r="T820" t="b">
        <v>0</v>
      </c>
    </row>
    <row r="821" spans="1:20">
      <c r="A821" t="s">
        <v>69</v>
      </c>
      <c r="B821">
        <v>119</v>
      </c>
      <c r="C821">
        <v>408</v>
      </c>
      <c r="D821" t="s">
        <v>62</v>
      </c>
      <c r="E821" t="s">
        <v>63</v>
      </c>
      <c r="F821">
        <v>32</v>
      </c>
      <c r="G821">
        <v>142.6</v>
      </c>
      <c r="H821">
        <v>77</v>
      </c>
      <c r="I821">
        <v>24.24</v>
      </c>
      <c r="J821">
        <v>208.2</v>
      </c>
      <c r="K821">
        <v>126</v>
      </c>
      <c r="L821">
        <v>17.7</v>
      </c>
      <c r="M821">
        <v>171</v>
      </c>
      <c r="N821">
        <v>102</v>
      </c>
      <c r="O821">
        <v>7.69</v>
      </c>
      <c r="P821">
        <v>12</v>
      </c>
      <c r="Q821">
        <v>2</v>
      </c>
      <c r="R821">
        <v>3.24</v>
      </c>
      <c r="S821">
        <v>3</v>
      </c>
      <c r="T821" t="b">
        <v>0</v>
      </c>
    </row>
    <row r="822" spans="1:20">
      <c r="A822" t="s">
        <v>73</v>
      </c>
      <c r="B822">
        <v>87</v>
      </c>
      <c r="C822">
        <v>510</v>
      </c>
      <c r="D822" t="s">
        <v>63</v>
      </c>
      <c r="E822" t="s">
        <v>62</v>
      </c>
      <c r="F822">
        <v>0</v>
      </c>
      <c r="G822">
        <v>134.2</v>
      </c>
      <c r="H822">
        <v>80</v>
      </c>
      <c r="I822">
        <v>22.81</v>
      </c>
      <c r="J822">
        <v>165</v>
      </c>
      <c r="K822">
        <v>71</v>
      </c>
      <c r="L822">
        <v>14.03</v>
      </c>
      <c r="M822">
        <v>173.1</v>
      </c>
      <c r="N822">
        <v>102</v>
      </c>
      <c r="O822">
        <v>7.79</v>
      </c>
      <c r="P822">
        <v>10.7</v>
      </c>
      <c r="Q822">
        <v>5</v>
      </c>
      <c r="R822">
        <v>2.89</v>
      </c>
      <c r="S822">
        <v>0</v>
      </c>
      <c r="T822" t="b">
        <v>0</v>
      </c>
    </row>
    <row r="823" spans="1:20">
      <c r="A823" t="s">
        <v>98</v>
      </c>
      <c r="B823">
        <v>112</v>
      </c>
      <c r="C823">
        <v>415</v>
      </c>
      <c r="D823" t="s">
        <v>62</v>
      </c>
      <c r="E823" t="s">
        <v>62</v>
      </c>
      <c r="F823">
        <v>0</v>
      </c>
      <c r="G823">
        <v>111.9</v>
      </c>
      <c r="H823">
        <v>92</v>
      </c>
      <c r="I823">
        <v>19.02</v>
      </c>
      <c r="J823">
        <v>114</v>
      </c>
      <c r="K823">
        <v>143</v>
      </c>
      <c r="L823">
        <v>9.69</v>
      </c>
      <c r="M823">
        <v>146.8</v>
      </c>
      <c r="N823">
        <v>79</v>
      </c>
      <c r="O823">
        <v>6.61</v>
      </c>
      <c r="P823">
        <v>14.1</v>
      </c>
      <c r="Q823">
        <v>3</v>
      </c>
      <c r="R823">
        <v>3.81</v>
      </c>
      <c r="S823">
        <v>5</v>
      </c>
      <c r="T823" t="b">
        <v>1</v>
      </c>
    </row>
    <row r="824" spans="1:20">
      <c r="A824" t="s">
        <v>73</v>
      </c>
      <c r="B824">
        <v>75</v>
      </c>
      <c r="C824">
        <v>415</v>
      </c>
      <c r="D824" t="s">
        <v>62</v>
      </c>
      <c r="E824" t="s">
        <v>62</v>
      </c>
      <c r="F824">
        <v>0</v>
      </c>
      <c r="G824">
        <v>122.8</v>
      </c>
      <c r="H824">
        <v>89</v>
      </c>
      <c r="I824">
        <v>20.88</v>
      </c>
      <c r="J824">
        <v>211.3</v>
      </c>
      <c r="K824">
        <v>104</v>
      </c>
      <c r="L824">
        <v>17.96</v>
      </c>
      <c r="M824">
        <v>261.4</v>
      </c>
      <c r="N824">
        <v>91</v>
      </c>
      <c r="O824">
        <v>11.76</v>
      </c>
      <c r="P824">
        <v>10.7</v>
      </c>
      <c r="Q824">
        <v>2</v>
      </c>
      <c r="R824">
        <v>2.89</v>
      </c>
      <c r="S824">
        <v>2</v>
      </c>
      <c r="T824" t="b">
        <v>0</v>
      </c>
    </row>
    <row r="825" spans="1:20">
      <c r="A825" t="s">
        <v>116</v>
      </c>
      <c r="B825">
        <v>150</v>
      </c>
      <c r="C825">
        <v>510</v>
      </c>
      <c r="D825" t="s">
        <v>62</v>
      </c>
      <c r="E825" t="s">
        <v>62</v>
      </c>
      <c r="F825">
        <v>0</v>
      </c>
      <c r="G825">
        <v>189.3</v>
      </c>
      <c r="H825">
        <v>77</v>
      </c>
      <c r="I825">
        <v>32.18</v>
      </c>
      <c r="J825">
        <v>220.9</v>
      </c>
      <c r="K825">
        <v>105</v>
      </c>
      <c r="L825">
        <v>18.78</v>
      </c>
      <c r="M825">
        <v>238.7</v>
      </c>
      <c r="N825">
        <v>117</v>
      </c>
      <c r="O825">
        <v>10.74</v>
      </c>
      <c r="P825">
        <v>9.2</v>
      </c>
      <c r="Q825">
        <v>5</v>
      </c>
      <c r="R825">
        <v>2.48</v>
      </c>
      <c r="S825">
        <v>4</v>
      </c>
      <c r="T825" t="b">
        <v>0</v>
      </c>
    </row>
    <row r="826" spans="1:20">
      <c r="A826" t="s">
        <v>96</v>
      </c>
      <c r="B826">
        <v>161</v>
      </c>
      <c r="C826">
        <v>510</v>
      </c>
      <c r="D826" t="s">
        <v>62</v>
      </c>
      <c r="E826" t="s">
        <v>63</v>
      </c>
      <c r="F826">
        <v>38</v>
      </c>
      <c r="G826">
        <v>240.4</v>
      </c>
      <c r="H826">
        <v>112</v>
      </c>
      <c r="I826">
        <v>40.87</v>
      </c>
      <c r="J826">
        <v>201.8</v>
      </c>
      <c r="K826">
        <v>102</v>
      </c>
      <c r="L826">
        <v>17.15</v>
      </c>
      <c r="M826">
        <v>206.1</v>
      </c>
      <c r="N826">
        <v>112</v>
      </c>
      <c r="O826">
        <v>9.27</v>
      </c>
      <c r="P826">
        <v>16.1</v>
      </c>
      <c r="Q826">
        <v>6</v>
      </c>
      <c r="R826">
        <v>4.35</v>
      </c>
      <c r="S826">
        <v>0</v>
      </c>
      <c r="T826" t="b">
        <v>0</v>
      </c>
    </row>
    <row r="827" spans="1:20">
      <c r="A827" t="s">
        <v>81</v>
      </c>
      <c r="B827">
        <v>91</v>
      </c>
      <c r="C827">
        <v>510</v>
      </c>
      <c r="D827" t="s">
        <v>63</v>
      </c>
      <c r="E827" t="s">
        <v>63</v>
      </c>
      <c r="F827">
        <v>24</v>
      </c>
      <c r="G827">
        <v>93.5</v>
      </c>
      <c r="H827">
        <v>112</v>
      </c>
      <c r="I827">
        <v>15.9</v>
      </c>
      <c r="J827">
        <v>183.4</v>
      </c>
      <c r="K827">
        <v>128</v>
      </c>
      <c r="L827">
        <v>15.59</v>
      </c>
      <c r="M827">
        <v>240.7</v>
      </c>
      <c r="N827">
        <v>133</v>
      </c>
      <c r="O827">
        <v>10.83</v>
      </c>
      <c r="P827">
        <v>9.9</v>
      </c>
      <c r="Q827">
        <v>3</v>
      </c>
      <c r="R827">
        <v>2.67</v>
      </c>
      <c r="S827">
        <v>0</v>
      </c>
      <c r="T827" t="b">
        <v>0</v>
      </c>
    </row>
    <row r="828" spans="1:20">
      <c r="A828" t="s">
        <v>61</v>
      </c>
      <c r="B828">
        <v>124</v>
      </c>
      <c r="C828">
        <v>415</v>
      </c>
      <c r="D828" t="s">
        <v>62</v>
      </c>
      <c r="E828" t="s">
        <v>62</v>
      </c>
      <c r="F828">
        <v>0</v>
      </c>
      <c r="G828">
        <v>158.6</v>
      </c>
      <c r="H828">
        <v>104</v>
      </c>
      <c r="I828">
        <v>26.96</v>
      </c>
      <c r="J828">
        <v>211.2</v>
      </c>
      <c r="K828">
        <v>77</v>
      </c>
      <c r="L828">
        <v>17.95</v>
      </c>
      <c r="M828">
        <v>179.3</v>
      </c>
      <c r="N828">
        <v>104</v>
      </c>
      <c r="O828">
        <v>8.07</v>
      </c>
      <c r="P828">
        <v>10.2</v>
      </c>
      <c r="Q828">
        <v>8</v>
      </c>
      <c r="R828">
        <v>2.75</v>
      </c>
      <c r="S828">
        <v>3</v>
      </c>
      <c r="T828" t="b">
        <v>0</v>
      </c>
    </row>
    <row r="829" spans="1:20">
      <c r="A829" t="s">
        <v>73</v>
      </c>
      <c r="B829">
        <v>158</v>
      </c>
      <c r="C829">
        <v>510</v>
      </c>
      <c r="D829" t="s">
        <v>62</v>
      </c>
      <c r="E829" t="s">
        <v>62</v>
      </c>
      <c r="F829">
        <v>0</v>
      </c>
      <c r="G829">
        <v>220.9</v>
      </c>
      <c r="H829">
        <v>129</v>
      </c>
      <c r="I829">
        <v>37.55</v>
      </c>
      <c r="J829">
        <v>242.2</v>
      </c>
      <c r="K829">
        <v>108</v>
      </c>
      <c r="L829">
        <v>20.59</v>
      </c>
      <c r="M829">
        <v>233.3</v>
      </c>
      <c r="N829">
        <v>75</v>
      </c>
      <c r="O829">
        <v>10.5</v>
      </c>
      <c r="P829">
        <v>6.4</v>
      </c>
      <c r="Q829">
        <v>5</v>
      </c>
      <c r="R829">
        <v>1.73</v>
      </c>
      <c r="S829">
        <v>0</v>
      </c>
      <c r="T829" t="b">
        <v>0</v>
      </c>
    </row>
    <row r="830" spans="1:20">
      <c r="A830" t="s">
        <v>104</v>
      </c>
      <c r="B830">
        <v>102</v>
      </c>
      <c r="C830">
        <v>415</v>
      </c>
      <c r="D830" t="s">
        <v>62</v>
      </c>
      <c r="E830" t="s">
        <v>62</v>
      </c>
      <c r="F830">
        <v>0</v>
      </c>
      <c r="G830">
        <v>144.4</v>
      </c>
      <c r="H830">
        <v>87</v>
      </c>
      <c r="I830">
        <v>24.55</v>
      </c>
      <c r="J830">
        <v>266.5</v>
      </c>
      <c r="K830">
        <v>128</v>
      </c>
      <c r="L830">
        <v>22.65</v>
      </c>
      <c r="M830">
        <v>217.6</v>
      </c>
      <c r="N830">
        <v>59</v>
      </c>
      <c r="O830">
        <v>9.79</v>
      </c>
      <c r="P830">
        <v>7.1</v>
      </c>
      <c r="Q830">
        <v>7</v>
      </c>
      <c r="R830">
        <v>1.92</v>
      </c>
      <c r="S830">
        <v>0</v>
      </c>
      <c r="T830" t="b">
        <v>0</v>
      </c>
    </row>
    <row r="831" spans="1:20">
      <c r="A831" t="s">
        <v>97</v>
      </c>
      <c r="B831">
        <v>85</v>
      </c>
      <c r="C831">
        <v>510</v>
      </c>
      <c r="D831" t="s">
        <v>62</v>
      </c>
      <c r="E831" t="s">
        <v>62</v>
      </c>
      <c r="F831">
        <v>0</v>
      </c>
      <c r="G831">
        <v>212.3</v>
      </c>
      <c r="H831">
        <v>107</v>
      </c>
      <c r="I831">
        <v>36.09</v>
      </c>
      <c r="J831">
        <v>228.4</v>
      </c>
      <c r="K831">
        <v>103</v>
      </c>
      <c r="L831">
        <v>19.41</v>
      </c>
      <c r="M831">
        <v>163.3</v>
      </c>
      <c r="N831">
        <v>116</v>
      </c>
      <c r="O831">
        <v>7.35</v>
      </c>
      <c r="P831">
        <v>7.7</v>
      </c>
      <c r="Q831">
        <v>3</v>
      </c>
      <c r="R831">
        <v>2.08</v>
      </c>
      <c r="S831">
        <v>0</v>
      </c>
      <c r="T831" t="b">
        <v>0</v>
      </c>
    </row>
    <row r="832" spans="1:20">
      <c r="A832" t="s">
        <v>66</v>
      </c>
      <c r="B832">
        <v>79</v>
      </c>
      <c r="C832">
        <v>510</v>
      </c>
      <c r="D832" t="s">
        <v>62</v>
      </c>
      <c r="E832" t="s">
        <v>62</v>
      </c>
      <c r="F832">
        <v>0</v>
      </c>
      <c r="G832">
        <v>147</v>
      </c>
      <c r="H832">
        <v>72</v>
      </c>
      <c r="I832">
        <v>24.99</v>
      </c>
      <c r="J832">
        <v>165.7</v>
      </c>
      <c r="K832">
        <v>102</v>
      </c>
      <c r="L832">
        <v>14.08</v>
      </c>
      <c r="M832">
        <v>243.2</v>
      </c>
      <c r="N832">
        <v>107</v>
      </c>
      <c r="O832">
        <v>10.94</v>
      </c>
      <c r="P832">
        <v>8.4</v>
      </c>
      <c r="Q832">
        <v>9</v>
      </c>
      <c r="R832">
        <v>2.27</v>
      </c>
      <c r="S832">
        <v>1</v>
      </c>
      <c r="T832" t="b">
        <v>0</v>
      </c>
    </row>
    <row r="833" spans="1:20">
      <c r="A833" t="s">
        <v>102</v>
      </c>
      <c r="B833">
        <v>139</v>
      </c>
      <c r="C833">
        <v>510</v>
      </c>
      <c r="D833" t="s">
        <v>62</v>
      </c>
      <c r="E833" t="s">
        <v>63</v>
      </c>
      <c r="F833">
        <v>25</v>
      </c>
      <c r="G833">
        <v>96.2</v>
      </c>
      <c r="H833">
        <v>112</v>
      </c>
      <c r="I833">
        <v>16.35</v>
      </c>
      <c r="J833">
        <v>178.9</v>
      </c>
      <c r="K833">
        <v>70</v>
      </c>
      <c r="L833">
        <v>15.21</v>
      </c>
      <c r="M833">
        <v>182.1</v>
      </c>
      <c r="N833">
        <v>84</v>
      </c>
      <c r="O833">
        <v>8.19</v>
      </c>
      <c r="P833">
        <v>12.9</v>
      </c>
      <c r="Q833">
        <v>10</v>
      </c>
      <c r="R833">
        <v>3.48</v>
      </c>
      <c r="S833">
        <v>2</v>
      </c>
      <c r="T833" t="b">
        <v>0</v>
      </c>
    </row>
    <row r="834" spans="1:20">
      <c r="A834" t="s">
        <v>100</v>
      </c>
      <c r="B834">
        <v>103</v>
      </c>
      <c r="C834">
        <v>415</v>
      </c>
      <c r="D834" t="s">
        <v>62</v>
      </c>
      <c r="E834" t="s">
        <v>62</v>
      </c>
      <c r="F834">
        <v>0</v>
      </c>
      <c r="G834">
        <v>263.4</v>
      </c>
      <c r="H834">
        <v>118</v>
      </c>
      <c r="I834">
        <v>44.78</v>
      </c>
      <c r="J834">
        <v>179.1</v>
      </c>
      <c r="K834">
        <v>69</v>
      </c>
      <c r="L834">
        <v>15.22</v>
      </c>
      <c r="M834">
        <v>214.7</v>
      </c>
      <c r="N834">
        <v>112</v>
      </c>
      <c r="O834">
        <v>9.66</v>
      </c>
      <c r="P834">
        <v>10.3</v>
      </c>
      <c r="Q834">
        <v>2</v>
      </c>
      <c r="R834">
        <v>2.78</v>
      </c>
      <c r="S834">
        <v>0</v>
      </c>
      <c r="T834" t="b">
        <v>0</v>
      </c>
    </row>
    <row r="835" spans="1:20">
      <c r="A835" t="s">
        <v>94</v>
      </c>
      <c r="B835">
        <v>98</v>
      </c>
      <c r="C835">
        <v>415</v>
      </c>
      <c r="D835" t="s">
        <v>63</v>
      </c>
      <c r="E835" t="s">
        <v>62</v>
      </c>
      <c r="F835">
        <v>0</v>
      </c>
      <c r="G835">
        <v>12.5</v>
      </c>
      <c r="H835">
        <v>67</v>
      </c>
      <c r="I835">
        <v>2.13</v>
      </c>
      <c r="J835">
        <v>256.6</v>
      </c>
      <c r="K835">
        <v>90</v>
      </c>
      <c r="L835">
        <v>21.81</v>
      </c>
      <c r="M835">
        <v>169.4</v>
      </c>
      <c r="N835">
        <v>88</v>
      </c>
      <c r="O835">
        <v>7.62</v>
      </c>
      <c r="P835">
        <v>7.7</v>
      </c>
      <c r="Q835">
        <v>9</v>
      </c>
      <c r="R835">
        <v>2.08</v>
      </c>
      <c r="S835">
        <v>1</v>
      </c>
      <c r="T835" t="b">
        <v>0</v>
      </c>
    </row>
    <row r="836" spans="1:20">
      <c r="A836" t="s">
        <v>87</v>
      </c>
      <c r="B836">
        <v>78</v>
      </c>
      <c r="C836">
        <v>408</v>
      </c>
      <c r="D836" t="s">
        <v>62</v>
      </c>
      <c r="E836" t="s">
        <v>62</v>
      </c>
      <c r="F836">
        <v>0</v>
      </c>
      <c r="G836">
        <v>162.3</v>
      </c>
      <c r="H836">
        <v>116</v>
      </c>
      <c r="I836">
        <v>27.59</v>
      </c>
      <c r="J836">
        <v>192.4</v>
      </c>
      <c r="K836">
        <v>86</v>
      </c>
      <c r="L836">
        <v>16.35</v>
      </c>
      <c r="M836">
        <v>240.6</v>
      </c>
      <c r="N836">
        <v>100</v>
      </c>
      <c r="O836">
        <v>10.83</v>
      </c>
      <c r="P836">
        <v>10.1</v>
      </c>
      <c r="Q836">
        <v>3</v>
      </c>
      <c r="R836">
        <v>2.73</v>
      </c>
      <c r="S836">
        <v>2</v>
      </c>
      <c r="T836" t="b">
        <v>0</v>
      </c>
    </row>
    <row r="837" spans="1:20">
      <c r="A837" t="s">
        <v>90</v>
      </c>
      <c r="B837">
        <v>50</v>
      </c>
      <c r="C837">
        <v>408</v>
      </c>
      <c r="D837" t="s">
        <v>62</v>
      </c>
      <c r="E837" t="s">
        <v>62</v>
      </c>
      <c r="F837">
        <v>0</v>
      </c>
      <c r="G837">
        <v>183.6</v>
      </c>
      <c r="H837">
        <v>107</v>
      </c>
      <c r="I837">
        <v>31.21</v>
      </c>
      <c r="J837">
        <v>58.6</v>
      </c>
      <c r="K837">
        <v>118</v>
      </c>
      <c r="L837">
        <v>4.98</v>
      </c>
      <c r="M837">
        <v>202.6</v>
      </c>
      <c r="N837">
        <v>99</v>
      </c>
      <c r="O837">
        <v>9.12</v>
      </c>
      <c r="P837">
        <v>8.7</v>
      </c>
      <c r="Q837">
        <v>3</v>
      </c>
      <c r="R837">
        <v>2.35</v>
      </c>
      <c r="S837">
        <v>1</v>
      </c>
      <c r="T837" t="b">
        <v>0</v>
      </c>
    </row>
    <row r="838" spans="1:20">
      <c r="A838" t="s">
        <v>71</v>
      </c>
      <c r="B838">
        <v>86</v>
      </c>
      <c r="C838">
        <v>415</v>
      </c>
      <c r="D838" t="s">
        <v>62</v>
      </c>
      <c r="E838" t="s">
        <v>63</v>
      </c>
      <c r="F838">
        <v>38</v>
      </c>
      <c r="G838">
        <v>123</v>
      </c>
      <c r="H838">
        <v>158</v>
      </c>
      <c r="I838">
        <v>20.91</v>
      </c>
      <c r="J838">
        <v>133.9</v>
      </c>
      <c r="K838">
        <v>119</v>
      </c>
      <c r="L838">
        <v>11.38</v>
      </c>
      <c r="M838">
        <v>138.2</v>
      </c>
      <c r="N838">
        <v>103</v>
      </c>
      <c r="O838">
        <v>6.22</v>
      </c>
      <c r="P838">
        <v>13.3</v>
      </c>
      <c r="Q838">
        <v>4</v>
      </c>
      <c r="R838">
        <v>3.59</v>
      </c>
      <c r="S838">
        <v>1</v>
      </c>
      <c r="T838" t="b">
        <v>0</v>
      </c>
    </row>
    <row r="839" spans="1:20">
      <c r="A839" t="s">
        <v>89</v>
      </c>
      <c r="B839">
        <v>92</v>
      </c>
      <c r="C839">
        <v>510</v>
      </c>
      <c r="D839" t="s">
        <v>62</v>
      </c>
      <c r="E839" t="s">
        <v>62</v>
      </c>
      <c r="F839">
        <v>0</v>
      </c>
      <c r="G839">
        <v>208</v>
      </c>
      <c r="H839">
        <v>125</v>
      </c>
      <c r="I839">
        <v>35.36</v>
      </c>
      <c r="J839">
        <v>198.9</v>
      </c>
      <c r="K839">
        <v>76</v>
      </c>
      <c r="L839">
        <v>16.91</v>
      </c>
      <c r="M839">
        <v>76.4</v>
      </c>
      <c r="N839">
        <v>97</v>
      </c>
      <c r="O839">
        <v>3.44</v>
      </c>
      <c r="P839">
        <v>8.6</v>
      </c>
      <c r="Q839">
        <v>6</v>
      </c>
      <c r="R839">
        <v>2.32</v>
      </c>
      <c r="S839">
        <v>0</v>
      </c>
      <c r="T839" t="b">
        <v>0</v>
      </c>
    </row>
    <row r="840" spans="1:20">
      <c r="A840" t="s">
        <v>103</v>
      </c>
      <c r="B840">
        <v>174</v>
      </c>
      <c r="C840">
        <v>415</v>
      </c>
      <c r="D840" t="s">
        <v>62</v>
      </c>
      <c r="E840" t="s">
        <v>62</v>
      </c>
      <c r="F840">
        <v>0</v>
      </c>
      <c r="G840">
        <v>239.2</v>
      </c>
      <c r="H840">
        <v>72</v>
      </c>
      <c r="I840">
        <v>40.66</v>
      </c>
      <c r="J840">
        <v>188.5</v>
      </c>
      <c r="K840">
        <v>124</v>
      </c>
      <c r="L840">
        <v>16.02</v>
      </c>
      <c r="M840">
        <v>105.6</v>
      </c>
      <c r="N840">
        <v>116</v>
      </c>
      <c r="O840">
        <v>4.75</v>
      </c>
      <c r="P840">
        <v>8.8</v>
      </c>
      <c r="Q840">
        <v>3</v>
      </c>
      <c r="R840">
        <v>2.38</v>
      </c>
      <c r="S840">
        <v>1</v>
      </c>
      <c r="T840" t="b">
        <v>0</v>
      </c>
    </row>
    <row r="841" spans="1:20">
      <c r="A841" t="s">
        <v>64</v>
      </c>
      <c r="B841">
        <v>124</v>
      </c>
      <c r="C841">
        <v>510</v>
      </c>
      <c r="D841" t="s">
        <v>62</v>
      </c>
      <c r="E841" t="s">
        <v>62</v>
      </c>
      <c r="F841">
        <v>0</v>
      </c>
      <c r="G841">
        <v>193</v>
      </c>
      <c r="H841">
        <v>97</v>
      </c>
      <c r="I841">
        <v>32.81</v>
      </c>
      <c r="J841">
        <v>89.8</v>
      </c>
      <c r="K841">
        <v>99</v>
      </c>
      <c r="L841">
        <v>7.63</v>
      </c>
      <c r="M841">
        <v>172.8</v>
      </c>
      <c r="N841">
        <v>104</v>
      </c>
      <c r="O841">
        <v>7.78</v>
      </c>
      <c r="P841">
        <v>15.3</v>
      </c>
      <c r="Q841">
        <v>3</v>
      </c>
      <c r="R841">
        <v>4.13</v>
      </c>
      <c r="S841">
        <v>1</v>
      </c>
      <c r="T841" t="b">
        <v>0</v>
      </c>
    </row>
    <row r="842" spans="1:20">
      <c r="A842" t="s">
        <v>73</v>
      </c>
      <c r="B842">
        <v>190</v>
      </c>
      <c r="C842">
        <v>415</v>
      </c>
      <c r="D842" t="s">
        <v>62</v>
      </c>
      <c r="E842" t="s">
        <v>63</v>
      </c>
      <c r="F842">
        <v>26</v>
      </c>
      <c r="G842">
        <v>116.7</v>
      </c>
      <c r="H842">
        <v>71</v>
      </c>
      <c r="I842">
        <v>19.84</v>
      </c>
      <c r="J842">
        <v>145.9</v>
      </c>
      <c r="K842">
        <v>88</v>
      </c>
      <c r="L842">
        <v>12.4</v>
      </c>
      <c r="M842">
        <v>175.1</v>
      </c>
      <c r="N842">
        <v>103</v>
      </c>
      <c r="O842">
        <v>7.88</v>
      </c>
      <c r="P842">
        <v>9.9</v>
      </c>
      <c r="Q842">
        <v>3</v>
      </c>
      <c r="R842">
        <v>2.67</v>
      </c>
      <c r="S842">
        <v>1</v>
      </c>
      <c r="T842" t="b">
        <v>0</v>
      </c>
    </row>
    <row r="843" spans="1:20">
      <c r="A843" t="s">
        <v>114</v>
      </c>
      <c r="B843">
        <v>101</v>
      </c>
      <c r="C843">
        <v>510</v>
      </c>
      <c r="D843" t="s">
        <v>62</v>
      </c>
      <c r="E843" t="s">
        <v>62</v>
      </c>
      <c r="F843">
        <v>0</v>
      </c>
      <c r="G843">
        <v>93.8</v>
      </c>
      <c r="H843">
        <v>127</v>
      </c>
      <c r="I843">
        <v>15.95</v>
      </c>
      <c r="J843">
        <v>150</v>
      </c>
      <c r="K843">
        <v>104</v>
      </c>
      <c r="L843">
        <v>12.75</v>
      </c>
      <c r="M843">
        <v>241.1</v>
      </c>
      <c r="N843">
        <v>116</v>
      </c>
      <c r="O843">
        <v>10.85</v>
      </c>
      <c r="P843">
        <v>10.7</v>
      </c>
      <c r="Q843">
        <v>2</v>
      </c>
      <c r="R843">
        <v>2.89</v>
      </c>
      <c r="S843">
        <v>1</v>
      </c>
      <c r="T843" t="b">
        <v>0</v>
      </c>
    </row>
    <row r="844" spans="1:20">
      <c r="A844" t="s">
        <v>85</v>
      </c>
      <c r="B844">
        <v>185</v>
      </c>
      <c r="C844">
        <v>415</v>
      </c>
      <c r="D844" t="s">
        <v>63</v>
      </c>
      <c r="E844" t="s">
        <v>63</v>
      </c>
      <c r="F844">
        <v>30</v>
      </c>
      <c r="G844">
        <v>154.1</v>
      </c>
      <c r="H844">
        <v>114</v>
      </c>
      <c r="I844">
        <v>26.2</v>
      </c>
      <c r="J844">
        <v>118.7</v>
      </c>
      <c r="K844">
        <v>106</v>
      </c>
      <c r="L844">
        <v>10.09</v>
      </c>
      <c r="M844">
        <v>258.4</v>
      </c>
      <c r="N844">
        <v>105</v>
      </c>
      <c r="O844">
        <v>11.63</v>
      </c>
      <c r="P844">
        <v>12.9</v>
      </c>
      <c r="Q844">
        <v>3</v>
      </c>
      <c r="R844">
        <v>3.48</v>
      </c>
      <c r="S844">
        <v>2</v>
      </c>
      <c r="T844" t="b">
        <v>0</v>
      </c>
    </row>
    <row r="845" spans="1:20">
      <c r="A845" t="s">
        <v>106</v>
      </c>
      <c r="B845">
        <v>68</v>
      </c>
      <c r="C845">
        <v>415</v>
      </c>
      <c r="D845" t="s">
        <v>62</v>
      </c>
      <c r="E845" t="s">
        <v>63</v>
      </c>
      <c r="F845">
        <v>29</v>
      </c>
      <c r="G845">
        <v>239.5</v>
      </c>
      <c r="H845">
        <v>82</v>
      </c>
      <c r="I845">
        <v>40.72</v>
      </c>
      <c r="J845">
        <v>203.8</v>
      </c>
      <c r="K845">
        <v>105</v>
      </c>
      <c r="L845">
        <v>17.32</v>
      </c>
      <c r="M845">
        <v>167.8</v>
      </c>
      <c r="N845">
        <v>70</v>
      </c>
      <c r="O845">
        <v>7.55</v>
      </c>
      <c r="P845">
        <v>9.9</v>
      </c>
      <c r="Q845">
        <v>6</v>
      </c>
      <c r="R845">
        <v>2.67</v>
      </c>
      <c r="S845">
        <v>0</v>
      </c>
      <c r="T845" t="b">
        <v>0</v>
      </c>
    </row>
    <row r="846" spans="1:20">
      <c r="A846" t="s">
        <v>61</v>
      </c>
      <c r="B846">
        <v>117</v>
      </c>
      <c r="C846">
        <v>510</v>
      </c>
      <c r="D846" t="s">
        <v>62</v>
      </c>
      <c r="E846" t="s">
        <v>63</v>
      </c>
      <c r="F846">
        <v>25</v>
      </c>
      <c r="G846">
        <v>216</v>
      </c>
      <c r="H846">
        <v>140</v>
      </c>
      <c r="I846">
        <v>36.72</v>
      </c>
      <c r="J846">
        <v>224.1</v>
      </c>
      <c r="K846">
        <v>69</v>
      </c>
      <c r="L846">
        <v>19.05</v>
      </c>
      <c r="M846">
        <v>267.9</v>
      </c>
      <c r="N846">
        <v>112</v>
      </c>
      <c r="O846">
        <v>12.06</v>
      </c>
      <c r="P846">
        <v>11.8</v>
      </c>
      <c r="Q846">
        <v>4</v>
      </c>
      <c r="R846">
        <v>3.19</v>
      </c>
      <c r="S846">
        <v>0</v>
      </c>
      <c r="T846" t="b">
        <v>0</v>
      </c>
    </row>
    <row r="847" spans="1:20">
      <c r="A847" t="s">
        <v>88</v>
      </c>
      <c r="B847">
        <v>118</v>
      </c>
      <c r="C847">
        <v>408</v>
      </c>
      <c r="D847" t="s">
        <v>62</v>
      </c>
      <c r="E847" t="s">
        <v>62</v>
      </c>
      <c r="F847">
        <v>0</v>
      </c>
      <c r="G847">
        <v>187.4</v>
      </c>
      <c r="H847">
        <v>97</v>
      </c>
      <c r="I847">
        <v>31.86</v>
      </c>
      <c r="J847">
        <v>177.8</v>
      </c>
      <c r="K847">
        <v>89</v>
      </c>
      <c r="L847">
        <v>15.11</v>
      </c>
      <c r="M847">
        <v>233.4</v>
      </c>
      <c r="N847">
        <v>97</v>
      </c>
      <c r="O847">
        <v>10.5</v>
      </c>
      <c r="P847">
        <v>12.2</v>
      </c>
      <c r="Q847">
        <v>6</v>
      </c>
      <c r="R847">
        <v>3.29</v>
      </c>
      <c r="S847">
        <v>1</v>
      </c>
      <c r="T847" t="b">
        <v>0</v>
      </c>
    </row>
    <row r="848" spans="1:20">
      <c r="A848" t="s">
        <v>113</v>
      </c>
      <c r="B848">
        <v>124</v>
      </c>
      <c r="C848">
        <v>415</v>
      </c>
      <c r="D848" t="s">
        <v>62</v>
      </c>
      <c r="E848" t="s">
        <v>62</v>
      </c>
      <c r="F848">
        <v>0</v>
      </c>
      <c r="G848">
        <v>167.4</v>
      </c>
      <c r="H848">
        <v>119</v>
      </c>
      <c r="I848">
        <v>28.46</v>
      </c>
      <c r="J848">
        <v>233.2</v>
      </c>
      <c r="K848">
        <v>143</v>
      </c>
      <c r="L848">
        <v>19.82</v>
      </c>
      <c r="M848">
        <v>109.6</v>
      </c>
      <c r="N848">
        <v>115</v>
      </c>
      <c r="O848">
        <v>4.93</v>
      </c>
      <c r="P848">
        <v>10.3</v>
      </c>
      <c r="Q848">
        <v>5</v>
      </c>
      <c r="R848">
        <v>2.78</v>
      </c>
      <c r="S848">
        <v>0</v>
      </c>
      <c r="T848" t="b">
        <v>0</v>
      </c>
    </row>
    <row r="849" spans="1:20">
      <c r="A849" t="s">
        <v>104</v>
      </c>
      <c r="B849">
        <v>22</v>
      </c>
      <c r="C849">
        <v>510</v>
      </c>
      <c r="D849" t="s">
        <v>62</v>
      </c>
      <c r="E849" t="s">
        <v>62</v>
      </c>
      <c r="F849">
        <v>0</v>
      </c>
      <c r="G849">
        <v>160.4</v>
      </c>
      <c r="H849">
        <v>108</v>
      </c>
      <c r="I849">
        <v>27.27</v>
      </c>
      <c r="J849">
        <v>218.1</v>
      </c>
      <c r="K849">
        <v>88</v>
      </c>
      <c r="L849">
        <v>18.54</v>
      </c>
      <c r="M849">
        <v>192.9</v>
      </c>
      <c r="N849">
        <v>115</v>
      </c>
      <c r="O849">
        <v>8.68</v>
      </c>
      <c r="P849">
        <v>12.5</v>
      </c>
      <c r="Q849">
        <v>4</v>
      </c>
      <c r="R849">
        <v>3.38</v>
      </c>
      <c r="S849">
        <v>1</v>
      </c>
      <c r="T849" t="b">
        <v>0</v>
      </c>
    </row>
    <row r="850" spans="1:20">
      <c r="A850" t="s">
        <v>102</v>
      </c>
      <c r="B850">
        <v>75</v>
      </c>
      <c r="C850">
        <v>415</v>
      </c>
      <c r="D850" t="s">
        <v>62</v>
      </c>
      <c r="E850" t="s">
        <v>62</v>
      </c>
      <c r="F850">
        <v>0</v>
      </c>
      <c r="G850">
        <v>143.2</v>
      </c>
      <c r="H850">
        <v>92</v>
      </c>
      <c r="I850">
        <v>24.34</v>
      </c>
      <c r="J850">
        <v>209.1</v>
      </c>
      <c r="K850">
        <v>142</v>
      </c>
      <c r="L850">
        <v>17.77</v>
      </c>
      <c r="M850">
        <v>173</v>
      </c>
      <c r="N850">
        <v>96</v>
      </c>
      <c r="O850">
        <v>7.79</v>
      </c>
      <c r="P850">
        <v>11.9</v>
      </c>
      <c r="Q850">
        <v>9</v>
      </c>
      <c r="R850">
        <v>3.21</v>
      </c>
      <c r="S850">
        <v>1</v>
      </c>
      <c r="T850" t="b">
        <v>0</v>
      </c>
    </row>
    <row r="851" spans="1:20">
      <c r="A851" t="s">
        <v>69</v>
      </c>
      <c r="B851">
        <v>164</v>
      </c>
      <c r="C851">
        <v>408</v>
      </c>
      <c r="D851" t="s">
        <v>62</v>
      </c>
      <c r="E851" t="s">
        <v>63</v>
      </c>
      <c r="F851">
        <v>25</v>
      </c>
      <c r="G851">
        <v>219.1</v>
      </c>
      <c r="H851">
        <v>88</v>
      </c>
      <c r="I851">
        <v>37.25</v>
      </c>
      <c r="J851">
        <v>151.5</v>
      </c>
      <c r="K851">
        <v>99</v>
      </c>
      <c r="L851">
        <v>12.88</v>
      </c>
      <c r="M851">
        <v>50.1</v>
      </c>
      <c r="N851">
        <v>60</v>
      </c>
      <c r="O851">
        <v>2.25</v>
      </c>
      <c r="P851">
        <v>14.3</v>
      </c>
      <c r="Q851">
        <v>6</v>
      </c>
      <c r="R851">
        <v>3.86</v>
      </c>
      <c r="S851">
        <v>1</v>
      </c>
      <c r="T851" t="b">
        <v>0</v>
      </c>
    </row>
    <row r="852" spans="1:20">
      <c r="A852" t="s">
        <v>108</v>
      </c>
      <c r="B852">
        <v>177</v>
      </c>
      <c r="C852">
        <v>415</v>
      </c>
      <c r="D852" t="s">
        <v>62</v>
      </c>
      <c r="E852" t="s">
        <v>62</v>
      </c>
      <c r="F852">
        <v>0</v>
      </c>
      <c r="G852">
        <v>232.8</v>
      </c>
      <c r="H852">
        <v>106</v>
      </c>
      <c r="I852">
        <v>39.58</v>
      </c>
      <c r="J852">
        <v>175.2</v>
      </c>
      <c r="K852">
        <v>97</v>
      </c>
      <c r="L852">
        <v>14.89</v>
      </c>
      <c r="M852">
        <v>212.2</v>
      </c>
      <c r="N852">
        <v>77</v>
      </c>
      <c r="O852">
        <v>9.55</v>
      </c>
      <c r="P852">
        <v>12.5</v>
      </c>
      <c r="Q852">
        <v>7</v>
      </c>
      <c r="R852">
        <v>3.38</v>
      </c>
      <c r="S852">
        <v>2</v>
      </c>
      <c r="T852" t="b">
        <v>0</v>
      </c>
    </row>
    <row r="853" spans="1:20">
      <c r="A853" t="s">
        <v>87</v>
      </c>
      <c r="B853">
        <v>110</v>
      </c>
      <c r="C853">
        <v>408</v>
      </c>
      <c r="D853" t="s">
        <v>62</v>
      </c>
      <c r="E853" t="s">
        <v>62</v>
      </c>
      <c r="F853">
        <v>0</v>
      </c>
      <c r="G853">
        <v>162</v>
      </c>
      <c r="H853">
        <v>81</v>
      </c>
      <c r="I853">
        <v>27.54</v>
      </c>
      <c r="J853">
        <v>247.5</v>
      </c>
      <c r="K853">
        <v>89</v>
      </c>
      <c r="L853">
        <v>21.04</v>
      </c>
      <c r="M853">
        <v>155.5</v>
      </c>
      <c r="N853">
        <v>99</v>
      </c>
      <c r="O853">
        <v>7</v>
      </c>
      <c r="P853">
        <v>8.9</v>
      </c>
      <c r="Q853">
        <v>8</v>
      </c>
      <c r="R853">
        <v>2.4</v>
      </c>
      <c r="S853">
        <v>0</v>
      </c>
      <c r="T853" t="b">
        <v>0</v>
      </c>
    </row>
    <row r="854" spans="1:20">
      <c r="A854" t="s">
        <v>102</v>
      </c>
      <c r="B854">
        <v>158</v>
      </c>
      <c r="C854">
        <v>408</v>
      </c>
      <c r="D854" t="s">
        <v>62</v>
      </c>
      <c r="E854" t="s">
        <v>62</v>
      </c>
      <c r="F854">
        <v>0</v>
      </c>
      <c r="G854">
        <v>209.9</v>
      </c>
      <c r="H854">
        <v>112</v>
      </c>
      <c r="I854">
        <v>35.68</v>
      </c>
      <c r="J854">
        <v>221.3</v>
      </c>
      <c r="K854">
        <v>82</v>
      </c>
      <c r="L854">
        <v>18.81</v>
      </c>
      <c r="M854">
        <v>210</v>
      </c>
      <c r="N854">
        <v>93</v>
      </c>
      <c r="O854">
        <v>9.45</v>
      </c>
      <c r="P854">
        <v>8.2</v>
      </c>
      <c r="Q854">
        <v>3</v>
      </c>
      <c r="R854">
        <v>2.21</v>
      </c>
      <c r="S854">
        <v>1</v>
      </c>
      <c r="T854" t="b">
        <v>0</v>
      </c>
    </row>
    <row r="855" spans="1:20">
      <c r="A855" t="s">
        <v>64</v>
      </c>
      <c r="B855">
        <v>114</v>
      </c>
      <c r="C855">
        <v>415</v>
      </c>
      <c r="D855" t="s">
        <v>62</v>
      </c>
      <c r="E855" t="s">
        <v>62</v>
      </c>
      <c r="F855">
        <v>0</v>
      </c>
      <c r="G855">
        <v>191.5</v>
      </c>
      <c r="H855">
        <v>88</v>
      </c>
      <c r="I855">
        <v>32.56</v>
      </c>
      <c r="J855">
        <v>175.2</v>
      </c>
      <c r="K855">
        <v>78</v>
      </c>
      <c r="L855">
        <v>14.89</v>
      </c>
      <c r="M855">
        <v>220.3</v>
      </c>
      <c r="N855">
        <v>118</v>
      </c>
      <c r="O855">
        <v>9.91</v>
      </c>
      <c r="P855">
        <v>0</v>
      </c>
      <c r="Q855">
        <v>0</v>
      </c>
      <c r="R855">
        <v>0</v>
      </c>
      <c r="S855">
        <v>0</v>
      </c>
      <c r="T855" t="b">
        <v>0</v>
      </c>
    </row>
    <row r="856" spans="1:20">
      <c r="A856" t="s">
        <v>100</v>
      </c>
      <c r="B856">
        <v>64</v>
      </c>
      <c r="C856">
        <v>408</v>
      </c>
      <c r="D856" t="s">
        <v>62</v>
      </c>
      <c r="E856" t="s">
        <v>63</v>
      </c>
      <c r="F856">
        <v>19</v>
      </c>
      <c r="G856">
        <v>291.1</v>
      </c>
      <c r="H856">
        <v>150</v>
      </c>
      <c r="I856">
        <v>49.49</v>
      </c>
      <c r="J856">
        <v>226.7</v>
      </c>
      <c r="K856">
        <v>123</v>
      </c>
      <c r="L856">
        <v>19.27</v>
      </c>
      <c r="M856">
        <v>219.1</v>
      </c>
      <c r="N856">
        <v>67</v>
      </c>
      <c r="O856">
        <v>9.86</v>
      </c>
      <c r="P856">
        <v>7.5</v>
      </c>
      <c r="Q856">
        <v>2</v>
      </c>
      <c r="R856">
        <v>2.03</v>
      </c>
      <c r="S856">
        <v>1</v>
      </c>
      <c r="T856" t="b">
        <v>0</v>
      </c>
    </row>
    <row r="857" spans="1:20">
      <c r="A857" t="s">
        <v>107</v>
      </c>
      <c r="B857">
        <v>111</v>
      </c>
      <c r="C857">
        <v>415</v>
      </c>
      <c r="D857" t="s">
        <v>62</v>
      </c>
      <c r="E857" t="s">
        <v>62</v>
      </c>
      <c r="F857">
        <v>0</v>
      </c>
      <c r="G857">
        <v>255.9</v>
      </c>
      <c r="H857">
        <v>97</v>
      </c>
      <c r="I857">
        <v>43.5</v>
      </c>
      <c r="J857">
        <v>204.1</v>
      </c>
      <c r="K857">
        <v>129</v>
      </c>
      <c r="L857">
        <v>17.35</v>
      </c>
      <c r="M857">
        <v>171.3</v>
      </c>
      <c r="N857">
        <v>84</v>
      </c>
      <c r="O857">
        <v>7.71</v>
      </c>
      <c r="P857">
        <v>12.3</v>
      </c>
      <c r="Q857">
        <v>5</v>
      </c>
      <c r="R857">
        <v>3.32</v>
      </c>
      <c r="S857">
        <v>3</v>
      </c>
      <c r="T857" t="b">
        <v>0</v>
      </c>
    </row>
    <row r="858" spans="1:20">
      <c r="A858" t="s">
        <v>76</v>
      </c>
      <c r="B858">
        <v>60</v>
      </c>
      <c r="C858">
        <v>408</v>
      </c>
      <c r="D858" t="s">
        <v>62</v>
      </c>
      <c r="E858" t="s">
        <v>62</v>
      </c>
      <c r="F858">
        <v>0</v>
      </c>
      <c r="G858">
        <v>252.7</v>
      </c>
      <c r="H858">
        <v>97</v>
      </c>
      <c r="I858">
        <v>42.96</v>
      </c>
      <c r="J858">
        <v>221.1</v>
      </c>
      <c r="K858">
        <v>121</v>
      </c>
      <c r="L858">
        <v>18.79</v>
      </c>
      <c r="M858">
        <v>109.9</v>
      </c>
      <c r="N858">
        <v>100</v>
      </c>
      <c r="O858">
        <v>4.95</v>
      </c>
      <c r="P858">
        <v>12.4</v>
      </c>
      <c r="Q858">
        <v>4</v>
      </c>
      <c r="R858">
        <v>3.35</v>
      </c>
      <c r="S858">
        <v>2</v>
      </c>
      <c r="T858" t="b">
        <v>0</v>
      </c>
    </row>
    <row r="859" spans="1:20">
      <c r="A859" t="s">
        <v>65</v>
      </c>
      <c r="B859">
        <v>113</v>
      </c>
      <c r="C859">
        <v>408</v>
      </c>
      <c r="D859" t="s">
        <v>62</v>
      </c>
      <c r="E859" t="s">
        <v>62</v>
      </c>
      <c r="F859">
        <v>0</v>
      </c>
      <c r="G859">
        <v>132.1</v>
      </c>
      <c r="H859">
        <v>72</v>
      </c>
      <c r="I859">
        <v>22.46</v>
      </c>
      <c r="J859">
        <v>247.5</v>
      </c>
      <c r="K859">
        <v>107</v>
      </c>
      <c r="L859">
        <v>21.04</v>
      </c>
      <c r="M859">
        <v>246.2</v>
      </c>
      <c r="N859">
        <v>123</v>
      </c>
      <c r="O859">
        <v>11.08</v>
      </c>
      <c r="P859">
        <v>6.9</v>
      </c>
      <c r="Q859">
        <v>6</v>
      </c>
      <c r="R859">
        <v>1.86</v>
      </c>
      <c r="S859">
        <v>3</v>
      </c>
      <c r="T859" t="b">
        <v>0</v>
      </c>
    </row>
    <row r="860" spans="1:20">
      <c r="A860" t="s">
        <v>81</v>
      </c>
      <c r="B860">
        <v>109</v>
      </c>
      <c r="C860">
        <v>408</v>
      </c>
      <c r="D860" t="s">
        <v>62</v>
      </c>
      <c r="E860" t="s">
        <v>62</v>
      </c>
      <c r="F860">
        <v>0</v>
      </c>
      <c r="G860">
        <v>217</v>
      </c>
      <c r="H860">
        <v>115</v>
      </c>
      <c r="I860">
        <v>36.89</v>
      </c>
      <c r="J860">
        <v>207</v>
      </c>
      <c r="K860">
        <v>142</v>
      </c>
      <c r="L860">
        <v>17.6</v>
      </c>
      <c r="M860">
        <v>268</v>
      </c>
      <c r="N860">
        <v>106</v>
      </c>
      <c r="O860">
        <v>12.06</v>
      </c>
      <c r="P860">
        <v>8.2</v>
      </c>
      <c r="Q860">
        <v>4</v>
      </c>
      <c r="R860">
        <v>2.21</v>
      </c>
      <c r="S860">
        <v>1</v>
      </c>
      <c r="T860" t="b">
        <v>0</v>
      </c>
    </row>
    <row r="861" spans="1:20">
      <c r="A861" t="s">
        <v>96</v>
      </c>
      <c r="B861">
        <v>105</v>
      </c>
      <c r="C861">
        <v>510</v>
      </c>
      <c r="D861" t="s">
        <v>62</v>
      </c>
      <c r="E861" t="s">
        <v>63</v>
      </c>
      <c r="F861">
        <v>42</v>
      </c>
      <c r="G861">
        <v>101.9</v>
      </c>
      <c r="H861">
        <v>79</v>
      </c>
      <c r="I861">
        <v>17.32</v>
      </c>
      <c r="J861">
        <v>223.1</v>
      </c>
      <c r="K861">
        <v>97</v>
      </c>
      <c r="L861">
        <v>18.96</v>
      </c>
      <c r="M861">
        <v>241.6</v>
      </c>
      <c r="N861">
        <v>77</v>
      </c>
      <c r="O861">
        <v>10.87</v>
      </c>
      <c r="P861">
        <v>12.9</v>
      </c>
      <c r="Q861">
        <v>2</v>
      </c>
      <c r="R861">
        <v>3.48</v>
      </c>
      <c r="S861">
        <v>0</v>
      </c>
      <c r="T861" t="b">
        <v>0</v>
      </c>
    </row>
    <row r="862" spans="1:20">
      <c r="A862" t="s">
        <v>95</v>
      </c>
      <c r="B862">
        <v>85</v>
      </c>
      <c r="C862">
        <v>510</v>
      </c>
      <c r="D862" t="s">
        <v>62</v>
      </c>
      <c r="E862" t="s">
        <v>62</v>
      </c>
      <c r="F862">
        <v>0</v>
      </c>
      <c r="G862">
        <v>211.5</v>
      </c>
      <c r="H862">
        <v>100</v>
      </c>
      <c r="I862">
        <v>35.96</v>
      </c>
      <c r="J862">
        <v>184.6</v>
      </c>
      <c r="K862">
        <v>88</v>
      </c>
      <c r="L862">
        <v>15.69</v>
      </c>
      <c r="M862">
        <v>164.3</v>
      </c>
      <c r="N862">
        <v>131</v>
      </c>
      <c r="O862">
        <v>7.39</v>
      </c>
      <c r="P862">
        <v>13.3</v>
      </c>
      <c r="Q862">
        <v>4</v>
      </c>
      <c r="R862">
        <v>3.59</v>
      </c>
      <c r="S862">
        <v>2</v>
      </c>
      <c r="T862" t="b">
        <v>0</v>
      </c>
    </row>
    <row r="863" spans="1:20">
      <c r="A863" t="s">
        <v>67</v>
      </c>
      <c r="B863">
        <v>131</v>
      </c>
      <c r="C863">
        <v>510</v>
      </c>
      <c r="D863" t="s">
        <v>62</v>
      </c>
      <c r="E863" t="s">
        <v>62</v>
      </c>
      <c r="F863">
        <v>0</v>
      </c>
      <c r="G863">
        <v>153.4</v>
      </c>
      <c r="H863">
        <v>86</v>
      </c>
      <c r="I863">
        <v>26.08</v>
      </c>
      <c r="J863">
        <v>198.5</v>
      </c>
      <c r="K863">
        <v>81</v>
      </c>
      <c r="L863">
        <v>16.87</v>
      </c>
      <c r="M863">
        <v>164.4</v>
      </c>
      <c r="N863">
        <v>83</v>
      </c>
      <c r="O863">
        <v>7.4</v>
      </c>
      <c r="P863">
        <v>10.4</v>
      </c>
      <c r="Q863">
        <v>3</v>
      </c>
      <c r="R863">
        <v>2.81</v>
      </c>
      <c r="S863">
        <v>0</v>
      </c>
      <c r="T863" t="b">
        <v>0</v>
      </c>
    </row>
    <row r="864" spans="1:20">
      <c r="A864" t="s">
        <v>108</v>
      </c>
      <c r="B864">
        <v>59</v>
      </c>
      <c r="C864">
        <v>510</v>
      </c>
      <c r="D864" t="s">
        <v>62</v>
      </c>
      <c r="E864" t="s">
        <v>62</v>
      </c>
      <c r="F864">
        <v>0</v>
      </c>
      <c r="G864">
        <v>166.3</v>
      </c>
      <c r="H864">
        <v>95</v>
      </c>
      <c r="I864">
        <v>28.27</v>
      </c>
      <c r="J864">
        <v>239.3</v>
      </c>
      <c r="K864">
        <v>87</v>
      </c>
      <c r="L864">
        <v>20.34</v>
      </c>
      <c r="M864">
        <v>123.2</v>
      </c>
      <c r="N864">
        <v>108</v>
      </c>
      <c r="O864">
        <v>5.54</v>
      </c>
      <c r="P864">
        <v>10</v>
      </c>
      <c r="Q864">
        <v>3</v>
      </c>
      <c r="R864">
        <v>2.7</v>
      </c>
      <c r="S864">
        <v>2</v>
      </c>
      <c r="T864" t="b">
        <v>0</v>
      </c>
    </row>
    <row r="865" spans="1:20">
      <c r="A865" t="s">
        <v>99</v>
      </c>
      <c r="B865">
        <v>148</v>
      </c>
      <c r="C865">
        <v>408</v>
      </c>
      <c r="D865" t="s">
        <v>62</v>
      </c>
      <c r="E865" t="s">
        <v>62</v>
      </c>
      <c r="F865">
        <v>0</v>
      </c>
      <c r="G865">
        <v>185.2</v>
      </c>
      <c r="H865">
        <v>87</v>
      </c>
      <c r="I865">
        <v>31.48</v>
      </c>
      <c r="J865">
        <v>170.4</v>
      </c>
      <c r="K865">
        <v>96</v>
      </c>
      <c r="L865">
        <v>14.48</v>
      </c>
      <c r="M865">
        <v>165.1</v>
      </c>
      <c r="N865">
        <v>104</v>
      </c>
      <c r="O865">
        <v>7.43</v>
      </c>
      <c r="P865">
        <v>9.5</v>
      </c>
      <c r="Q865">
        <v>13</v>
      </c>
      <c r="R865">
        <v>2.57</v>
      </c>
      <c r="S865">
        <v>1</v>
      </c>
      <c r="T865" t="b">
        <v>0</v>
      </c>
    </row>
    <row r="866" spans="1:20">
      <c r="A866" t="s">
        <v>79</v>
      </c>
      <c r="B866">
        <v>210</v>
      </c>
      <c r="C866">
        <v>408</v>
      </c>
      <c r="D866" t="s">
        <v>62</v>
      </c>
      <c r="E866" t="s">
        <v>62</v>
      </c>
      <c r="F866">
        <v>0</v>
      </c>
      <c r="G866">
        <v>104.6</v>
      </c>
      <c r="H866">
        <v>121</v>
      </c>
      <c r="I866">
        <v>17.78</v>
      </c>
      <c r="J866">
        <v>149.5</v>
      </c>
      <c r="K866">
        <v>71</v>
      </c>
      <c r="L866">
        <v>12.71</v>
      </c>
      <c r="M866">
        <v>255.1</v>
      </c>
      <c r="N866">
        <v>67</v>
      </c>
      <c r="O866">
        <v>11.48</v>
      </c>
      <c r="P866">
        <v>6.5</v>
      </c>
      <c r="Q866">
        <v>8</v>
      </c>
      <c r="R866">
        <v>1.76</v>
      </c>
      <c r="S866">
        <v>2</v>
      </c>
      <c r="T866" t="b">
        <v>0</v>
      </c>
    </row>
    <row r="867" spans="1:20">
      <c r="A867" t="s">
        <v>77</v>
      </c>
      <c r="B867">
        <v>106</v>
      </c>
      <c r="C867">
        <v>510</v>
      </c>
      <c r="D867" t="s">
        <v>62</v>
      </c>
      <c r="E867" t="s">
        <v>62</v>
      </c>
      <c r="F867">
        <v>0</v>
      </c>
      <c r="G867">
        <v>274.4</v>
      </c>
      <c r="H867">
        <v>120</v>
      </c>
      <c r="I867">
        <v>46.65</v>
      </c>
      <c r="J867">
        <v>198.6</v>
      </c>
      <c r="K867">
        <v>82</v>
      </c>
      <c r="L867">
        <v>16.88</v>
      </c>
      <c r="M867">
        <v>160.8</v>
      </c>
      <c r="N867">
        <v>62</v>
      </c>
      <c r="O867">
        <v>7.24</v>
      </c>
      <c r="P867">
        <v>6</v>
      </c>
      <c r="Q867">
        <v>3</v>
      </c>
      <c r="R867">
        <v>1.62</v>
      </c>
      <c r="S867">
        <v>1</v>
      </c>
      <c r="T867" t="b">
        <v>0</v>
      </c>
    </row>
    <row r="868" spans="1:20">
      <c r="A868" t="s">
        <v>107</v>
      </c>
      <c r="B868">
        <v>57</v>
      </c>
      <c r="C868">
        <v>415</v>
      </c>
      <c r="D868" t="s">
        <v>62</v>
      </c>
      <c r="E868" t="s">
        <v>63</v>
      </c>
      <c r="F868">
        <v>29</v>
      </c>
      <c r="G868">
        <v>279.9</v>
      </c>
      <c r="H868">
        <v>121</v>
      </c>
      <c r="I868">
        <v>47.58</v>
      </c>
      <c r="J868">
        <v>223.1</v>
      </c>
      <c r="K868">
        <v>109</v>
      </c>
      <c r="L868">
        <v>18.96</v>
      </c>
      <c r="M868">
        <v>251.7</v>
      </c>
      <c r="N868">
        <v>94</v>
      </c>
      <c r="O868">
        <v>11.33</v>
      </c>
      <c r="P868">
        <v>13</v>
      </c>
      <c r="Q868">
        <v>2</v>
      </c>
      <c r="R868">
        <v>3.51</v>
      </c>
      <c r="S868">
        <v>1</v>
      </c>
      <c r="T868" t="b">
        <v>0</v>
      </c>
    </row>
    <row r="869" spans="1:20">
      <c r="A869" t="s">
        <v>115</v>
      </c>
      <c r="B869">
        <v>98</v>
      </c>
      <c r="C869">
        <v>510</v>
      </c>
      <c r="D869" t="s">
        <v>62</v>
      </c>
      <c r="E869" t="s">
        <v>62</v>
      </c>
      <c r="F869">
        <v>0</v>
      </c>
      <c r="G869">
        <v>187.2</v>
      </c>
      <c r="H869">
        <v>127</v>
      </c>
      <c r="I869">
        <v>31.82</v>
      </c>
      <c r="J869">
        <v>195.6</v>
      </c>
      <c r="K869">
        <v>88</v>
      </c>
      <c r="L869">
        <v>16.63</v>
      </c>
      <c r="M869">
        <v>181.8</v>
      </c>
      <c r="N869">
        <v>129</v>
      </c>
      <c r="O869">
        <v>8.18</v>
      </c>
      <c r="P869">
        <v>5.1</v>
      </c>
      <c r="Q869">
        <v>4</v>
      </c>
      <c r="R869">
        <v>1.38</v>
      </c>
      <c r="S869">
        <v>1</v>
      </c>
      <c r="T869" t="b">
        <v>0</v>
      </c>
    </row>
    <row r="870" spans="1:20">
      <c r="A870" t="s">
        <v>114</v>
      </c>
      <c r="B870">
        <v>157</v>
      </c>
      <c r="C870">
        <v>415</v>
      </c>
      <c r="D870" t="s">
        <v>62</v>
      </c>
      <c r="E870" t="s">
        <v>62</v>
      </c>
      <c r="F870">
        <v>0</v>
      </c>
      <c r="G870">
        <v>276.2</v>
      </c>
      <c r="H870">
        <v>95</v>
      </c>
      <c r="I870">
        <v>46.95</v>
      </c>
      <c r="J870">
        <v>165.8</v>
      </c>
      <c r="K870">
        <v>119</v>
      </c>
      <c r="L870">
        <v>14.09</v>
      </c>
      <c r="M870">
        <v>151.6</v>
      </c>
      <c r="N870">
        <v>79</v>
      </c>
      <c r="O870">
        <v>6.82</v>
      </c>
      <c r="P870">
        <v>2.2</v>
      </c>
      <c r="Q870">
        <v>4</v>
      </c>
      <c r="R870">
        <v>0.59</v>
      </c>
      <c r="S870">
        <v>3</v>
      </c>
      <c r="T870" t="b">
        <v>0</v>
      </c>
    </row>
    <row r="871" spans="1:20">
      <c r="A871" t="s">
        <v>93</v>
      </c>
      <c r="B871">
        <v>116</v>
      </c>
      <c r="C871">
        <v>415</v>
      </c>
      <c r="D871" t="s">
        <v>62</v>
      </c>
      <c r="E871" t="s">
        <v>63</v>
      </c>
      <c r="F871">
        <v>35</v>
      </c>
      <c r="G871">
        <v>200.4</v>
      </c>
      <c r="H871">
        <v>104</v>
      </c>
      <c r="I871">
        <v>34.07</v>
      </c>
      <c r="J871">
        <v>272.8</v>
      </c>
      <c r="K871">
        <v>89</v>
      </c>
      <c r="L871">
        <v>23.19</v>
      </c>
      <c r="M871">
        <v>214.5</v>
      </c>
      <c r="N871">
        <v>100</v>
      </c>
      <c r="O871">
        <v>9.65</v>
      </c>
      <c r="P871">
        <v>8.3</v>
      </c>
      <c r="Q871">
        <v>4</v>
      </c>
      <c r="R871">
        <v>2.24</v>
      </c>
      <c r="S871">
        <v>1</v>
      </c>
      <c r="T871" t="b">
        <v>0</v>
      </c>
    </row>
    <row r="872" spans="1:20">
      <c r="A872" t="s">
        <v>71</v>
      </c>
      <c r="B872">
        <v>30</v>
      </c>
      <c r="C872">
        <v>510</v>
      </c>
      <c r="D872" t="s">
        <v>62</v>
      </c>
      <c r="E872" t="s">
        <v>62</v>
      </c>
      <c r="F872">
        <v>0</v>
      </c>
      <c r="G872">
        <v>162.3</v>
      </c>
      <c r="H872">
        <v>96</v>
      </c>
      <c r="I872">
        <v>27.59</v>
      </c>
      <c r="J872">
        <v>244</v>
      </c>
      <c r="K872">
        <v>122</v>
      </c>
      <c r="L872">
        <v>20.74</v>
      </c>
      <c r="M872">
        <v>180.1</v>
      </c>
      <c r="N872">
        <v>89</v>
      </c>
      <c r="O872">
        <v>8.1</v>
      </c>
      <c r="P872">
        <v>9.1</v>
      </c>
      <c r="Q872">
        <v>4</v>
      </c>
      <c r="R872">
        <v>2.46</v>
      </c>
      <c r="S872">
        <v>2</v>
      </c>
      <c r="T872" t="b">
        <v>0</v>
      </c>
    </row>
    <row r="873" spans="1:20">
      <c r="A873" t="s">
        <v>65</v>
      </c>
      <c r="B873">
        <v>111</v>
      </c>
      <c r="C873">
        <v>510</v>
      </c>
      <c r="D873" t="s">
        <v>62</v>
      </c>
      <c r="E873" t="s">
        <v>62</v>
      </c>
      <c r="F873">
        <v>0</v>
      </c>
      <c r="G873">
        <v>176.9</v>
      </c>
      <c r="H873">
        <v>128</v>
      </c>
      <c r="I873">
        <v>30.07</v>
      </c>
      <c r="J873">
        <v>102.8</v>
      </c>
      <c r="K873">
        <v>56</v>
      </c>
      <c r="L873">
        <v>8.74</v>
      </c>
      <c r="M873">
        <v>213.7</v>
      </c>
      <c r="N873">
        <v>84</v>
      </c>
      <c r="O873">
        <v>9.62</v>
      </c>
      <c r="P873">
        <v>10.5</v>
      </c>
      <c r="Q873">
        <v>2</v>
      </c>
      <c r="R873">
        <v>2.84</v>
      </c>
      <c r="S873">
        <v>4</v>
      </c>
      <c r="T873" t="b">
        <v>1</v>
      </c>
    </row>
    <row r="874" spans="1:20">
      <c r="A874" t="s">
        <v>61</v>
      </c>
      <c r="B874">
        <v>52</v>
      </c>
      <c r="C874">
        <v>415</v>
      </c>
      <c r="D874" t="s">
        <v>62</v>
      </c>
      <c r="E874" t="s">
        <v>62</v>
      </c>
      <c r="F874">
        <v>0</v>
      </c>
      <c r="G874">
        <v>165.5</v>
      </c>
      <c r="H874">
        <v>78</v>
      </c>
      <c r="I874">
        <v>28.14</v>
      </c>
      <c r="J874">
        <v>205.5</v>
      </c>
      <c r="K874">
        <v>89</v>
      </c>
      <c r="L874">
        <v>17.47</v>
      </c>
      <c r="M874">
        <v>213.6</v>
      </c>
      <c r="N874">
        <v>124</v>
      </c>
      <c r="O874">
        <v>9.61</v>
      </c>
      <c r="P874">
        <v>12.2</v>
      </c>
      <c r="Q874">
        <v>6</v>
      </c>
      <c r="R874">
        <v>3.29</v>
      </c>
      <c r="S874">
        <v>0</v>
      </c>
      <c r="T874" t="b">
        <v>0</v>
      </c>
    </row>
    <row r="875" spans="1:20">
      <c r="A875" t="s">
        <v>65</v>
      </c>
      <c r="B875">
        <v>135</v>
      </c>
      <c r="C875">
        <v>510</v>
      </c>
      <c r="D875" t="s">
        <v>62</v>
      </c>
      <c r="E875" t="s">
        <v>63</v>
      </c>
      <c r="F875">
        <v>28</v>
      </c>
      <c r="G875">
        <v>201.4</v>
      </c>
      <c r="H875">
        <v>100</v>
      </c>
      <c r="I875">
        <v>34.24</v>
      </c>
      <c r="J875">
        <v>246.5</v>
      </c>
      <c r="K875">
        <v>117</v>
      </c>
      <c r="L875">
        <v>20.95</v>
      </c>
      <c r="M875">
        <v>154.8</v>
      </c>
      <c r="N875">
        <v>131</v>
      </c>
      <c r="O875">
        <v>6.97</v>
      </c>
      <c r="P875">
        <v>12.9</v>
      </c>
      <c r="Q875">
        <v>4</v>
      </c>
      <c r="R875">
        <v>3.48</v>
      </c>
      <c r="S875">
        <v>2</v>
      </c>
      <c r="T875" t="b">
        <v>1</v>
      </c>
    </row>
    <row r="876" spans="1:20">
      <c r="A876" t="s">
        <v>100</v>
      </c>
      <c r="B876">
        <v>86</v>
      </c>
      <c r="C876">
        <v>510</v>
      </c>
      <c r="D876" t="s">
        <v>62</v>
      </c>
      <c r="E876" t="s">
        <v>62</v>
      </c>
      <c r="F876">
        <v>0</v>
      </c>
      <c r="G876">
        <v>190.5</v>
      </c>
      <c r="H876">
        <v>115</v>
      </c>
      <c r="I876">
        <v>32.39</v>
      </c>
      <c r="J876">
        <v>179.6</v>
      </c>
      <c r="K876">
        <v>130</v>
      </c>
      <c r="L876">
        <v>15.27</v>
      </c>
      <c r="M876">
        <v>258.5</v>
      </c>
      <c r="N876">
        <v>89</v>
      </c>
      <c r="O876">
        <v>11.63</v>
      </c>
      <c r="P876">
        <v>10.1</v>
      </c>
      <c r="Q876">
        <v>5</v>
      </c>
      <c r="R876">
        <v>2.73</v>
      </c>
      <c r="S876">
        <v>3</v>
      </c>
      <c r="T876" t="b">
        <v>0</v>
      </c>
    </row>
    <row r="877" spans="1:20">
      <c r="A877" t="s">
        <v>85</v>
      </c>
      <c r="B877">
        <v>151</v>
      </c>
      <c r="C877">
        <v>510</v>
      </c>
      <c r="D877" t="s">
        <v>62</v>
      </c>
      <c r="E877" t="s">
        <v>62</v>
      </c>
      <c r="F877">
        <v>0</v>
      </c>
      <c r="G877">
        <v>235.9</v>
      </c>
      <c r="H877">
        <v>104</v>
      </c>
      <c r="I877">
        <v>40.1</v>
      </c>
      <c r="J877">
        <v>80.6</v>
      </c>
      <c r="K877">
        <v>91</v>
      </c>
      <c r="L877">
        <v>6.85</v>
      </c>
      <c r="M877">
        <v>212.8</v>
      </c>
      <c r="N877">
        <v>116</v>
      </c>
      <c r="O877">
        <v>9.58</v>
      </c>
      <c r="P877">
        <v>5.8</v>
      </c>
      <c r="Q877">
        <v>2</v>
      </c>
      <c r="R877">
        <v>1.57</v>
      </c>
      <c r="S877">
        <v>3</v>
      </c>
      <c r="T877" t="b">
        <v>0</v>
      </c>
    </row>
    <row r="878" spans="1:20">
      <c r="A878" t="s">
        <v>106</v>
      </c>
      <c r="B878">
        <v>117</v>
      </c>
      <c r="C878">
        <v>415</v>
      </c>
      <c r="D878" t="s">
        <v>62</v>
      </c>
      <c r="E878" t="s">
        <v>62</v>
      </c>
      <c r="F878">
        <v>0</v>
      </c>
      <c r="G878">
        <v>144.6</v>
      </c>
      <c r="H878">
        <v>115</v>
      </c>
      <c r="I878">
        <v>24.58</v>
      </c>
      <c r="J878">
        <v>258.8</v>
      </c>
      <c r="K878">
        <v>66</v>
      </c>
      <c r="L878">
        <v>22</v>
      </c>
      <c r="M878">
        <v>253.2</v>
      </c>
      <c r="N878">
        <v>113</v>
      </c>
      <c r="O878">
        <v>11.39</v>
      </c>
      <c r="P878">
        <v>7.4</v>
      </c>
      <c r="Q878">
        <v>9</v>
      </c>
      <c r="R878">
        <v>2</v>
      </c>
      <c r="S878">
        <v>2</v>
      </c>
      <c r="T878" t="b">
        <v>0</v>
      </c>
    </row>
    <row r="879" spans="1:20">
      <c r="A879" t="s">
        <v>77</v>
      </c>
      <c r="B879">
        <v>82</v>
      </c>
      <c r="C879">
        <v>408</v>
      </c>
      <c r="D879" t="s">
        <v>62</v>
      </c>
      <c r="E879" t="s">
        <v>62</v>
      </c>
      <c r="F879">
        <v>0</v>
      </c>
      <c r="G879">
        <v>101</v>
      </c>
      <c r="H879">
        <v>93</v>
      </c>
      <c r="I879">
        <v>17.17</v>
      </c>
      <c r="J879">
        <v>155.6</v>
      </c>
      <c r="K879">
        <v>104</v>
      </c>
      <c r="L879">
        <v>13.23</v>
      </c>
      <c r="M879">
        <v>304.4</v>
      </c>
      <c r="N879">
        <v>93</v>
      </c>
      <c r="O879">
        <v>13.7</v>
      </c>
      <c r="P879">
        <v>13.3</v>
      </c>
      <c r="Q879">
        <v>2</v>
      </c>
      <c r="R879">
        <v>3.59</v>
      </c>
      <c r="S879">
        <v>0</v>
      </c>
      <c r="T879" t="b">
        <v>0</v>
      </c>
    </row>
    <row r="880" spans="1:20">
      <c r="A880" t="s">
        <v>75</v>
      </c>
      <c r="B880">
        <v>152</v>
      </c>
      <c r="C880">
        <v>415</v>
      </c>
      <c r="D880" t="s">
        <v>62</v>
      </c>
      <c r="E880" t="s">
        <v>62</v>
      </c>
      <c r="F880">
        <v>0</v>
      </c>
      <c r="G880">
        <v>206.3</v>
      </c>
      <c r="H880">
        <v>98</v>
      </c>
      <c r="I880">
        <v>35.07</v>
      </c>
      <c r="J880">
        <v>292.8</v>
      </c>
      <c r="K880">
        <v>82</v>
      </c>
      <c r="L880">
        <v>24.89</v>
      </c>
      <c r="M880">
        <v>43.7</v>
      </c>
      <c r="N880">
        <v>121</v>
      </c>
      <c r="O880">
        <v>1.97</v>
      </c>
      <c r="P880">
        <v>10.6</v>
      </c>
      <c r="Q880">
        <v>4</v>
      </c>
      <c r="R880">
        <v>2.86</v>
      </c>
      <c r="S880">
        <v>1</v>
      </c>
      <c r="T880" t="b">
        <v>0</v>
      </c>
    </row>
    <row r="881" spans="1:20">
      <c r="A881" t="s">
        <v>112</v>
      </c>
      <c r="B881">
        <v>108</v>
      </c>
      <c r="C881">
        <v>408</v>
      </c>
      <c r="D881" t="s">
        <v>62</v>
      </c>
      <c r="E881" t="s">
        <v>63</v>
      </c>
      <c r="F881">
        <v>15</v>
      </c>
      <c r="G881">
        <v>165.1</v>
      </c>
      <c r="H881">
        <v>85</v>
      </c>
      <c r="I881">
        <v>28.07</v>
      </c>
      <c r="J881">
        <v>267</v>
      </c>
      <c r="K881">
        <v>93</v>
      </c>
      <c r="L881">
        <v>22.7</v>
      </c>
      <c r="M881">
        <v>250.7</v>
      </c>
      <c r="N881">
        <v>114</v>
      </c>
      <c r="O881">
        <v>11.28</v>
      </c>
      <c r="P881">
        <v>10.9</v>
      </c>
      <c r="Q881">
        <v>4</v>
      </c>
      <c r="R881">
        <v>2.94</v>
      </c>
      <c r="S881">
        <v>1</v>
      </c>
      <c r="T881" t="b">
        <v>0</v>
      </c>
    </row>
    <row r="882" spans="1:20">
      <c r="A882" t="s">
        <v>64</v>
      </c>
      <c r="B882">
        <v>98</v>
      </c>
      <c r="C882">
        <v>408</v>
      </c>
      <c r="D882" t="s">
        <v>62</v>
      </c>
      <c r="E882" t="s">
        <v>62</v>
      </c>
      <c r="F882">
        <v>0</v>
      </c>
      <c r="G882">
        <v>165</v>
      </c>
      <c r="H882">
        <v>129</v>
      </c>
      <c r="I882">
        <v>28.05</v>
      </c>
      <c r="J882">
        <v>202.6</v>
      </c>
      <c r="K882">
        <v>113</v>
      </c>
      <c r="L882">
        <v>17.22</v>
      </c>
      <c r="M882">
        <v>172.3</v>
      </c>
      <c r="N882">
        <v>94</v>
      </c>
      <c r="O882">
        <v>7.75</v>
      </c>
      <c r="P882">
        <v>12.5</v>
      </c>
      <c r="Q882">
        <v>7</v>
      </c>
      <c r="R882">
        <v>3.38</v>
      </c>
      <c r="S882">
        <v>1</v>
      </c>
      <c r="T882" t="b">
        <v>1</v>
      </c>
    </row>
    <row r="883" spans="1:20">
      <c r="A883" t="s">
        <v>68</v>
      </c>
      <c r="B883">
        <v>47</v>
      </c>
      <c r="C883">
        <v>415</v>
      </c>
      <c r="D883" t="s">
        <v>62</v>
      </c>
      <c r="E883" t="s">
        <v>62</v>
      </c>
      <c r="F883">
        <v>0</v>
      </c>
      <c r="G883">
        <v>155.3</v>
      </c>
      <c r="H883">
        <v>116</v>
      </c>
      <c r="I883">
        <v>26.4</v>
      </c>
      <c r="J883">
        <v>188.2</v>
      </c>
      <c r="K883">
        <v>85</v>
      </c>
      <c r="L883">
        <v>16</v>
      </c>
      <c r="M883">
        <v>247</v>
      </c>
      <c r="N883">
        <v>73</v>
      </c>
      <c r="O883">
        <v>11.12</v>
      </c>
      <c r="P883">
        <v>12.3</v>
      </c>
      <c r="Q883">
        <v>4</v>
      </c>
      <c r="R883">
        <v>3.32</v>
      </c>
      <c r="S883">
        <v>3</v>
      </c>
      <c r="T883" t="b">
        <v>0</v>
      </c>
    </row>
    <row r="884" spans="1:20">
      <c r="A884" t="s">
        <v>66</v>
      </c>
      <c r="B884">
        <v>189</v>
      </c>
      <c r="C884">
        <v>415</v>
      </c>
      <c r="D884" t="s">
        <v>62</v>
      </c>
      <c r="E884" t="s">
        <v>62</v>
      </c>
      <c r="F884">
        <v>0</v>
      </c>
      <c r="G884">
        <v>208.3</v>
      </c>
      <c r="H884">
        <v>106</v>
      </c>
      <c r="I884">
        <v>35.41</v>
      </c>
      <c r="J884">
        <v>236.7</v>
      </c>
      <c r="K884">
        <v>123</v>
      </c>
      <c r="L884">
        <v>20.12</v>
      </c>
      <c r="M884">
        <v>179.1</v>
      </c>
      <c r="N884">
        <v>120</v>
      </c>
      <c r="O884">
        <v>8.06</v>
      </c>
      <c r="P884">
        <v>11.3</v>
      </c>
      <c r="Q884">
        <v>5</v>
      </c>
      <c r="R884">
        <v>3.05</v>
      </c>
      <c r="S884">
        <v>3</v>
      </c>
      <c r="T884" t="b">
        <v>0</v>
      </c>
    </row>
    <row r="885" spans="1:20">
      <c r="A885" t="s">
        <v>84</v>
      </c>
      <c r="B885">
        <v>159</v>
      </c>
      <c r="C885">
        <v>415</v>
      </c>
      <c r="D885" t="s">
        <v>62</v>
      </c>
      <c r="E885" t="s">
        <v>62</v>
      </c>
      <c r="F885">
        <v>0</v>
      </c>
      <c r="G885">
        <v>189.1</v>
      </c>
      <c r="H885">
        <v>105</v>
      </c>
      <c r="I885">
        <v>32.15</v>
      </c>
      <c r="J885">
        <v>246.1</v>
      </c>
      <c r="K885">
        <v>147</v>
      </c>
      <c r="L885">
        <v>20.92</v>
      </c>
      <c r="M885">
        <v>242</v>
      </c>
      <c r="N885">
        <v>106</v>
      </c>
      <c r="O885">
        <v>10.89</v>
      </c>
      <c r="P885">
        <v>10.4</v>
      </c>
      <c r="Q885">
        <v>5</v>
      </c>
      <c r="R885">
        <v>2.81</v>
      </c>
      <c r="S885">
        <v>1</v>
      </c>
      <c r="T885" t="b">
        <v>1</v>
      </c>
    </row>
    <row r="886" spans="1:20">
      <c r="A886" t="s">
        <v>79</v>
      </c>
      <c r="B886">
        <v>11</v>
      </c>
      <c r="C886">
        <v>408</v>
      </c>
      <c r="D886" t="s">
        <v>62</v>
      </c>
      <c r="E886" t="s">
        <v>63</v>
      </c>
      <c r="F886">
        <v>24</v>
      </c>
      <c r="G886">
        <v>131.5</v>
      </c>
      <c r="H886">
        <v>98</v>
      </c>
      <c r="I886">
        <v>22.36</v>
      </c>
      <c r="J886">
        <v>230.2</v>
      </c>
      <c r="K886">
        <v>111</v>
      </c>
      <c r="L886">
        <v>19.57</v>
      </c>
      <c r="M886">
        <v>283.7</v>
      </c>
      <c r="N886">
        <v>87</v>
      </c>
      <c r="O886">
        <v>12.77</v>
      </c>
      <c r="P886">
        <v>10</v>
      </c>
      <c r="Q886">
        <v>3</v>
      </c>
      <c r="R886">
        <v>2.7</v>
      </c>
      <c r="S886">
        <v>2</v>
      </c>
      <c r="T886" t="b">
        <v>0</v>
      </c>
    </row>
    <row r="887" spans="1:20">
      <c r="A887" t="s">
        <v>76</v>
      </c>
      <c r="B887">
        <v>111</v>
      </c>
      <c r="C887">
        <v>408</v>
      </c>
      <c r="D887" t="s">
        <v>62</v>
      </c>
      <c r="E887" t="s">
        <v>62</v>
      </c>
      <c r="F887">
        <v>0</v>
      </c>
      <c r="G887">
        <v>142.3</v>
      </c>
      <c r="H887">
        <v>75</v>
      </c>
      <c r="I887">
        <v>24.19</v>
      </c>
      <c r="J887">
        <v>122.8</v>
      </c>
      <c r="K887">
        <v>106</v>
      </c>
      <c r="L887">
        <v>10.44</v>
      </c>
      <c r="M887">
        <v>229.5</v>
      </c>
      <c r="N887">
        <v>94</v>
      </c>
      <c r="O887">
        <v>10.33</v>
      </c>
      <c r="P887">
        <v>12.8</v>
      </c>
      <c r="Q887">
        <v>9</v>
      </c>
      <c r="R887">
        <v>3.46</v>
      </c>
      <c r="S887">
        <v>2</v>
      </c>
      <c r="T887" t="b">
        <v>0</v>
      </c>
    </row>
    <row r="888" spans="1:20">
      <c r="A888" t="s">
        <v>78</v>
      </c>
      <c r="B888">
        <v>99</v>
      </c>
      <c r="C888">
        <v>408</v>
      </c>
      <c r="D888" t="s">
        <v>62</v>
      </c>
      <c r="E888" t="s">
        <v>63</v>
      </c>
      <c r="F888">
        <v>19</v>
      </c>
      <c r="G888">
        <v>87.7</v>
      </c>
      <c r="H888">
        <v>103</v>
      </c>
      <c r="I888">
        <v>14.91</v>
      </c>
      <c r="J888">
        <v>223</v>
      </c>
      <c r="K888">
        <v>86</v>
      </c>
      <c r="L888">
        <v>18.96</v>
      </c>
      <c r="M888">
        <v>182.3</v>
      </c>
      <c r="N888">
        <v>112</v>
      </c>
      <c r="O888">
        <v>8.2</v>
      </c>
      <c r="P888">
        <v>7.3</v>
      </c>
      <c r="Q888">
        <v>4</v>
      </c>
      <c r="R888">
        <v>1.97</v>
      </c>
      <c r="S888">
        <v>2</v>
      </c>
      <c r="T888" t="b">
        <v>0</v>
      </c>
    </row>
    <row r="889" spans="1:20">
      <c r="A889" t="s">
        <v>79</v>
      </c>
      <c r="B889">
        <v>114</v>
      </c>
      <c r="C889">
        <v>415</v>
      </c>
      <c r="D889" t="s">
        <v>63</v>
      </c>
      <c r="E889" t="s">
        <v>63</v>
      </c>
      <c r="F889">
        <v>31</v>
      </c>
      <c r="G889">
        <v>174.5</v>
      </c>
      <c r="H889">
        <v>104</v>
      </c>
      <c r="I889">
        <v>29.67</v>
      </c>
      <c r="J889">
        <v>224.2</v>
      </c>
      <c r="K889">
        <v>92</v>
      </c>
      <c r="L889">
        <v>19.06</v>
      </c>
      <c r="M889">
        <v>116.3</v>
      </c>
      <c r="N889">
        <v>91</v>
      </c>
      <c r="O889">
        <v>5.23</v>
      </c>
      <c r="P889">
        <v>12.3</v>
      </c>
      <c r="Q889">
        <v>10</v>
      </c>
      <c r="R889">
        <v>3.32</v>
      </c>
      <c r="S889">
        <v>2</v>
      </c>
      <c r="T889" t="b">
        <v>0</v>
      </c>
    </row>
    <row r="890" spans="1:20">
      <c r="A890" t="s">
        <v>67</v>
      </c>
      <c r="B890">
        <v>71</v>
      </c>
      <c r="C890">
        <v>415</v>
      </c>
      <c r="D890" t="s">
        <v>62</v>
      </c>
      <c r="E890" t="s">
        <v>62</v>
      </c>
      <c r="F890">
        <v>0</v>
      </c>
      <c r="G890">
        <v>103.3</v>
      </c>
      <c r="H890">
        <v>103</v>
      </c>
      <c r="I890">
        <v>17.56</v>
      </c>
      <c r="J890">
        <v>138.5</v>
      </c>
      <c r="K890">
        <v>79</v>
      </c>
      <c r="L890">
        <v>11.77</v>
      </c>
      <c r="M890">
        <v>164.8</v>
      </c>
      <c r="N890">
        <v>98</v>
      </c>
      <c r="O890">
        <v>7.42</v>
      </c>
      <c r="P890">
        <v>9</v>
      </c>
      <c r="Q890">
        <v>2</v>
      </c>
      <c r="R890">
        <v>2.43</v>
      </c>
      <c r="S890">
        <v>2</v>
      </c>
      <c r="T890" t="b">
        <v>0</v>
      </c>
    </row>
    <row r="891" spans="1:20">
      <c r="A891" t="s">
        <v>67</v>
      </c>
      <c r="B891">
        <v>100</v>
      </c>
      <c r="C891">
        <v>408</v>
      </c>
      <c r="D891" t="s">
        <v>62</v>
      </c>
      <c r="E891" t="s">
        <v>63</v>
      </c>
      <c r="F891">
        <v>25</v>
      </c>
      <c r="G891">
        <v>246.6</v>
      </c>
      <c r="H891">
        <v>94</v>
      </c>
      <c r="I891">
        <v>41.92</v>
      </c>
      <c r="J891">
        <v>141.4</v>
      </c>
      <c r="K891">
        <v>112</v>
      </c>
      <c r="L891">
        <v>12.02</v>
      </c>
      <c r="M891">
        <v>189.8</v>
      </c>
      <c r="N891">
        <v>109</v>
      </c>
      <c r="O891">
        <v>8.54</v>
      </c>
      <c r="P891">
        <v>13</v>
      </c>
      <c r="Q891">
        <v>5</v>
      </c>
      <c r="R891">
        <v>3.51</v>
      </c>
      <c r="S891">
        <v>1</v>
      </c>
      <c r="T891" t="b">
        <v>0</v>
      </c>
    </row>
    <row r="892" spans="1:20">
      <c r="A892" t="s">
        <v>71</v>
      </c>
      <c r="B892">
        <v>83</v>
      </c>
      <c r="C892">
        <v>415</v>
      </c>
      <c r="D892" t="s">
        <v>62</v>
      </c>
      <c r="E892" t="s">
        <v>63</v>
      </c>
      <c r="F892">
        <v>37</v>
      </c>
      <c r="G892">
        <v>78.5</v>
      </c>
      <c r="H892">
        <v>109</v>
      </c>
      <c r="I892">
        <v>13.35</v>
      </c>
      <c r="J892">
        <v>210.5</v>
      </c>
      <c r="K892">
        <v>101</v>
      </c>
      <c r="L892">
        <v>17.89</v>
      </c>
      <c r="M892">
        <v>179.7</v>
      </c>
      <c r="N892">
        <v>102</v>
      </c>
      <c r="O892">
        <v>8.09</v>
      </c>
      <c r="P892">
        <v>11.8</v>
      </c>
      <c r="Q892">
        <v>4</v>
      </c>
      <c r="R892">
        <v>3.19</v>
      </c>
      <c r="S892">
        <v>1</v>
      </c>
      <c r="T892" t="b">
        <v>0</v>
      </c>
    </row>
    <row r="893" spans="1:20">
      <c r="A893" t="s">
        <v>104</v>
      </c>
      <c r="B893">
        <v>64</v>
      </c>
      <c r="C893">
        <v>408</v>
      </c>
      <c r="D893" t="s">
        <v>62</v>
      </c>
      <c r="E893" t="s">
        <v>62</v>
      </c>
      <c r="F893">
        <v>0</v>
      </c>
      <c r="G893">
        <v>148.1</v>
      </c>
      <c r="H893">
        <v>73</v>
      </c>
      <c r="I893">
        <v>25.18</v>
      </c>
      <c r="J893">
        <v>164.9</v>
      </c>
      <c r="K893">
        <v>101</v>
      </c>
      <c r="L893">
        <v>14.02</v>
      </c>
      <c r="M893">
        <v>216</v>
      </c>
      <c r="N893">
        <v>125</v>
      </c>
      <c r="O893">
        <v>9.72</v>
      </c>
      <c r="P893">
        <v>12.3</v>
      </c>
      <c r="Q893">
        <v>2</v>
      </c>
      <c r="R893">
        <v>3.32</v>
      </c>
      <c r="S893">
        <v>5</v>
      </c>
      <c r="T893" t="b">
        <v>1</v>
      </c>
    </row>
    <row r="894" spans="1:20">
      <c r="A894" t="s">
        <v>112</v>
      </c>
      <c r="B894">
        <v>105</v>
      </c>
      <c r="C894">
        <v>408</v>
      </c>
      <c r="D894" t="s">
        <v>62</v>
      </c>
      <c r="E894" t="s">
        <v>62</v>
      </c>
      <c r="F894">
        <v>0</v>
      </c>
      <c r="G894">
        <v>206.2</v>
      </c>
      <c r="H894">
        <v>84</v>
      </c>
      <c r="I894">
        <v>35.05</v>
      </c>
      <c r="J894">
        <v>256.4</v>
      </c>
      <c r="K894">
        <v>138</v>
      </c>
      <c r="L894">
        <v>21.79</v>
      </c>
      <c r="M894">
        <v>117.1</v>
      </c>
      <c r="N894">
        <v>91</v>
      </c>
      <c r="O894">
        <v>5.27</v>
      </c>
      <c r="P894">
        <v>9</v>
      </c>
      <c r="Q894">
        <v>3</v>
      </c>
      <c r="R894">
        <v>2.43</v>
      </c>
      <c r="S894">
        <v>1</v>
      </c>
      <c r="T894" t="b">
        <v>0</v>
      </c>
    </row>
    <row r="895" spans="1:20">
      <c r="A895" t="s">
        <v>77</v>
      </c>
      <c r="B895">
        <v>144</v>
      </c>
      <c r="C895">
        <v>415</v>
      </c>
      <c r="D895" t="s">
        <v>62</v>
      </c>
      <c r="E895" t="s">
        <v>63</v>
      </c>
      <c r="F895">
        <v>33</v>
      </c>
      <c r="G895">
        <v>251.6</v>
      </c>
      <c r="H895">
        <v>87</v>
      </c>
      <c r="I895">
        <v>42.77</v>
      </c>
      <c r="J895">
        <v>197.6</v>
      </c>
      <c r="K895">
        <v>118</v>
      </c>
      <c r="L895">
        <v>16.8</v>
      </c>
      <c r="M895">
        <v>209.2</v>
      </c>
      <c r="N895">
        <v>97</v>
      </c>
      <c r="O895">
        <v>9.41</v>
      </c>
      <c r="P895">
        <v>12.2</v>
      </c>
      <c r="Q895">
        <v>3</v>
      </c>
      <c r="R895">
        <v>3.29</v>
      </c>
      <c r="S895">
        <v>2</v>
      </c>
      <c r="T895" t="b">
        <v>0</v>
      </c>
    </row>
    <row r="896" spans="1:20">
      <c r="A896" t="s">
        <v>85</v>
      </c>
      <c r="B896">
        <v>106</v>
      </c>
      <c r="C896">
        <v>415</v>
      </c>
      <c r="D896" t="s">
        <v>63</v>
      </c>
      <c r="E896" t="s">
        <v>63</v>
      </c>
      <c r="F896">
        <v>26</v>
      </c>
      <c r="G896">
        <v>270.3</v>
      </c>
      <c r="H896">
        <v>111</v>
      </c>
      <c r="I896">
        <v>45.95</v>
      </c>
      <c r="J896">
        <v>215.2</v>
      </c>
      <c r="K896">
        <v>90</v>
      </c>
      <c r="L896">
        <v>18.29</v>
      </c>
      <c r="M896">
        <v>254</v>
      </c>
      <c r="N896">
        <v>133</v>
      </c>
      <c r="O896">
        <v>11.43</v>
      </c>
      <c r="P896">
        <v>14.4</v>
      </c>
      <c r="Q896">
        <v>7</v>
      </c>
      <c r="R896">
        <v>3.89</v>
      </c>
      <c r="S896">
        <v>1</v>
      </c>
      <c r="T896" t="b">
        <v>1</v>
      </c>
    </row>
    <row r="897" spans="1:20">
      <c r="A897" t="s">
        <v>80</v>
      </c>
      <c r="B897">
        <v>19</v>
      </c>
      <c r="C897">
        <v>510</v>
      </c>
      <c r="D897" t="s">
        <v>62</v>
      </c>
      <c r="E897" t="s">
        <v>63</v>
      </c>
      <c r="F897">
        <v>34</v>
      </c>
      <c r="G897">
        <v>156.6</v>
      </c>
      <c r="H897">
        <v>97</v>
      </c>
      <c r="I897">
        <v>26.62</v>
      </c>
      <c r="J897">
        <v>224.2</v>
      </c>
      <c r="K897">
        <v>97</v>
      </c>
      <c r="L897">
        <v>19.06</v>
      </c>
      <c r="M897">
        <v>260.9</v>
      </c>
      <c r="N897">
        <v>135</v>
      </c>
      <c r="O897">
        <v>11.74</v>
      </c>
      <c r="P897">
        <v>11.3</v>
      </c>
      <c r="Q897">
        <v>1</v>
      </c>
      <c r="R897">
        <v>3.05</v>
      </c>
      <c r="S897">
        <v>1</v>
      </c>
      <c r="T897" t="b">
        <v>0</v>
      </c>
    </row>
    <row r="898" spans="1:20">
      <c r="A898" t="s">
        <v>68</v>
      </c>
      <c r="B898">
        <v>46</v>
      </c>
      <c r="C898">
        <v>408</v>
      </c>
      <c r="D898" t="s">
        <v>62</v>
      </c>
      <c r="E898" t="s">
        <v>62</v>
      </c>
      <c r="F898">
        <v>0</v>
      </c>
      <c r="G898">
        <v>139.4</v>
      </c>
      <c r="H898">
        <v>81</v>
      </c>
      <c r="I898">
        <v>23.7</v>
      </c>
      <c r="J898">
        <v>223.7</v>
      </c>
      <c r="K898">
        <v>113</v>
      </c>
      <c r="L898">
        <v>19.01</v>
      </c>
      <c r="M898">
        <v>173.1</v>
      </c>
      <c r="N898">
        <v>77</v>
      </c>
      <c r="O898">
        <v>7.79</v>
      </c>
      <c r="P898">
        <v>13.6</v>
      </c>
      <c r="Q898">
        <v>6</v>
      </c>
      <c r="R898">
        <v>3.67</v>
      </c>
      <c r="S898">
        <v>1</v>
      </c>
      <c r="T898" t="b">
        <v>0</v>
      </c>
    </row>
    <row r="899" spans="1:20">
      <c r="A899" t="s">
        <v>86</v>
      </c>
      <c r="B899">
        <v>127</v>
      </c>
      <c r="C899">
        <v>510</v>
      </c>
      <c r="D899" t="s">
        <v>62</v>
      </c>
      <c r="E899" t="s">
        <v>62</v>
      </c>
      <c r="F899">
        <v>0</v>
      </c>
      <c r="G899">
        <v>220.2</v>
      </c>
      <c r="H899">
        <v>108</v>
      </c>
      <c r="I899">
        <v>37.43</v>
      </c>
      <c r="J899">
        <v>188.4</v>
      </c>
      <c r="K899">
        <v>124</v>
      </c>
      <c r="L899">
        <v>16.01</v>
      </c>
      <c r="M899">
        <v>172.7</v>
      </c>
      <c r="N899">
        <v>113</v>
      </c>
      <c r="O899">
        <v>7.77</v>
      </c>
      <c r="P899">
        <v>11.7</v>
      </c>
      <c r="Q899">
        <v>3</v>
      </c>
      <c r="R899">
        <v>3.16</v>
      </c>
      <c r="S899">
        <v>2</v>
      </c>
      <c r="T899" t="b">
        <v>0</v>
      </c>
    </row>
    <row r="900" spans="1:20">
      <c r="A900" t="s">
        <v>88</v>
      </c>
      <c r="B900">
        <v>9</v>
      </c>
      <c r="C900">
        <v>415</v>
      </c>
      <c r="D900" t="s">
        <v>62</v>
      </c>
      <c r="E900" t="s">
        <v>63</v>
      </c>
      <c r="F900">
        <v>39</v>
      </c>
      <c r="G900">
        <v>214.1</v>
      </c>
      <c r="H900">
        <v>108</v>
      </c>
      <c r="I900">
        <v>36.4</v>
      </c>
      <c r="J900">
        <v>169.2</v>
      </c>
      <c r="K900">
        <v>115</v>
      </c>
      <c r="L900">
        <v>14.38</v>
      </c>
      <c r="M900">
        <v>189.7</v>
      </c>
      <c r="N900">
        <v>117</v>
      </c>
      <c r="O900">
        <v>8.54</v>
      </c>
      <c r="P900">
        <v>10.1</v>
      </c>
      <c r="Q900">
        <v>3</v>
      </c>
      <c r="R900">
        <v>2.73</v>
      </c>
      <c r="S900">
        <v>1</v>
      </c>
      <c r="T900" t="b">
        <v>0</v>
      </c>
    </row>
    <row r="901" spans="1:20">
      <c r="A901" t="s">
        <v>82</v>
      </c>
      <c r="B901">
        <v>157</v>
      </c>
      <c r="C901">
        <v>415</v>
      </c>
      <c r="D901" t="s">
        <v>62</v>
      </c>
      <c r="E901" t="s">
        <v>62</v>
      </c>
      <c r="F901">
        <v>0</v>
      </c>
      <c r="G901">
        <v>196</v>
      </c>
      <c r="H901">
        <v>74</v>
      </c>
      <c r="I901">
        <v>33.32</v>
      </c>
      <c r="J901">
        <v>213.4</v>
      </c>
      <c r="K901">
        <v>96</v>
      </c>
      <c r="L901">
        <v>18.14</v>
      </c>
      <c r="M901">
        <v>196.8</v>
      </c>
      <c r="N901">
        <v>81</v>
      </c>
      <c r="O901">
        <v>8.86</v>
      </c>
      <c r="P901">
        <v>7.9</v>
      </c>
      <c r="Q901">
        <v>6</v>
      </c>
      <c r="R901">
        <v>2.13</v>
      </c>
      <c r="S901">
        <v>1</v>
      </c>
      <c r="T901" t="b">
        <v>0</v>
      </c>
    </row>
    <row r="902" spans="1:20">
      <c r="A902" t="s">
        <v>97</v>
      </c>
      <c r="B902">
        <v>105</v>
      </c>
      <c r="C902">
        <v>415</v>
      </c>
      <c r="D902" t="s">
        <v>62</v>
      </c>
      <c r="E902" t="s">
        <v>62</v>
      </c>
      <c r="F902">
        <v>0</v>
      </c>
      <c r="G902">
        <v>106.4</v>
      </c>
      <c r="H902">
        <v>71</v>
      </c>
      <c r="I902">
        <v>18.09</v>
      </c>
      <c r="J902">
        <v>240.1</v>
      </c>
      <c r="K902">
        <v>83</v>
      </c>
      <c r="L902">
        <v>20.41</v>
      </c>
      <c r="M902">
        <v>147.7</v>
      </c>
      <c r="N902">
        <v>114</v>
      </c>
      <c r="O902">
        <v>6.65</v>
      </c>
      <c r="P902">
        <v>5.3</v>
      </c>
      <c r="Q902">
        <v>4</v>
      </c>
      <c r="R902">
        <v>1.43</v>
      </c>
      <c r="S902">
        <v>6</v>
      </c>
      <c r="T902" t="b">
        <v>1</v>
      </c>
    </row>
    <row r="903" spans="1:20">
      <c r="A903" t="s">
        <v>77</v>
      </c>
      <c r="B903">
        <v>31</v>
      </c>
      <c r="C903">
        <v>415</v>
      </c>
      <c r="D903" t="s">
        <v>62</v>
      </c>
      <c r="E903" t="s">
        <v>62</v>
      </c>
      <c r="F903">
        <v>0</v>
      </c>
      <c r="G903">
        <v>177.3</v>
      </c>
      <c r="H903">
        <v>129</v>
      </c>
      <c r="I903">
        <v>30.14</v>
      </c>
      <c r="J903">
        <v>152.8</v>
      </c>
      <c r="K903">
        <v>105</v>
      </c>
      <c r="L903">
        <v>12.99</v>
      </c>
      <c r="M903">
        <v>162.9</v>
      </c>
      <c r="N903">
        <v>92</v>
      </c>
      <c r="O903">
        <v>7.33</v>
      </c>
      <c r="P903">
        <v>5.1</v>
      </c>
      <c r="Q903">
        <v>2</v>
      </c>
      <c r="R903">
        <v>1.38</v>
      </c>
      <c r="S903">
        <v>0</v>
      </c>
      <c r="T903" t="b">
        <v>0</v>
      </c>
    </row>
    <row r="904" spans="1:20">
      <c r="A904" t="s">
        <v>102</v>
      </c>
      <c r="B904">
        <v>95</v>
      </c>
      <c r="C904">
        <v>408</v>
      </c>
      <c r="D904" t="s">
        <v>62</v>
      </c>
      <c r="E904" t="s">
        <v>63</v>
      </c>
      <c r="F904">
        <v>32</v>
      </c>
      <c r="G904">
        <v>262.2</v>
      </c>
      <c r="H904">
        <v>123</v>
      </c>
      <c r="I904">
        <v>44.57</v>
      </c>
      <c r="J904">
        <v>165.2</v>
      </c>
      <c r="K904">
        <v>82</v>
      </c>
      <c r="L904">
        <v>14.04</v>
      </c>
      <c r="M904">
        <v>194.3</v>
      </c>
      <c r="N904">
        <v>57</v>
      </c>
      <c r="O904">
        <v>8.74</v>
      </c>
      <c r="P904">
        <v>10.6</v>
      </c>
      <c r="Q904">
        <v>5</v>
      </c>
      <c r="R904">
        <v>2.86</v>
      </c>
      <c r="S904">
        <v>0</v>
      </c>
      <c r="T904" t="b">
        <v>0</v>
      </c>
    </row>
    <row r="905" spans="1:20">
      <c r="A905" t="s">
        <v>89</v>
      </c>
      <c r="B905">
        <v>132</v>
      </c>
      <c r="C905">
        <v>415</v>
      </c>
      <c r="D905" t="s">
        <v>62</v>
      </c>
      <c r="E905" t="s">
        <v>62</v>
      </c>
      <c r="F905">
        <v>0</v>
      </c>
      <c r="G905">
        <v>193.3</v>
      </c>
      <c r="H905">
        <v>106</v>
      </c>
      <c r="I905">
        <v>32.86</v>
      </c>
      <c r="J905">
        <v>128.3</v>
      </c>
      <c r="K905">
        <v>94</v>
      </c>
      <c r="L905">
        <v>10.91</v>
      </c>
      <c r="M905">
        <v>162.1</v>
      </c>
      <c r="N905">
        <v>119</v>
      </c>
      <c r="O905">
        <v>7.29</v>
      </c>
      <c r="P905">
        <v>11.6</v>
      </c>
      <c r="Q905">
        <v>4</v>
      </c>
      <c r="R905">
        <v>3.13</v>
      </c>
      <c r="S905">
        <v>5</v>
      </c>
      <c r="T905" t="b">
        <v>1</v>
      </c>
    </row>
    <row r="906" spans="1:20">
      <c r="A906" t="s">
        <v>114</v>
      </c>
      <c r="B906">
        <v>119</v>
      </c>
      <c r="C906">
        <v>408</v>
      </c>
      <c r="D906" t="s">
        <v>62</v>
      </c>
      <c r="E906" t="s">
        <v>63</v>
      </c>
      <c r="F906">
        <v>24</v>
      </c>
      <c r="G906">
        <v>217.2</v>
      </c>
      <c r="H906">
        <v>94</v>
      </c>
      <c r="I906">
        <v>36.92</v>
      </c>
      <c r="J906">
        <v>138.7</v>
      </c>
      <c r="K906">
        <v>52</v>
      </c>
      <c r="L906">
        <v>11.79</v>
      </c>
      <c r="M906">
        <v>139.3</v>
      </c>
      <c r="N906">
        <v>85</v>
      </c>
      <c r="O906">
        <v>6.27</v>
      </c>
      <c r="P906">
        <v>11.3</v>
      </c>
      <c r="Q906">
        <v>4</v>
      </c>
      <c r="R906">
        <v>3.05</v>
      </c>
      <c r="S906">
        <v>0</v>
      </c>
      <c r="T906" t="b">
        <v>0</v>
      </c>
    </row>
    <row r="907" spans="1:20">
      <c r="A907" t="s">
        <v>67</v>
      </c>
      <c r="B907">
        <v>16</v>
      </c>
      <c r="C907">
        <v>408</v>
      </c>
      <c r="D907" t="s">
        <v>62</v>
      </c>
      <c r="E907" t="s">
        <v>62</v>
      </c>
      <c r="F907">
        <v>0</v>
      </c>
      <c r="G907">
        <v>209.5</v>
      </c>
      <c r="H907">
        <v>89</v>
      </c>
      <c r="I907">
        <v>35.62</v>
      </c>
      <c r="J907">
        <v>172.8</v>
      </c>
      <c r="K907">
        <v>85</v>
      </c>
      <c r="L907">
        <v>14.69</v>
      </c>
      <c r="M907">
        <v>94.1</v>
      </c>
      <c r="N907">
        <v>102</v>
      </c>
      <c r="O907">
        <v>4.23</v>
      </c>
      <c r="P907">
        <v>8.8</v>
      </c>
      <c r="Q907">
        <v>4</v>
      </c>
      <c r="R907">
        <v>2.38</v>
      </c>
      <c r="S907">
        <v>1</v>
      </c>
      <c r="T907" t="b">
        <v>0</v>
      </c>
    </row>
    <row r="908" spans="1:20">
      <c r="A908" t="s">
        <v>116</v>
      </c>
      <c r="B908">
        <v>99</v>
      </c>
      <c r="C908">
        <v>408</v>
      </c>
      <c r="D908" t="s">
        <v>62</v>
      </c>
      <c r="E908" t="s">
        <v>62</v>
      </c>
      <c r="F908">
        <v>0</v>
      </c>
      <c r="G908">
        <v>95.4</v>
      </c>
      <c r="H908">
        <v>105</v>
      </c>
      <c r="I908">
        <v>16.22</v>
      </c>
      <c r="J908">
        <v>207.2</v>
      </c>
      <c r="K908">
        <v>101</v>
      </c>
      <c r="L908">
        <v>17.61</v>
      </c>
      <c r="M908">
        <v>136</v>
      </c>
      <c r="N908">
        <v>117</v>
      </c>
      <c r="O908">
        <v>6.12</v>
      </c>
      <c r="P908">
        <v>5.6</v>
      </c>
      <c r="Q908">
        <v>5</v>
      </c>
      <c r="R908">
        <v>1.51</v>
      </c>
      <c r="S908">
        <v>1</v>
      </c>
      <c r="T908" t="b">
        <v>0</v>
      </c>
    </row>
    <row r="909" spans="1:20">
      <c r="A909" t="s">
        <v>82</v>
      </c>
      <c r="B909">
        <v>76</v>
      </c>
      <c r="C909">
        <v>408</v>
      </c>
      <c r="D909" t="s">
        <v>62</v>
      </c>
      <c r="E909" t="s">
        <v>63</v>
      </c>
      <c r="F909">
        <v>26</v>
      </c>
      <c r="G909">
        <v>214.6</v>
      </c>
      <c r="H909">
        <v>110</v>
      </c>
      <c r="I909">
        <v>36.48</v>
      </c>
      <c r="J909">
        <v>205.2</v>
      </c>
      <c r="K909">
        <v>87</v>
      </c>
      <c r="L909">
        <v>17.44</v>
      </c>
      <c r="M909">
        <v>134.6</v>
      </c>
      <c r="N909">
        <v>140</v>
      </c>
      <c r="O909">
        <v>6.06</v>
      </c>
      <c r="P909">
        <v>8.1</v>
      </c>
      <c r="Q909">
        <v>2</v>
      </c>
      <c r="R909">
        <v>2.19</v>
      </c>
      <c r="S909">
        <v>1</v>
      </c>
      <c r="T909" t="b">
        <v>0</v>
      </c>
    </row>
    <row r="910" spans="1:20">
      <c r="A910" t="s">
        <v>61</v>
      </c>
      <c r="B910">
        <v>167</v>
      </c>
      <c r="C910">
        <v>415</v>
      </c>
      <c r="D910" t="s">
        <v>62</v>
      </c>
      <c r="E910" t="s">
        <v>62</v>
      </c>
      <c r="F910">
        <v>0</v>
      </c>
      <c r="G910">
        <v>131.6</v>
      </c>
      <c r="H910">
        <v>120</v>
      </c>
      <c r="I910">
        <v>22.37</v>
      </c>
      <c r="J910">
        <v>211.3</v>
      </c>
      <c r="K910">
        <v>96</v>
      </c>
      <c r="L910">
        <v>17.96</v>
      </c>
      <c r="M910">
        <v>168.3</v>
      </c>
      <c r="N910">
        <v>97</v>
      </c>
      <c r="O910">
        <v>7.57</v>
      </c>
      <c r="P910">
        <v>11.1</v>
      </c>
      <c r="Q910">
        <v>4</v>
      </c>
      <c r="R910">
        <v>3</v>
      </c>
      <c r="S910">
        <v>4</v>
      </c>
      <c r="T910" t="b">
        <v>1</v>
      </c>
    </row>
    <row r="911" spans="1:20">
      <c r="A911" t="s">
        <v>65</v>
      </c>
      <c r="B911">
        <v>129</v>
      </c>
      <c r="C911">
        <v>415</v>
      </c>
      <c r="D911" t="s">
        <v>62</v>
      </c>
      <c r="E911" t="s">
        <v>62</v>
      </c>
      <c r="F911">
        <v>0</v>
      </c>
      <c r="G911">
        <v>168.4</v>
      </c>
      <c r="H911">
        <v>117</v>
      </c>
      <c r="I911">
        <v>28.63</v>
      </c>
      <c r="J911">
        <v>217.1</v>
      </c>
      <c r="K911">
        <v>129</v>
      </c>
      <c r="L911">
        <v>18.45</v>
      </c>
      <c r="M911">
        <v>81.6</v>
      </c>
      <c r="N911">
        <v>100</v>
      </c>
      <c r="O911">
        <v>3.67</v>
      </c>
      <c r="P911">
        <v>11.8</v>
      </c>
      <c r="Q911">
        <v>7</v>
      </c>
      <c r="R911">
        <v>3.19</v>
      </c>
      <c r="S911">
        <v>1</v>
      </c>
      <c r="T911" t="b">
        <v>0</v>
      </c>
    </row>
    <row r="912" spans="1:20">
      <c r="A912" t="s">
        <v>81</v>
      </c>
      <c r="B912">
        <v>116</v>
      </c>
      <c r="C912">
        <v>408</v>
      </c>
      <c r="D912" t="s">
        <v>62</v>
      </c>
      <c r="E912" t="s">
        <v>62</v>
      </c>
      <c r="F912">
        <v>0</v>
      </c>
      <c r="G912">
        <v>146.4</v>
      </c>
      <c r="H912">
        <v>123</v>
      </c>
      <c r="I912">
        <v>24.89</v>
      </c>
      <c r="J912">
        <v>176.6</v>
      </c>
      <c r="K912">
        <v>113</v>
      </c>
      <c r="L912">
        <v>15.01</v>
      </c>
      <c r="M912">
        <v>212.6</v>
      </c>
      <c r="N912">
        <v>102</v>
      </c>
      <c r="O912">
        <v>9.57</v>
      </c>
      <c r="P912">
        <v>7.8</v>
      </c>
      <c r="Q912">
        <v>5</v>
      </c>
      <c r="R912">
        <v>2.11</v>
      </c>
      <c r="S912">
        <v>1</v>
      </c>
      <c r="T912" t="b">
        <v>0</v>
      </c>
    </row>
    <row r="913" spans="1:20">
      <c r="A913" t="s">
        <v>98</v>
      </c>
      <c r="B913">
        <v>60</v>
      </c>
      <c r="C913">
        <v>415</v>
      </c>
      <c r="D913" t="s">
        <v>63</v>
      </c>
      <c r="E913" t="s">
        <v>62</v>
      </c>
      <c r="F913">
        <v>0</v>
      </c>
      <c r="G913">
        <v>183</v>
      </c>
      <c r="H913">
        <v>110</v>
      </c>
      <c r="I913">
        <v>31.11</v>
      </c>
      <c r="J913">
        <v>206.7</v>
      </c>
      <c r="K913">
        <v>93</v>
      </c>
      <c r="L913">
        <v>17.57</v>
      </c>
      <c r="M913">
        <v>203.8</v>
      </c>
      <c r="N913">
        <v>119</v>
      </c>
      <c r="O913">
        <v>9.17</v>
      </c>
      <c r="P913">
        <v>11.1</v>
      </c>
      <c r="Q913">
        <v>6</v>
      </c>
      <c r="R913">
        <v>3</v>
      </c>
      <c r="S913">
        <v>1</v>
      </c>
      <c r="T913" t="b">
        <v>0</v>
      </c>
    </row>
    <row r="914" spans="1:20">
      <c r="A914" t="s">
        <v>80</v>
      </c>
      <c r="B914">
        <v>47</v>
      </c>
      <c r="C914">
        <v>408</v>
      </c>
      <c r="D914" t="s">
        <v>62</v>
      </c>
      <c r="E914" t="s">
        <v>63</v>
      </c>
      <c r="F914">
        <v>28</v>
      </c>
      <c r="G914">
        <v>112.2</v>
      </c>
      <c r="H914">
        <v>70</v>
      </c>
      <c r="I914">
        <v>19.07</v>
      </c>
      <c r="J914">
        <v>154.8</v>
      </c>
      <c r="K914">
        <v>106</v>
      </c>
      <c r="L914">
        <v>13.16</v>
      </c>
      <c r="M914">
        <v>166.7</v>
      </c>
      <c r="N914">
        <v>105</v>
      </c>
      <c r="O914">
        <v>7.5</v>
      </c>
      <c r="P914">
        <v>10.6</v>
      </c>
      <c r="Q914">
        <v>2</v>
      </c>
      <c r="R914">
        <v>2.86</v>
      </c>
      <c r="S914">
        <v>0</v>
      </c>
      <c r="T914" t="b">
        <v>0</v>
      </c>
    </row>
    <row r="915" spans="1:20">
      <c r="A915" t="s">
        <v>102</v>
      </c>
      <c r="B915">
        <v>40</v>
      </c>
      <c r="C915">
        <v>510</v>
      </c>
      <c r="D915" t="s">
        <v>63</v>
      </c>
      <c r="E915" t="s">
        <v>62</v>
      </c>
      <c r="F915">
        <v>0</v>
      </c>
      <c r="G915">
        <v>170.7</v>
      </c>
      <c r="H915">
        <v>55</v>
      </c>
      <c r="I915">
        <v>29.02</v>
      </c>
      <c r="J915">
        <v>179.1</v>
      </c>
      <c r="K915">
        <v>108</v>
      </c>
      <c r="L915">
        <v>15.22</v>
      </c>
      <c r="M915">
        <v>281.9</v>
      </c>
      <c r="N915">
        <v>89</v>
      </c>
      <c r="O915">
        <v>12.69</v>
      </c>
      <c r="P915">
        <v>8.2</v>
      </c>
      <c r="Q915">
        <v>9</v>
      </c>
      <c r="R915">
        <v>2.21</v>
      </c>
      <c r="S915">
        <v>3</v>
      </c>
      <c r="T915" t="b">
        <v>0</v>
      </c>
    </row>
    <row r="916" spans="1:20">
      <c r="A916" t="s">
        <v>90</v>
      </c>
      <c r="B916">
        <v>173</v>
      </c>
      <c r="C916">
        <v>510</v>
      </c>
      <c r="D916" t="s">
        <v>62</v>
      </c>
      <c r="E916" t="s">
        <v>62</v>
      </c>
      <c r="F916">
        <v>0</v>
      </c>
      <c r="G916">
        <v>172.5</v>
      </c>
      <c r="H916">
        <v>78</v>
      </c>
      <c r="I916">
        <v>29.33</v>
      </c>
      <c r="J916">
        <v>142.6</v>
      </c>
      <c r="K916">
        <v>91</v>
      </c>
      <c r="L916">
        <v>12.12</v>
      </c>
      <c r="M916">
        <v>102</v>
      </c>
      <c r="N916">
        <v>63</v>
      </c>
      <c r="O916">
        <v>4.59</v>
      </c>
      <c r="P916">
        <v>10.9</v>
      </c>
      <c r="Q916">
        <v>2</v>
      </c>
      <c r="R916">
        <v>2.94</v>
      </c>
      <c r="S916">
        <v>0</v>
      </c>
      <c r="T916" t="b">
        <v>0</v>
      </c>
    </row>
    <row r="917" spans="1:20">
      <c r="A917" t="s">
        <v>94</v>
      </c>
      <c r="B917">
        <v>157</v>
      </c>
      <c r="C917">
        <v>510</v>
      </c>
      <c r="D917" t="s">
        <v>62</v>
      </c>
      <c r="E917" t="s">
        <v>63</v>
      </c>
      <c r="F917">
        <v>30</v>
      </c>
      <c r="G917">
        <v>194.3</v>
      </c>
      <c r="H917">
        <v>107</v>
      </c>
      <c r="I917">
        <v>33.03</v>
      </c>
      <c r="J917">
        <v>243.2</v>
      </c>
      <c r="K917">
        <v>108</v>
      </c>
      <c r="L917">
        <v>20.67</v>
      </c>
      <c r="M917">
        <v>322.2</v>
      </c>
      <c r="N917">
        <v>114</v>
      </c>
      <c r="O917">
        <v>14.5</v>
      </c>
      <c r="P917">
        <v>7.1</v>
      </c>
      <c r="Q917">
        <v>5</v>
      </c>
      <c r="R917">
        <v>1.92</v>
      </c>
      <c r="S917">
        <v>1</v>
      </c>
      <c r="T917" t="b">
        <v>0</v>
      </c>
    </row>
    <row r="918" spans="1:20">
      <c r="A918" t="s">
        <v>109</v>
      </c>
      <c r="B918">
        <v>66</v>
      </c>
      <c r="C918">
        <v>408</v>
      </c>
      <c r="D918" t="s">
        <v>62</v>
      </c>
      <c r="E918" t="s">
        <v>63</v>
      </c>
      <c r="F918">
        <v>32</v>
      </c>
      <c r="G918">
        <v>187.8</v>
      </c>
      <c r="H918">
        <v>117</v>
      </c>
      <c r="I918">
        <v>31.93</v>
      </c>
      <c r="J918">
        <v>129.8</v>
      </c>
      <c r="K918">
        <v>90</v>
      </c>
      <c r="L918">
        <v>11.03</v>
      </c>
      <c r="M918">
        <v>132.3</v>
      </c>
      <c r="N918">
        <v>113</v>
      </c>
      <c r="O918">
        <v>5.95</v>
      </c>
      <c r="P918">
        <v>12</v>
      </c>
      <c r="Q918">
        <v>3</v>
      </c>
      <c r="R918">
        <v>3.24</v>
      </c>
      <c r="S918">
        <v>2</v>
      </c>
      <c r="T918" t="b">
        <v>0</v>
      </c>
    </row>
    <row r="919" spans="1:20">
      <c r="A919" t="s">
        <v>78</v>
      </c>
      <c r="B919">
        <v>50</v>
      </c>
      <c r="C919">
        <v>415</v>
      </c>
      <c r="D919" t="s">
        <v>63</v>
      </c>
      <c r="E919" t="s">
        <v>63</v>
      </c>
      <c r="F919">
        <v>26</v>
      </c>
      <c r="G919">
        <v>307.1</v>
      </c>
      <c r="H919">
        <v>94</v>
      </c>
      <c r="I919">
        <v>52.21</v>
      </c>
      <c r="J919">
        <v>289.4</v>
      </c>
      <c r="K919">
        <v>78</v>
      </c>
      <c r="L919">
        <v>24.6</v>
      </c>
      <c r="M919">
        <v>174.9</v>
      </c>
      <c r="N919">
        <v>109</v>
      </c>
      <c r="O919">
        <v>7.87</v>
      </c>
      <c r="P919">
        <v>8</v>
      </c>
      <c r="Q919">
        <v>3</v>
      </c>
      <c r="R919">
        <v>2.16</v>
      </c>
      <c r="S919">
        <v>0</v>
      </c>
      <c r="T919" t="b">
        <v>0</v>
      </c>
    </row>
    <row r="920" spans="1:20">
      <c r="A920" t="s">
        <v>97</v>
      </c>
      <c r="B920">
        <v>72</v>
      </c>
      <c r="C920">
        <v>415</v>
      </c>
      <c r="D920" t="s">
        <v>62</v>
      </c>
      <c r="E920" t="s">
        <v>62</v>
      </c>
      <c r="F920">
        <v>0</v>
      </c>
      <c r="G920">
        <v>118.2</v>
      </c>
      <c r="H920">
        <v>106</v>
      </c>
      <c r="I920">
        <v>20.09</v>
      </c>
      <c r="J920">
        <v>167.2</v>
      </c>
      <c r="K920">
        <v>136</v>
      </c>
      <c r="L920">
        <v>14.21</v>
      </c>
      <c r="M920">
        <v>214.2</v>
      </c>
      <c r="N920">
        <v>106</v>
      </c>
      <c r="O920">
        <v>9.64</v>
      </c>
      <c r="P920">
        <v>12.2</v>
      </c>
      <c r="Q920">
        <v>3</v>
      </c>
      <c r="R920">
        <v>3.29</v>
      </c>
      <c r="S920">
        <v>3</v>
      </c>
      <c r="T920" t="b">
        <v>0</v>
      </c>
    </row>
    <row r="921" spans="1:20">
      <c r="A921" t="s">
        <v>61</v>
      </c>
      <c r="B921">
        <v>130</v>
      </c>
      <c r="C921">
        <v>510</v>
      </c>
      <c r="D921" t="s">
        <v>62</v>
      </c>
      <c r="E921" t="s">
        <v>62</v>
      </c>
      <c r="F921">
        <v>0</v>
      </c>
      <c r="G921">
        <v>154</v>
      </c>
      <c r="H921">
        <v>95</v>
      </c>
      <c r="I921">
        <v>26.18</v>
      </c>
      <c r="J921">
        <v>205.9</v>
      </c>
      <c r="K921">
        <v>106</v>
      </c>
      <c r="L921">
        <v>17.5</v>
      </c>
      <c r="M921">
        <v>233.7</v>
      </c>
      <c r="N921">
        <v>75</v>
      </c>
      <c r="O921">
        <v>10.52</v>
      </c>
      <c r="P921">
        <v>12.9</v>
      </c>
      <c r="Q921">
        <v>1</v>
      </c>
      <c r="R921">
        <v>3.48</v>
      </c>
      <c r="S921">
        <v>1</v>
      </c>
      <c r="T921" t="b">
        <v>0</v>
      </c>
    </row>
    <row r="922" spans="1:20">
      <c r="A922" t="s">
        <v>104</v>
      </c>
      <c r="B922">
        <v>143</v>
      </c>
      <c r="C922">
        <v>408</v>
      </c>
      <c r="D922" t="s">
        <v>62</v>
      </c>
      <c r="E922" t="s">
        <v>62</v>
      </c>
      <c r="F922">
        <v>0</v>
      </c>
      <c r="G922">
        <v>155.5</v>
      </c>
      <c r="H922">
        <v>101</v>
      </c>
      <c r="I922">
        <v>26.44</v>
      </c>
      <c r="J922">
        <v>213.4</v>
      </c>
      <c r="K922">
        <v>89</v>
      </c>
      <c r="L922">
        <v>18.14</v>
      </c>
      <c r="M922">
        <v>237.9</v>
      </c>
      <c r="N922">
        <v>61</v>
      </c>
      <c r="O922">
        <v>10.71</v>
      </c>
      <c r="P922">
        <v>7.6</v>
      </c>
      <c r="Q922">
        <v>11</v>
      </c>
      <c r="R922">
        <v>2.05</v>
      </c>
      <c r="S922">
        <v>1</v>
      </c>
      <c r="T922" t="b">
        <v>0</v>
      </c>
    </row>
    <row r="923" spans="1:20">
      <c r="A923" t="s">
        <v>80</v>
      </c>
      <c r="B923">
        <v>32</v>
      </c>
      <c r="C923">
        <v>408</v>
      </c>
      <c r="D923" t="s">
        <v>62</v>
      </c>
      <c r="E923" t="s">
        <v>62</v>
      </c>
      <c r="F923">
        <v>0</v>
      </c>
      <c r="G923">
        <v>157.9</v>
      </c>
      <c r="H923">
        <v>88</v>
      </c>
      <c r="I923">
        <v>26.84</v>
      </c>
      <c r="J923">
        <v>180.8</v>
      </c>
      <c r="K923">
        <v>132</v>
      </c>
      <c r="L923">
        <v>15.37</v>
      </c>
      <c r="M923">
        <v>132.5</v>
      </c>
      <c r="N923">
        <v>102</v>
      </c>
      <c r="O923">
        <v>5.96</v>
      </c>
      <c r="P923">
        <v>12.8</v>
      </c>
      <c r="Q923">
        <v>3</v>
      </c>
      <c r="R923">
        <v>3.46</v>
      </c>
      <c r="S923">
        <v>1</v>
      </c>
      <c r="T923" t="b">
        <v>0</v>
      </c>
    </row>
    <row r="924" spans="1:20">
      <c r="A924" t="s">
        <v>68</v>
      </c>
      <c r="B924">
        <v>166</v>
      </c>
      <c r="C924">
        <v>415</v>
      </c>
      <c r="D924" t="s">
        <v>62</v>
      </c>
      <c r="E924" t="s">
        <v>62</v>
      </c>
      <c r="F924">
        <v>0</v>
      </c>
      <c r="G924">
        <v>203.4</v>
      </c>
      <c r="H924">
        <v>81</v>
      </c>
      <c r="I924">
        <v>34.58</v>
      </c>
      <c r="J924">
        <v>167.7</v>
      </c>
      <c r="K924">
        <v>110</v>
      </c>
      <c r="L924">
        <v>14.25</v>
      </c>
      <c r="M924">
        <v>132</v>
      </c>
      <c r="N924">
        <v>124</v>
      </c>
      <c r="O924">
        <v>5.94</v>
      </c>
      <c r="P924">
        <v>9.2</v>
      </c>
      <c r="Q924">
        <v>5</v>
      </c>
      <c r="R924">
        <v>2.48</v>
      </c>
      <c r="S924">
        <v>2</v>
      </c>
      <c r="T924" t="b">
        <v>0</v>
      </c>
    </row>
    <row r="925" spans="1:20">
      <c r="A925" t="s">
        <v>98</v>
      </c>
      <c r="B925">
        <v>72</v>
      </c>
      <c r="C925">
        <v>408</v>
      </c>
      <c r="D925" t="s">
        <v>62</v>
      </c>
      <c r="E925" t="s">
        <v>63</v>
      </c>
      <c r="F925">
        <v>39</v>
      </c>
      <c r="G925">
        <v>92.8</v>
      </c>
      <c r="H925">
        <v>98</v>
      </c>
      <c r="I925">
        <v>15.78</v>
      </c>
      <c r="J925">
        <v>271.2</v>
      </c>
      <c r="K925">
        <v>115</v>
      </c>
      <c r="L925">
        <v>23.05</v>
      </c>
      <c r="M925">
        <v>167.1</v>
      </c>
      <c r="N925">
        <v>83</v>
      </c>
      <c r="O925">
        <v>7.52</v>
      </c>
      <c r="P925">
        <v>5.8</v>
      </c>
      <c r="Q925">
        <v>7</v>
      </c>
      <c r="R925">
        <v>1.57</v>
      </c>
      <c r="S925">
        <v>1</v>
      </c>
      <c r="T925" t="b">
        <v>0</v>
      </c>
    </row>
    <row r="926" spans="1:20">
      <c r="A926" t="s">
        <v>75</v>
      </c>
      <c r="B926">
        <v>134</v>
      </c>
      <c r="C926">
        <v>415</v>
      </c>
      <c r="D926" t="s">
        <v>62</v>
      </c>
      <c r="E926" t="s">
        <v>63</v>
      </c>
      <c r="F926">
        <v>32</v>
      </c>
      <c r="G926">
        <v>216.8</v>
      </c>
      <c r="H926">
        <v>78</v>
      </c>
      <c r="I926">
        <v>36.86</v>
      </c>
      <c r="J926">
        <v>102.2</v>
      </c>
      <c r="K926">
        <v>111</v>
      </c>
      <c r="L926">
        <v>8.69</v>
      </c>
      <c r="M926">
        <v>174</v>
      </c>
      <c r="N926">
        <v>83</v>
      </c>
      <c r="O926">
        <v>7.83</v>
      </c>
      <c r="P926">
        <v>8.6</v>
      </c>
      <c r="Q926">
        <v>2</v>
      </c>
      <c r="R926">
        <v>2.32</v>
      </c>
      <c r="S926">
        <v>0</v>
      </c>
      <c r="T926" t="b">
        <v>0</v>
      </c>
    </row>
    <row r="927" spans="1:20">
      <c r="A927" t="s">
        <v>87</v>
      </c>
      <c r="B927">
        <v>13</v>
      </c>
      <c r="C927">
        <v>415</v>
      </c>
      <c r="D927" t="s">
        <v>62</v>
      </c>
      <c r="E927" t="s">
        <v>62</v>
      </c>
      <c r="F927">
        <v>0</v>
      </c>
      <c r="G927">
        <v>193.2</v>
      </c>
      <c r="H927">
        <v>89</v>
      </c>
      <c r="I927">
        <v>32.84</v>
      </c>
      <c r="J927">
        <v>194.4</v>
      </c>
      <c r="K927">
        <v>90</v>
      </c>
      <c r="L927">
        <v>16.52</v>
      </c>
      <c r="M927">
        <v>186.5</v>
      </c>
      <c r="N927">
        <v>104</v>
      </c>
      <c r="O927">
        <v>8.39</v>
      </c>
      <c r="P927">
        <v>9.7</v>
      </c>
      <c r="Q927">
        <v>2</v>
      </c>
      <c r="R927">
        <v>2.62</v>
      </c>
      <c r="S927">
        <v>4</v>
      </c>
      <c r="T927" t="b">
        <v>0</v>
      </c>
    </row>
    <row r="928" spans="1:20">
      <c r="A928" t="s">
        <v>89</v>
      </c>
      <c r="B928">
        <v>90</v>
      </c>
      <c r="C928">
        <v>415</v>
      </c>
      <c r="D928" t="s">
        <v>62</v>
      </c>
      <c r="E928" t="s">
        <v>62</v>
      </c>
      <c r="F928">
        <v>0</v>
      </c>
      <c r="G928">
        <v>113.2</v>
      </c>
      <c r="H928">
        <v>108</v>
      </c>
      <c r="I928">
        <v>19.24</v>
      </c>
      <c r="J928">
        <v>189.3</v>
      </c>
      <c r="K928">
        <v>63</v>
      </c>
      <c r="L928">
        <v>16.09</v>
      </c>
      <c r="M928">
        <v>271.8</v>
      </c>
      <c r="N928">
        <v>124</v>
      </c>
      <c r="O928">
        <v>12.23</v>
      </c>
      <c r="P928">
        <v>14.1</v>
      </c>
      <c r="Q928">
        <v>4</v>
      </c>
      <c r="R928">
        <v>3.81</v>
      </c>
      <c r="S928">
        <v>3</v>
      </c>
      <c r="T928" t="b">
        <v>0</v>
      </c>
    </row>
    <row r="929" spans="1:20">
      <c r="A929" t="s">
        <v>93</v>
      </c>
      <c r="B929">
        <v>111</v>
      </c>
      <c r="C929">
        <v>415</v>
      </c>
      <c r="D929" t="s">
        <v>62</v>
      </c>
      <c r="E929" t="s">
        <v>63</v>
      </c>
      <c r="F929">
        <v>36</v>
      </c>
      <c r="G929">
        <v>166.2</v>
      </c>
      <c r="H929">
        <v>54</v>
      </c>
      <c r="I929">
        <v>28.25</v>
      </c>
      <c r="J929">
        <v>238.8</v>
      </c>
      <c r="K929">
        <v>109</v>
      </c>
      <c r="L929">
        <v>20.3</v>
      </c>
      <c r="M929">
        <v>108.8</v>
      </c>
      <c r="N929">
        <v>92</v>
      </c>
      <c r="O929">
        <v>4.9</v>
      </c>
      <c r="P929">
        <v>11.2</v>
      </c>
      <c r="Q929">
        <v>2</v>
      </c>
      <c r="R929">
        <v>3.02</v>
      </c>
      <c r="S929">
        <v>3</v>
      </c>
      <c r="T929" t="b">
        <v>0</v>
      </c>
    </row>
    <row r="930" spans="1:20">
      <c r="A930" t="s">
        <v>82</v>
      </c>
      <c r="B930">
        <v>101</v>
      </c>
      <c r="C930">
        <v>408</v>
      </c>
      <c r="D930" t="s">
        <v>62</v>
      </c>
      <c r="E930" t="s">
        <v>63</v>
      </c>
      <c r="F930">
        <v>23</v>
      </c>
      <c r="G930">
        <v>262.2</v>
      </c>
      <c r="H930">
        <v>101</v>
      </c>
      <c r="I930">
        <v>44.57</v>
      </c>
      <c r="J930">
        <v>157</v>
      </c>
      <c r="K930">
        <v>80</v>
      </c>
      <c r="L930">
        <v>13.35</v>
      </c>
      <c r="M930">
        <v>129.1</v>
      </c>
      <c r="N930">
        <v>100</v>
      </c>
      <c r="O930">
        <v>5.81</v>
      </c>
      <c r="P930">
        <v>7.3</v>
      </c>
      <c r="Q930">
        <v>14</v>
      </c>
      <c r="R930">
        <v>1.97</v>
      </c>
      <c r="S930">
        <v>1</v>
      </c>
      <c r="T930" t="b">
        <v>0</v>
      </c>
    </row>
    <row r="931" spans="1:20">
      <c r="A931" t="s">
        <v>111</v>
      </c>
      <c r="B931">
        <v>72</v>
      </c>
      <c r="C931">
        <v>415</v>
      </c>
      <c r="D931" t="s">
        <v>62</v>
      </c>
      <c r="E931" t="s">
        <v>62</v>
      </c>
      <c r="F931">
        <v>0</v>
      </c>
      <c r="G931">
        <v>207.8</v>
      </c>
      <c r="H931">
        <v>92</v>
      </c>
      <c r="I931">
        <v>35.33</v>
      </c>
      <c r="J931">
        <v>195.7</v>
      </c>
      <c r="K931">
        <v>110</v>
      </c>
      <c r="L931">
        <v>16.63</v>
      </c>
      <c r="M931">
        <v>184.8</v>
      </c>
      <c r="N931">
        <v>124</v>
      </c>
      <c r="O931">
        <v>8.32</v>
      </c>
      <c r="P931">
        <v>13.1</v>
      </c>
      <c r="Q931">
        <v>4</v>
      </c>
      <c r="R931">
        <v>3.54</v>
      </c>
      <c r="S931">
        <v>0</v>
      </c>
      <c r="T931" t="b">
        <v>0</v>
      </c>
    </row>
    <row r="932" spans="1:20">
      <c r="A932" t="s">
        <v>110</v>
      </c>
      <c r="B932">
        <v>67</v>
      </c>
      <c r="C932">
        <v>510</v>
      </c>
      <c r="D932" t="s">
        <v>62</v>
      </c>
      <c r="E932" t="s">
        <v>63</v>
      </c>
      <c r="F932">
        <v>35</v>
      </c>
      <c r="G932">
        <v>245.4</v>
      </c>
      <c r="H932">
        <v>89</v>
      </c>
      <c r="I932">
        <v>41.72</v>
      </c>
      <c r="J932">
        <v>148.2</v>
      </c>
      <c r="K932">
        <v>102</v>
      </c>
      <c r="L932">
        <v>12.6</v>
      </c>
      <c r="M932">
        <v>274</v>
      </c>
      <c r="N932">
        <v>136</v>
      </c>
      <c r="O932">
        <v>12.33</v>
      </c>
      <c r="P932">
        <v>7.5</v>
      </c>
      <c r="Q932">
        <v>6</v>
      </c>
      <c r="R932">
        <v>2.03</v>
      </c>
      <c r="S932">
        <v>1</v>
      </c>
      <c r="T932" t="b">
        <v>0</v>
      </c>
    </row>
    <row r="933" spans="1:20">
      <c r="A933" t="s">
        <v>91</v>
      </c>
      <c r="B933">
        <v>172</v>
      </c>
      <c r="C933">
        <v>408</v>
      </c>
      <c r="D933" t="s">
        <v>62</v>
      </c>
      <c r="E933" t="s">
        <v>62</v>
      </c>
      <c r="F933">
        <v>0</v>
      </c>
      <c r="G933">
        <v>287.1</v>
      </c>
      <c r="H933">
        <v>108</v>
      </c>
      <c r="I933">
        <v>48.81</v>
      </c>
      <c r="J933">
        <v>178.4</v>
      </c>
      <c r="K933">
        <v>125</v>
      </c>
      <c r="L933">
        <v>15.16</v>
      </c>
      <c r="M933">
        <v>153.2</v>
      </c>
      <c r="N933">
        <v>98</v>
      </c>
      <c r="O933">
        <v>6.89</v>
      </c>
      <c r="P933">
        <v>14.4</v>
      </c>
      <c r="Q933">
        <v>2</v>
      </c>
      <c r="R933">
        <v>3.89</v>
      </c>
      <c r="S933">
        <v>3</v>
      </c>
      <c r="T933" t="b">
        <v>1</v>
      </c>
    </row>
    <row r="934" spans="1:20">
      <c r="A934" t="s">
        <v>96</v>
      </c>
      <c r="B934">
        <v>154</v>
      </c>
      <c r="C934">
        <v>510</v>
      </c>
      <c r="D934" t="s">
        <v>62</v>
      </c>
      <c r="E934" t="s">
        <v>63</v>
      </c>
      <c r="F934">
        <v>32</v>
      </c>
      <c r="G934">
        <v>192.3</v>
      </c>
      <c r="H934">
        <v>82</v>
      </c>
      <c r="I934">
        <v>32.69</v>
      </c>
      <c r="J934">
        <v>165.3</v>
      </c>
      <c r="K934">
        <v>134</v>
      </c>
      <c r="L934">
        <v>14.05</v>
      </c>
      <c r="M934">
        <v>205</v>
      </c>
      <c r="N934">
        <v>74</v>
      </c>
      <c r="O934">
        <v>9.23</v>
      </c>
      <c r="P934">
        <v>9</v>
      </c>
      <c r="Q934">
        <v>1</v>
      </c>
      <c r="R934">
        <v>2.43</v>
      </c>
      <c r="S934">
        <v>2</v>
      </c>
      <c r="T934" t="b">
        <v>0</v>
      </c>
    </row>
    <row r="935" spans="1:20">
      <c r="A935" t="s">
        <v>108</v>
      </c>
      <c r="B935">
        <v>69</v>
      </c>
      <c r="C935">
        <v>510</v>
      </c>
      <c r="D935" t="s">
        <v>62</v>
      </c>
      <c r="E935" t="s">
        <v>62</v>
      </c>
      <c r="F935">
        <v>0</v>
      </c>
      <c r="G935">
        <v>194.2</v>
      </c>
      <c r="H935">
        <v>122</v>
      </c>
      <c r="I935">
        <v>33.01</v>
      </c>
      <c r="J935">
        <v>242.1</v>
      </c>
      <c r="K935">
        <v>81</v>
      </c>
      <c r="L935">
        <v>20.58</v>
      </c>
      <c r="M935">
        <v>215.8</v>
      </c>
      <c r="N935">
        <v>80</v>
      </c>
      <c r="O935">
        <v>9.71</v>
      </c>
      <c r="P935">
        <v>9.7</v>
      </c>
      <c r="Q935">
        <v>3</v>
      </c>
      <c r="R935">
        <v>2.62</v>
      </c>
      <c r="S935">
        <v>2</v>
      </c>
      <c r="T935" t="b">
        <v>0</v>
      </c>
    </row>
    <row r="936" spans="1:20">
      <c r="A936" t="s">
        <v>105</v>
      </c>
      <c r="B936">
        <v>123</v>
      </c>
      <c r="C936">
        <v>415</v>
      </c>
      <c r="D936" t="s">
        <v>62</v>
      </c>
      <c r="E936" t="s">
        <v>62</v>
      </c>
      <c r="F936">
        <v>0</v>
      </c>
      <c r="G936">
        <v>211</v>
      </c>
      <c r="H936">
        <v>92</v>
      </c>
      <c r="I936">
        <v>35.87</v>
      </c>
      <c r="J936">
        <v>217</v>
      </c>
      <c r="K936">
        <v>102</v>
      </c>
      <c r="L936">
        <v>18.45</v>
      </c>
      <c r="M936">
        <v>214.8</v>
      </c>
      <c r="N936">
        <v>104</v>
      </c>
      <c r="O936">
        <v>9.67</v>
      </c>
      <c r="P936">
        <v>9.8</v>
      </c>
      <c r="Q936">
        <v>7</v>
      </c>
      <c r="R936">
        <v>2.65</v>
      </c>
      <c r="S936">
        <v>3</v>
      </c>
      <c r="T936" t="b">
        <v>0</v>
      </c>
    </row>
    <row r="937" spans="1:20">
      <c r="A937" t="s">
        <v>112</v>
      </c>
      <c r="B937">
        <v>130</v>
      </c>
      <c r="C937">
        <v>415</v>
      </c>
      <c r="D937" t="s">
        <v>62</v>
      </c>
      <c r="E937" t="s">
        <v>63</v>
      </c>
      <c r="F937">
        <v>12</v>
      </c>
      <c r="G937">
        <v>141.9</v>
      </c>
      <c r="H937">
        <v>92</v>
      </c>
      <c r="I937">
        <v>24.12</v>
      </c>
      <c r="J937">
        <v>228.9</v>
      </c>
      <c r="K937">
        <v>102</v>
      </c>
      <c r="L937">
        <v>19.46</v>
      </c>
      <c r="M937">
        <v>195.1</v>
      </c>
      <c r="N937">
        <v>101</v>
      </c>
      <c r="O937">
        <v>8.78</v>
      </c>
      <c r="P937">
        <v>8.7</v>
      </c>
      <c r="Q937">
        <v>5</v>
      </c>
      <c r="R937">
        <v>2.35</v>
      </c>
      <c r="S937">
        <v>0</v>
      </c>
      <c r="T937" t="b">
        <v>0</v>
      </c>
    </row>
    <row r="938" spans="1:20">
      <c r="A938" t="s">
        <v>81</v>
      </c>
      <c r="B938">
        <v>142</v>
      </c>
      <c r="C938">
        <v>415</v>
      </c>
      <c r="D938" t="s">
        <v>62</v>
      </c>
      <c r="E938" t="s">
        <v>63</v>
      </c>
      <c r="F938">
        <v>26</v>
      </c>
      <c r="G938">
        <v>220.5</v>
      </c>
      <c r="H938">
        <v>94</v>
      </c>
      <c r="I938">
        <v>37.49</v>
      </c>
      <c r="J938">
        <v>239.5</v>
      </c>
      <c r="K938">
        <v>126</v>
      </c>
      <c r="L938">
        <v>20.36</v>
      </c>
      <c r="M938">
        <v>254.3</v>
      </c>
      <c r="N938">
        <v>109</v>
      </c>
      <c r="O938">
        <v>11.44</v>
      </c>
      <c r="P938">
        <v>5.9</v>
      </c>
      <c r="Q938">
        <v>9</v>
      </c>
      <c r="R938">
        <v>1.59</v>
      </c>
      <c r="S938">
        <v>2</v>
      </c>
      <c r="T938" t="b">
        <v>0</v>
      </c>
    </row>
    <row r="939" spans="1:20">
      <c r="A939" t="s">
        <v>114</v>
      </c>
      <c r="B939">
        <v>87</v>
      </c>
      <c r="C939">
        <v>408</v>
      </c>
      <c r="D939" t="s">
        <v>62</v>
      </c>
      <c r="E939" t="s">
        <v>63</v>
      </c>
      <c r="F939">
        <v>28</v>
      </c>
      <c r="G939">
        <v>143.5</v>
      </c>
      <c r="H939">
        <v>106</v>
      </c>
      <c r="I939">
        <v>24.4</v>
      </c>
      <c r="J939">
        <v>223.5</v>
      </c>
      <c r="K939">
        <v>147</v>
      </c>
      <c r="L939">
        <v>19</v>
      </c>
      <c r="M939">
        <v>175.4</v>
      </c>
      <c r="N939">
        <v>69</v>
      </c>
      <c r="O939">
        <v>7.89</v>
      </c>
      <c r="P939">
        <v>11.2</v>
      </c>
      <c r="Q939">
        <v>5</v>
      </c>
      <c r="R939">
        <v>3.02</v>
      </c>
      <c r="S939">
        <v>0</v>
      </c>
      <c r="T939" t="b">
        <v>0</v>
      </c>
    </row>
    <row r="940" spans="1:20">
      <c r="A940" t="s">
        <v>84</v>
      </c>
      <c r="B940">
        <v>149</v>
      </c>
      <c r="C940">
        <v>415</v>
      </c>
      <c r="D940" t="s">
        <v>62</v>
      </c>
      <c r="E940" t="s">
        <v>62</v>
      </c>
      <c r="F940">
        <v>0</v>
      </c>
      <c r="G940">
        <v>156</v>
      </c>
      <c r="H940">
        <v>56</v>
      </c>
      <c r="I940">
        <v>26.52</v>
      </c>
      <c r="J940">
        <v>56</v>
      </c>
      <c r="K940">
        <v>116</v>
      </c>
      <c r="L940">
        <v>4.76</v>
      </c>
      <c r="M940">
        <v>163.3</v>
      </c>
      <c r="N940">
        <v>104</v>
      </c>
      <c r="O940">
        <v>7.35</v>
      </c>
      <c r="P940">
        <v>8.9</v>
      </c>
      <c r="Q940">
        <v>8</v>
      </c>
      <c r="R940">
        <v>2.4</v>
      </c>
      <c r="S940">
        <v>0</v>
      </c>
      <c r="T940" t="b">
        <v>0</v>
      </c>
    </row>
    <row r="941" spans="1:20">
      <c r="A941" t="s">
        <v>112</v>
      </c>
      <c r="B941">
        <v>146</v>
      </c>
      <c r="C941">
        <v>408</v>
      </c>
      <c r="D941" t="s">
        <v>63</v>
      </c>
      <c r="E941" t="s">
        <v>62</v>
      </c>
      <c r="F941">
        <v>0</v>
      </c>
      <c r="G941">
        <v>160.1</v>
      </c>
      <c r="H941">
        <v>63</v>
      </c>
      <c r="I941">
        <v>27.22</v>
      </c>
      <c r="J941">
        <v>208.4</v>
      </c>
      <c r="K941">
        <v>112</v>
      </c>
      <c r="L941">
        <v>17.71</v>
      </c>
      <c r="M941">
        <v>177.6</v>
      </c>
      <c r="N941">
        <v>98</v>
      </c>
      <c r="O941">
        <v>7.99</v>
      </c>
      <c r="P941">
        <v>9.2</v>
      </c>
      <c r="Q941">
        <v>3</v>
      </c>
      <c r="R941">
        <v>2.48</v>
      </c>
      <c r="S941">
        <v>2</v>
      </c>
      <c r="T941" t="b">
        <v>0</v>
      </c>
    </row>
    <row r="942" spans="1:20">
      <c r="A942" t="s">
        <v>91</v>
      </c>
      <c r="B942">
        <v>88</v>
      </c>
      <c r="C942">
        <v>415</v>
      </c>
      <c r="D942" t="s">
        <v>63</v>
      </c>
      <c r="E942" t="s">
        <v>62</v>
      </c>
      <c r="F942">
        <v>0</v>
      </c>
      <c r="G942">
        <v>235.1</v>
      </c>
      <c r="H942">
        <v>98</v>
      </c>
      <c r="I942">
        <v>39.97</v>
      </c>
      <c r="J942">
        <v>251.8</v>
      </c>
      <c r="K942">
        <v>79</v>
      </c>
      <c r="L942">
        <v>21.4</v>
      </c>
      <c r="M942">
        <v>285.9</v>
      </c>
      <c r="N942">
        <v>76</v>
      </c>
      <c r="O942">
        <v>12.87</v>
      </c>
      <c r="P942">
        <v>7.2</v>
      </c>
      <c r="Q942">
        <v>2</v>
      </c>
      <c r="R942">
        <v>1.94</v>
      </c>
      <c r="S942">
        <v>4</v>
      </c>
      <c r="T942" t="b">
        <v>1</v>
      </c>
    </row>
    <row r="943" spans="1:20">
      <c r="A943" t="s">
        <v>78</v>
      </c>
      <c r="B943">
        <v>48</v>
      </c>
      <c r="C943">
        <v>510</v>
      </c>
      <c r="D943" t="s">
        <v>62</v>
      </c>
      <c r="E943" t="s">
        <v>62</v>
      </c>
      <c r="F943">
        <v>0</v>
      </c>
      <c r="G943">
        <v>188.4</v>
      </c>
      <c r="H943">
        <v>63</v>
      </c>
      <c r="I943">
        <v>32.03</v>
      </c>
      <c r="J943">
        <v>165.9</v>
      </c>
      <c r="K943">
        <v>89</v>
      </c>
      <c r="L943">
        <v>14.1</v>
      </c>
      <c r="M943">
        <v>205.7</v>
      </c>
      <c r="N943">
        <v>71</v>
      </c>
      <c r="O943">
        <v>9.26</v>
      </c>
      <c r="P943">
        <v>13.2</v>
      </c>
      <c r="Q943">
        <v>2</v>
      </c>
      <c r="R943">
        <v>3.56</v>
      </c>
      <c r="S943">
        <v>1</v>
      </c>
      <c r="T943" t="b">
        <v>0</v>
      </c>
    </row>
    <row r="944" spans="1:20">
      <c r="A944" t="s">
        <v>94</v>
      </c>
      <c r="B944">
        <v>135</v>
      </c>
      <c r="C944">
        <v>415</v>
      </c>
      <c r="D944" t="s">
        <v>62</v>
      </c>
      <c r="E944" t="s">
        <v>62</v>
      </c>
      <c r="F944">
        <v>0</v>
      </c>
      <c r="G944">
        <v>194.8</v>
      </c>
      <c r="H944">
        <v>97</v>
      </c>
      <c r="I944">
        <v>33.12</v>
      </c>
      <c r="J944">
        <v>235.3</v>
      </c>
      <c r="K944">
        <v>118</v>
      </c>
      <c r="L944">
        <v>20</v>
      </c>
      <c r="M944">
        <v>174.4</v>
      </c>
      <c r="N944">
        <v>126</v>
      </c>
      <c r="O944">
        <v>7.85</v>
      </c>
      <c r="P944">
        <v>11</v>
      </c>
      <c r="Q944">
        <v>3</v>
      </c>
      <c r="R944">
        <v>2.97</v>
      </c>
      <c r="S944">
        <v>1</v>
      </c>
      <c r="T944" t="b">
        <v>0</v>
      </c>
    </row>
    <row r="945" spans="1:20">
      <c r="A945" t="s">
        <v>96</v>
      </c>
      <c r="B945">
        <v>100</v>
      </c>
      <c r="C945">
        <v>510</v>
      </c>
      <c r="D945" t="s">
        <v>62</v>
      </c>
      <c r="E945" t="s">
        <v>62</v>
      </c>
      <c r="F945">
        <v>0</v>
      </c>
      <c r="G945">
        <v>247.8</v>
      </c>
      <c r="H945">
        <v>117</v>
      </c>
      <c r="I945">
        <v>42.13</v>
      </c>
      <c r="J945">
        <v>130</v>
      </c>
      <c r="K945">
        <v>95</v>
      </c>
      <c r="L945">
        <v>11.05</v>
      </c>
      <c r="M945">
        <v>134.3</v>
      </c>
      <c r="N945">
        <v>125</v>
      </c>
      <c r="O945">
        <v>6.04</v>
      </c>
      <c r="P945">
        <v>6.9</v>
      </c>
      <c r="Q945">
        <v>2</v>
      </c>
      <c r="R945">
        <v>1.86</v>
      </c>
      <c r="S945">
        <v>1</v>
      </c>
      <c r="T945" t="b">
        <v>0</v>
      </c>
    </row>
    <row r="946" spans="1:20">
      <c r="A946" t="s">
        <v>69</v>
      </c>
      <c r="B946">
        <v>98</v>
      </c>
      <c r="C946">
        <v>415</v>
      </c>
      <c r="D946" t="s">
        <v>62</v>
      </c>
      <c r="E946" t="s">
        <v>62</v>
      </c>
      <c r="F946">
        <v>0</v>
      </c>
      <c r="G946">
        <v>221.2</v>
      </c>
      <c r="H946">
        <v>80</v>
      </c>
      <c r="I946">
        <v>37.6</v>
      </c>
      <c r="J946">
        <v>213.6</v>
      </c>
      <c r="K946">
        <v>104</v>
      </c>
      <c r="L946">
        <v>18.16</v>
      </c>
      <c r="M946">
        <v>291.8</v>
      </c>
      <c r="N946">
        <v>89</v>
      </c>
      <c r="O946">
        <v>13.13</v>
      </c>
      <c r="P946">
        <v>11.9</v>
      </c>
      <c r="Q946">
        <v>3</v>
      </c>
      <c r="R946">
        <v>3.21</v>
      </c>
      <c r="S946">
        <v>4</v>
      </c>
      <c r="T946" t="b">
        <v>0</v>
      </c>
    </row>
    <row r="947" spans="1:20">
      <c r="A947" t="s">
        <v>81</v>
      </c>
      <c r="B947">
        <v>75</v>
      </c>
      <c r="C947">
        <v>510</v>
      </c>
      <c r="D947" t="s">
        <v>62</v>
      </c>
      <c r="E947" t="s">
        <v>63</v>
      </c>
      <c r="F947">
        <v>26</v>
      </c>
      <c r="G947">
        <v>118.5</v>
      </c>
      <c r="H947">
        <v>86</v>
      </c>
      <c r="I947">
        <v>20.15</v>
      </c>
      <c r="J947">
        <v>213.9</v>
      </c>
      <c r="K947">
        <v>118</v>
      </c>
      <c r="L947">
        <v>18.18</v>
      </c>
      <c r="M947">
        <v>132.6</v>
      </c>
      <c r="N947">
        <v>99</v>
      </c>
      <c r="O947">
        <v>5.97</v>
      </c>
      <c r="P947">
        <v>13.4</v>
      </c>
      <c r="Q947">
        <v>3</v>
      </c>
      <c r="R947">
        <v>3.62</v>
      </c>
      <c r="S947">
        <v>2</v>
      </c>
      <c r="T947" t="b">
        <v>0</v>
      </c>
    </row>
    <row r="948" spans="1:20">
      <c r="A948" t="s">
        <v>105</v>
      </c>
      <c r="B948">
        <v>180</v>
      </c>
      <c r="C948">
        <v>415</v>
      </c>
      <c r="D948" t="s">
        <v>62</v>
      </c>
      <c r="E948" t="s">
        <v>63</v>
      </c>
      <c r="F948">
        <v>33</v>
      </c>
      <c r="G948">
        <v>231.8</v>
      </c>
      <c r="H948">
        <v>78</v>
      </c>
      <c r="I948">
        <v>39.41</v>
      </c>
      <c r="J948">
        <v>232.9</v>
      </c>
      <c r="K948">
        <v>79</v>
      </c>
      <c r="L948">
        <v>19.8</v>
      </c>
      <c r="M948">
        <v>206.9</v>
      </c>
      <c r="N948">
        <v>121</v>
      </c>
      <c r="O948">
        <v>9.31</v>
      </c>
      <c r="P948">
        <v>7.6</v>
      </c>
      <c r="Q948">
        <v>4</v>
      </c>
      <c r="R948">
        <v>2.05</v>
      </c>
      <c r="S948">
        <v>1</v>
      </c>
      <c r="T948" t="b">
        <v>0</v>
      </c>
    </row>
    <row r="949" spans="1:20">
      <c r="A949" t="s">
        <v>78</v>
      </c>
      <c r="B949">
        <v>100</v>
      </c>
      <c r="C949">
        <v>415</v>
      </c>
      <c r="D949" t="s">
        <v>62</v>
      </c>
      <c r="E949" t="s">
        <v>63</v>
      </c>
      <c r="F949">
        <v>25</v>
      </c>
      <c r="G949">
        <v>215.9</v>
      </c>
      <c r="H949">
        <v>90</v>
      </c>
      <c r="I949">
        <v>36.7</v>
      </c>
      <c r="J949">
        <v>257.9</v>
      </c>
      <c r="K949">
        <v>92</v>
      </c>
      <c r="L949">
        <v>21.92</v>
      </c>
      <c r="M949">
        <v>180.2</v>
      </c>
      <c r="N949">
        <v>157</v>
      </c>
      <c r="O949">
        <v>8.11</v>
      </c>
      <c r="P949">
        <v>11.6</v>
      </c>
      <c r="Q949">
        <v>4</v>
      </c>
      <c r="R949">
        <v>3.13</v>
      </c>
      <c r="S949">
        <v>1</v>
      </c>
      <c r="T949" t="b">
        <v>0</v>
      </c>
    </row>
    <row r="950" spans="1:20">
      <c r="A950" t="s">
        <v>64</v>
      </c>
      <c r="B950">
        <v>119</v>
      </c>
      <c r="C950">
        <v>415</v>
      </c>
      <c r="D950" t="s">
        <v>62</v>
      </c>
      <c r="E950" t="s">
        <v>63</v>
      </c>
      <c r="F950">
        <v>35</v>
      </c>
      <c r="G950">
        <v>217.1</v>
      </c>
      <c r="H950">
        <v>92</v>
      </c>
      <c r="I950">
        <v>36.91</v>
      </c>
      <c r="J950">
        <v>220.8</v>
      </c>
      <c r="K950">
        <v>134</v>
      </c>
      <c r="L950">
        <v>18.77</v>
      </c>
      <c r="M950">
        <v>249.5</v>
      </c>
      <c r="N950">
        <v>93</v>
      </c>
      <c r="O950">
        <v>11.23</v>
      </c>
      <c r="P950">
        <v>8</v>
      </c>
      <c r="Q950">
        <v>5</v>
      </c>
      <c r="R950">
        <v>2.16</v>
      </c>
      <c r="S950">
        <v>2</v>
      </c>
      <c r="T950" t="b">
        <v>0</v>
      </c>
    </row>
    <row r="951" spans="1:20">
      <c r="A951" t="s">
        <v>88</v>
      </c>
      <c r="B951">
        <v>155</v>
      </c>
      <c r="C951">
        <v>408</v>
      </c>
      <c r="D951" t="s">
        <v>62</v>
      </c>
      <c r="E951" t="s">
        <v>63</v>
      </c>
      <c r="F951">
        <v>39</v>
      </c>
      <c r="G951">
        <v>183.3</v>
      </c>
      <c r="H951">
        <v>106</v>
      </c>
      <c r="I951">
        <v>31.16</v>
      </c>
      <c r="J951">
        <v>205.1</v>
      </c>
      <c r="K951">
        <v>101</v>
      </c>
      <c r="L951">
        <v>17.43</v>
      </c>
      <c r="M951">
        <v>263.7</v>
      </c>
      <c r="N951">
        <v>90</v>
      </c>
      <c r="O951">
        <v>11.87</v>
      </c>
      <c r="P951">
        <v>5.1</v>
      </c>
      <c r="Q951">
        <v>7</v>
      </c>
      <c r="R951">
        <v>1.38</v>
      </c>
      <c r="S951">
        <v>1</v>
      </c>
      <c r="T951" t="b">
        <v>0</v>
      </c>
    </row>
    <row r="952" spans="1:20">
      <c r="A952" t="s">
        <v>86</v>
      </c>
      <c r="B952">
        <v>78</v>
      </c>
      <c r="C952">
        <v>415</v>
      </c>
      <c r="D952" t="s">
        <v>63</v>
      </c>
      <c r="E952" t="s">
        <v>62</v>
      </c>
      <c r="F952">
        <v>0</v>
      </c>
      <c r="G952">
        <v>236.8</v>
      </c>
      <c r="H952">
        <v>141</v>
      </c>
      <c r="I952">
        <v>40.26</v>
      </c>
      <c r="J952">
        <v>265.3</v>
      </c>
      <c r="K952">
        <v>101</v>
      </c>
      <c r="L952">
        <v>22.55</v>
      </c>
      <c r="M952">
        <v>152.4</v>
      </c>
      <c r="N952">
        <v>77</v>
      </c>
      <c r="O952">
        <v>6.86</v>
      </c>
      <c r="P952">
        <v>9.5</v>
      </c>
      <c r="Q952">
        <v>2</v>
      </c>
      <c r="R952">
        <v>2.57</v>
      </c>
      <c r="S952">
        <v>1</v>
      </c>
      <c r="T952" t="b">
        <v>1</v>
      </c>
    </row>
    <row r="953" spans="1:20">
      <c r="A953" t="s">
        <v>65</v>
      </c>
      <c r="B953">
        <v>153</v>
      </c>
      <c r="C953">
        <v>415</v>
      </c>
      <c r="D953" t="s">
        <v>62</v>
      </c>
      <c r="E953" t="s">
        <v>62</v>
      </c>
      <c r="F953">
        <v>0</v>
      </c>
      <c r="G953">
        <v>193.8</v>
      </c>
      <c r="H953">
        <v>90</v>
      </c>
      <c r="I953">
        <v>32.95</v>
      </c>
      <c r="J953">
        <v>195.3</v>
      </c>
      <c r="K953">
        <v>121</v>
      </c>
      <c r="L953">
        <v>16.6</v>
      </c>
      <c r="M953">
        <v>182.7</v>
      </c>
      <c r="N953">
        <v>108</v>
      </c>
      <c r="O953">
        <v>8.22</v>
      </c>
      <c r="P953">
        <v>8.5</v>
      </c>
      <c r="Q953">
        <v>3</v>
      </c>
      <c r="R953">
        <v>2.3</v>
      </c>
      <c r="S953">
        <v>1</v>
      </c>
      <c r="T953" t="b">
        <v>0</v>
      </c>
    </row>
    <row r="954" spans="1:20">
      <c r="A954" t="s">
        <v>84</v>
      </c>
      <c r="B954">
        <v>154</v>
      </c>
      <c r="C954">
        <v>415</v>
      </c>
      <c r="D954" t="s">
        <v>62</v>
      </c>
      <c r="E954" t="s">
        <v>62</v>
      </c>
      <c r="F954">
        <v>0</v>
      </c>
      <c r="G954">
        <v>191.4</v>
      </c>
      <c r="H954">
        <v>93</v>
      </c>
      <c r="I954">
        <v>32.54</v>
      </c>
      <c r="J954">
        <v>205.4</v>
      </c>
      <c r="K954">
        <v>119</v>
      </c>
      <c r="L954">
        <v>17.46</v>
      </c>
      <c r="M954">
        <v>205.7</v>
      </c>
      <c r="N954">
        <v>121</v>
      </c>
      <c r="O954">
        <v>9.26</v>
      </c>
      <c r="P954">
        <v>10.2</v>
      </c>
      <c r="Q954">
        <v>3</v>
      </c>
      <c r="R954">
        <v>2.75</v>
      </c>
      <c r="S954">
        <v>3</v>
      </c>
      <c r="T954" t="b">
        <v>0</v>
      </c>
    </row>
    <row r="955" spans="1:20">
      <c r="A955" t="s">
        <v>71</v>
      </c>
      <c r="B955">
        <v>48</v>
      </c>
      <c r="C955">
        <v>408</v>
      </c>
      <c r="D955" t="s">
        <v>62</v>
      </c>
      <c r="E955" t="s">
        <v>62</v>
      </c>
      <c r="F955">
        <v>0</v>
      </c>
      <c r="G955">
        <v>275.2</v>
      </c>
      <c r="H955">
        <v>67</v>
      </c>
      <c r="I955">
        <v>46.78</v>
      </c>
      <c r="J955">
        <v>180.2</v>
      </c>
      <c r="K955">
        <v>108</v>
      </c>
      <c r="L955">
        <v>15.32</v>
      </c>
      <c r="M955">
        <v>159</v>
      </c>
      <c r="N955">
        <v>110</v>
      </c>
      <c r="O955">
        <v>7.15</v>
      </c>
      <c r="P955">
        <v>7.9</v>
      </c>
      <c r="Q955">
        <v>2</v>
      </c>
      <c r="R955">
        <v>2.13</v>
      </c>
      <c r="S955">
        <v>1</v>
      </c>
      <c r="T955" t="b">
        <v>0</v>
      </c>
    </row>
    <row r="956" spans="1:20">
      <c r="A956" t="s">
        <v>115</v>
      </c>
      <c r="B956">
        <v>94</v>
      </c>
      <c r="C956">
        <v>408</v>
      </c>
      <c r="D956" t="s">
        <v>62</v>
      </c>
      <c r="E956" t="s">
        <v>62</v>
      </c>
      <c r="F956">
        <v>0</v>
      </c>
      <c r="G956">
        <v>174</v>
      </c>
      <c r="H956">
        <v>85</v>
      </c>
      <c r="I956">
        <v>29.58</v>
      </c>
      <c r="J956">
        <v>241.1</v>
      </c>
      <c r="K956">
        <v>114</v>
      </c>
      <c r="L956">
        <v>20.49</v>
      </c>
      <c r="M956">
        <v>207.8</v>
      </c>
      <c r="N956">
        <v>94</v>
      </c>
      <c r="O956">
        <v>9.35</v>
      </c>
      <c r="P956">
        <v>7.9</v>
      </c>
      <c r="Q956">
        <v>1</v>
      </c>
      <c r="R956">
        <v>2.13</v>
      </c>
      <c r="S956">
        <v>1</v>
      </c>
      <c r="T956" t="b">
        <v>0</v>
      </c>
    </row>
    <row r="957" spans="1:20">
      <c r="A957" t="s">
        <v>97</v>
      </c>
      <c r="B957">
        <v>139</v>
      </c>
      <c r="C957">
        <v>415</v>
      </c>
      <c r="D957" t="s">
        <v>62</v>
      </c>
      <c r="E957" t="s">
        <v>62</v>
      </c>
      <c r="F957">
        <v>0</v>
      </c>
      <c r="G957">
        <v>165</v>
      </c>
      <c r="H957">
        <v>132</v>
      </c>
      <c r="I957">
        <v>28.05</v>
      </c>
      <c r="J957">
        <v>249.7</v>
      </c>
      <c r="K957">
        <v>86</v>
      </c>
      <c r="L957">
        <v>21.22</v>
      </c>
      <c r="M957">
        <v>170.3</v>
      </c>
      <c r="N957">
        <v>128</v>
      </c>
      <c r="O957">
        <v>7.66</v>
      </c>
      <c r="P957">
        <v>12.6</v>
      </c>
      <c r="Q957">
        <v>8</v>
      </c>
      <c r="R957">
        <v>3.4</v>
      </c>
      <c r="S957">
        <v>1</v>
      </c>
      <c r="T957" t="b">
        <v>0</v>
      </c>
    </row>
    <row r="958" spans="1:20">
      <c r="A958" t="s">
        <v>109</v>
      </c>
      <c r="B958">
        <v>126</v>
      </c>
      <c r="C958">
        <v>415</v>
      </c>
      <c r="D958" t="s">
        <v>62</v>
      </c>
      <c r="E958" t="s">
        <v>62</v>
      </c>
      <c r="F958">
        <v>0</v>
      </c>
      <c r="G958">
        <v>228.7</v>
      </c>
      <c r="H958">
        <v>102</v>
      </c>
      <c r="I958">
        <v>38.88</v>
      </c>
      <c r="J958">
        <v>168.7</v>
      </c>
      <c r="K958">
        <v>99</v>
      </c>
      <c r="L958">
        <v>14.34</v>
      </c>
      <c r="M958">
        <v>223.5</v>
      </c>
      <c r="N958">
        <v>100</v>
      </c>
      <c r="O958">
        <v>10.06</v>
      </c>
      <c r="P958">
        <v>11.8</v>
      </c>
      <c r="Q958">
        <v>4</v>
      </c>
      <c r="R958">
        <v>3.19</v>
      </c>
      <c r="S958">
        <v>1</v>
      </c>
      <c r="T958" t="b">
        <v>0</v>
      </c>
    </row>
    <row r="959" spans="1:20">
      <c r="A959" t="s">
        <v>102</v>
      </c>
      <c r="B959">
        <v>122</v>
      </c>
      <c r="C959">
        <v>415</v>
      </c>
      <c r="D959" t="s">
        <v>62</v>
      </c>
      <c r="E959" t="s">
        <v>62</v>
      </c>
      <c r="F959">
        <v>0</v>
      </c>
      <c r="G959">
        <v>107.9</v>
      </c>
      <c r="H959">
        <v>88</v>
      </c>
      <c r="I959">
        <v>18.34</v>
      </c>
      <c r="J959">
        <v>235.8</v>
      </c>
      <c r="K959">
        <v>109</v>
      </c>
      <c r="L959">
        <v>20.04</v>
      </c>
      <c r="M959">
        <v>228.6</v>
      </c>
      <c r="N959">
        <v>119</v>
      </c>
      <c r="O959">
        <v>10.29</v>
      </c>
      <c r="P959">
        <v>9.5</v>
      </c>
      <c r="Q959">
        <v>3</v>
      </c>
      <c r="R959">
        <v>2.57</v>
      </c>
      <c r="S959">
        <v>2</v>
      </c>
      <c r="T959" t="b">
        <v>0</v>
      </c>
    </row>
    <row r="960" spans="1:20">
      <c r="A960" t="s">
        <v>61</v>
      </c>
      <c r="B960">
        <v>131</v>
      </c>
      <c r="C960">
        <v>415</v>
      </c>
      <c r="D960" t="s">
        <v>62</v>
      </c>
      <c r="E960" t="s">
        <v>63</v>
      </c>
      <c r="F960">
        <v>28</v>
      </c>
      <c r="G960">
        <v>249.6</v>
      </c>
      <c r="H960">
        <v>87</v>
      </c>
      <c r="I960">
        <v>42.43</v>
      </c>
      <c r="J960">
        <v>227.2</v>
      </c>
      <c r="K960">
        <v>138</v>
      </c>
      <c r="L960">
        <v>19.31</v>
      </c>
      <c r="M960">
        <v>239.9</v>
      </c>
      <c r="N960">
        <v>92</v>
      </c>
      <c r="O960">
        <v>10.8</v>
      </c>
      <c r="P960">
        <v>7.6</v>
      </c>
      <c r="Q960">
        <v>3</v>
      </c>
      <c r="R960">
        <v>2.05</v>
      </c>
      <c r="S960">
        <v>3</v>
      </c>
      <c r="T960" t="b">
        <v>0</v>
      </c>
    </row>
    <row r="961" spans="1:20">
      <c r="A961" t="s">
        <v>61</v>
      </c>
      <c r="B961">
        <v>36</v>
      </c>
      <c r="C961">
        <v>510</v>
      </c>
      <c r="D961" t="s">
        <v>62</v>
      </c>
      <c r="E961" t="s">
        <v>62</v>
      </c>
      <c r="F961">
        <v>0</v>
      </c>
      <c r="G961">
        <v>178.6</v>
      </c>
      <c r="H961">
        <v>83</v>
      </c>
      <c r="I961">
        <v>30.36</v>
      </c>
      <c r="J961">
        <v>213.1</v>
      </c>
      <c r="K961">
        <v>103</v>
      </c>
      <c r="L961">
        <v>18.11</v>
      </c>
      <c r="M961">
        <v>198</v>
      </c>
      <c r="N961">
        <v>119</v>
      </c>
      <c r="O961">
        <v>8.91</v>
      </c>
      <c r="P961">
        <v>10.9</v>
      </c>
      <c r="Q961">
        <v>5</v>
      </c>
      <c r="R961">
        <v>2.94</v>
      </c>
      <c r="S961">
        <v>1</v>
      </c>
      <c r="T961" t="b">
        <v>0</v>
      </c>
    </row>
    <row r="962" spans="1:20">
      <c r="A962" t="s">
        <v>104</v>
      </c>
      <c r="B962">
        <v>180</v>
      </c>
      <c r="C962">
        <v>510</v>
      </c>
      <c r="D962" t="s">
        <v>62</v>
      </c>
      <c r="E962" t="s">
        <v>62</v>
      </c>
      <c r="F962">
        <v>0</v>
      </c>
      <c r="G962">
        <v>139</v>
      </c>
      <c r="H962">
        <v>96</v>
      </c>
      <c r="I962">
        <v>23.63</v>
      </c>
      <c r="J962">
        <v>224.9</v>
      </c>
      <c r="K962">
        <v>64</v>
      </c>
      <c r="L962">
        <v>19.12</v>
      </c>
      <c r="M962">
        <v>170.8</v>
      </c>
      <c r="N962">
        <v>118</v>
      </c>
      <c r="O962">
        <v>7.69</v>
      </c>
      <c r="P962">
        <v>15.7</v>
      </c>
      <c r="Q962">
        <v>5</v>
      </c>
      <c r="R962">
        <v>4.24</v>
      </c>
      <c r="S962">
        <v>2</v>
      </c>
      <c r="T962" t="b">
        <v>0</v>
      </c>
    </row>
    <row r="963" spans="1:20">
      <c r="A963" t="s">
        <v>76</v>
      </c>
      <c r="B963">
        <v>25</v>
      </c>
      <c r="C963">
        <v>415</v>
      </c>
      <c r="D963" t="s">
        <v>62</v>
      </c>
      <c r="E963" t="s">
        <v>62</v>
      </c>
      <c r="F963">
        <v>0</v>
      </c>
      <c r="G963">
        <v>134.3</v>
      </c>
      <c r="H963">
        <v>98</v>
      </c>
      <c r="I963">
        <v>22.83</v>
      </c>
      <c r="J963">
        <v>202.3</v>
      </c>
      <c r="K963">
        <v>109</v>
      </c>
      <c r="L963">
        <v>17.2</v>
      </c>
      <c r="M963">
        <v>195.9</v>
      </c>
      <c r="N963">
        <v>100</v>
      </c>
      <c r="O963">
        <v>8.82</v>
      </c>
      <c r="P963">
        <v>12.6</v>
      </c>
      <c r="Q963">
        <v>5</v>
      </c>
      <c r="R963">
        <v>3.4</v>
      </c>
      <c r="S963">
        <v>2</v>
      </c>
      <c r="T963" t="b">
        <v>0</v>
      </c>
    </row>
    <row r="964" spans="1:20">
      <c r="A964" t="s">
        <v>90</v>
      </c>
      <c r="B964">
        <v>120</v>
      </c>
      <c r="C964">
        <v>415</v>
      </c>
      <c r="D964" t="s">
        <v>62</v>
      </c>
      <c r="E964" t="s">
        <v>62</v>
      </c>
      <c r="F964">
        <v>0</v>
      </c>
      <c r="G964">
        <v>178.4</v>
      </c>
      <c r="H964">
        <v>97</v>
      </c>
      <c r="I964">
        <v>30.33</v>
      </c>
      <c r="J964">
        <v>168.3</v>
      </c>
      <c r="K964">
        <v>113</v>
      </c>
      <c r="L964">
        <v>14.31</v>
      </c>
      <c r="M964">
        <v>120.5</v>
      </c>
      <c r="N964">
        <v>93</v>
      </c>
      <c r="O964">
        <v>5.42</v>
      </c>
      <c r="P964">
        <v>9.3</v>
      </c>
      <c r="Q964">
        <v>9</v>
      </c>
      <c r="R964">
        <v>2.51</v>
      </c>
      <c r="S964">
        <v>1</v>
      </c>
      <c r="T964" t="b">
        <v>0</v>
      </c>
    </row>
    <row r="965" spans="1:20">
      <c r="A965" t="s">
        <v>92</v>
      </c>
      <c r="B965">
        <v>109</v>
      </c>
      <c r="C965">
        <v>510</v>
      </c>
      <c r="D965" t="s">
        <v>62</v>
      </c>
      <c r="E965" t="s">
        <v>62</v>
      </c>
      <c r="F965">
        <v>0</v>
      </c>
      <c r="G965">
        <v>170.7</v>
      </c>
      <c r="H965">
        <v>101</v>
      </c>
      <c r="I965">
        <v>29.02</v>
      </c>
      <c r="J965">
        <v>240.2</v>
      </c>
      <c r="K965">
        <v>82</v>
      </c>
      <c r="L965">
        <v>20.42</v>
      </c>
      <c r="M965">
        <v>119</v>
      </c>
      <c r="N965">
        <v>112</v>
      </c>
      <c r="O965">
        <v>5.36</v>
      </c>
      <c r="P965">
        <v>11.4</v>
      </c>
      <c r="Q965">
        <v>4</v>
      </c>
      <c r="R965">
        <v>3.08</v>
      </c>
      <c r="S965">
        <v>2</v>
      </c>
      <c r="T965" t="b">
        <v>0</v>
      </c>
    </row>
    <row r="966" spans="1:20">
      <c r="A966" t="s">
        <v>88</v>
      </c>
      <c r="B966">
        <v>162</v>
      </c>
      <c r="C966">
        <v>510</v>
      </c>
      <c r="D966" t="s">
        <v>62</v>
      </c>
      <c r="E966" t="s">
        <v>63</v>
      </c>
      <c r="F966">
        <v>33</v>
      </c>
      <c r="G966">
        <v>184.5</v>
      </c>
      <c r="H966">
        <v>139</v>
      </c>
      <c r="I966">
        <v>31.37</v>
      </c>
      <c r="J966">
        <v>183.2</v>
      </c>
      <c r="K966">
        <v>78</v>
      </c>
      <c r="L966">
        <v>15.57</v>
      </c>
      <c r="M966">
        <v>127.4</v>
      </c>
      <c r="N966">
        <v>106</v>
      </c>
      <c r="O966">
        <v>5.73</v>
      </c>
      <c r="P966">
        <v>12.3</v>
      </c>
      <c r="Q966">
        <v>6</v>
      </c>
      <c r="R966">
        <v>3.32</v>
      </c>
      <c r="S966">
        <v>0</v>
      </c>
      <c r="T966" t="b">
        <v>0</v>
      </c>
    </row>
    <row r="967" spans="1:20">
      <c r="A967" t="s">
        <v>61</v>
      </c>
      <c r="B967">
        <v>124</v>
      </c>
      <c r="C967">
        <v>510</v>
      </c>
      <c r="D967" t="s">
        <v>62</v>
      </c>
      <c r="E967" t="s">
        <v>63</v>
      </c>
      <c r="F967">
        <v>37</v>
      </c>
      <c r="G967">
        <v>161.2</v>
      </c>
      <c r="H967">
        <v>109</v>
      </c>
      <c r="I967">
        <v>27.4</v>
      </c>
      <c r="J967">
        <v>204.2</v>
      </c>
      <c r="K967">
        <v>79</v>
      </c>
      <c r="L967">
        <v>17.36</v>
      </c>
      <c r="M967">
        <v>231.5</v>
      </c>
      <c r="N967">
        <v>87</v>
      </c>
      <c r="O967">
        <v>10.42</v>
      </c>
      <c r="P967">
        <v>8.9</v>
      </c>
      <c r="Q967">
        <v>4</v>
      </c>
      <c r="R967">
        <v>2.4</v>
      </c>
      <c r="S967">
        <v>1</v>
      </c>
      <c r="T967" t="b">
        <v>0</v>
      </c>
    </row>
    <row r="968" spans="1:20">
      <c r="A968" t="s">
        <v>94</v>
      </c>
      <c r="B968">
        <v>177</v>
      </c>
      <c r="C968">
        <v>408</v>
      </c>
      <c r="D968" t="s">
        <v>62</v>
      </c>
      <c r="E968" t="s">
        <v>62</v>
      </c>
      <c r="F968">
        <v>0</v>
      </c>
      <c r="G968">
        <v>84.9</v>
      </c>
      <c r="H968">
        <v>77</v>
      </c>
      <c r="I968">
        <v>14.43</v>
      </c>
      <c r="J968">
        <v>257.5</v>
      </c>
      <c r="K968">
        <v>109</v>
      </c>
      <c r="L968">
        <v>21.89</v>
      </c>
      <c r="M968">
        <v>210.5</v>
      </c>
      <c r="N968">
        <v>66</v>
      </c>
      <c r="O968">
        <v>9.47</v>
      </c>
      <c r="P968">
        <v>7.5</v>
      </c>
      <c r="Q968">
        <v>5</v>
      </c>
      <c r="R968">
        <v>2.03</v>
      </c>
      <c r="S968">
        <v>2</v>
      </c>
      <c r="T968" t="b">
        <v>0</v>
      </c>
    </row>
    <row r="969" spans="1:20">
      <c r="A969" t="s">
        <v>93</v>
      </c>
      <c r="B969">
        <v>91</v>
      </c>
      <c r="C969">
        <v>510</v>
      </c>
      <c r="D969" t="s">
        <v>62</v>
      </c>
      <c r="E969" t="s">
        <v>62</v>
      </c>
      <c r="F969">
        <v>0</v>
      </c>
      <c r="G969">
        <v>217.9</v>
      </c>
      <c r="H969">
        <v>71</v>
      </c>
      <c r="I969">
        <v>37.04</v>
      </c>
      <c r="J969">
        <v>230.1</v>
      </c>
      <c r="K969">
        <v>116</v>
      </c>
      <c r="L969">
        <v>19.56</v>
      </c>
      <c r="M969">
        <v>232.1</v>
      </c>
      <c r="N969">
        <v>110</v>
      </c>
      <c r="O969">
        <v>10.44</v>
      </c>
      <c r="P969">
        <v>10.6</v>
      </c>
      <c r="Q969">
        <v>2</v>
      </c>
      <c r="R969">
        <v>2.86</v>
      </c>
      <c r="S969">
        <v>1</v>
      </c>
      <c r="T969" t="b">
        <v>0</v>
      </c>
    </row>
    <row r="970" spans="1:20">
      <c r="A970" t="s">
        <v>82</v>
      </c>
      <c r="B970">
        <v>105</v>
      </c>
      <c r="C970">
        <v>408</v>
      </c>
      <c r="D970" t="s">
        <v>62</v>
      </c>
      <c r="E970" t="s">
        <v>62</v>
      </c>
      <c r="F970">
        <v>0</v>
      </c>
      <c r="G970">
        <v>270.9</v>
      </c>
      <c r="H970">
        <v>98</v>
      </c>
      <c r="I970">
        <v>46.05</v>
      </c>
      <c r="J970">
        <v>226.2</v>
      </c>
      <c r="K970">
        <v>110</v>
      </c>
      <c r="L970">
        <v>19.23</v>
      </c>
      <c r="M970">
        <v>178.8</v>
      </c>
      <c r="N970">
        <v>60</v>
      </c>
      <c r="O970">
        <v>8.05</v>
      </c>
      <c r="P970">
        <v>8.8</v>
      </c>
      <c r="Q970">
        <v>5</v>
      </c>
      <c r="R970">
        <v>2.38</v>
      </c>
      <c r="S970">
        <v>0</v>
      </c>
      <c r="T970" t="b">
        <v>1</v>
      </c>
    </row>
    <row r="971" spans="1:20">
      <c r="A971" t="s">
        <v>61</v>
      </c>
      <c r="B971">
        <v>24</v>
      </c>
      <c r="C971">
        <v>510</v>
      </c>
      <c r="D971" t="s">
        <v>62</v>
      </c>
      <c r="E971" t="s">
        <v>62</v>
      </c>
      <c r="F971">
        <v>0</v>
      </c>
      <c r="G971">
        <v>243</v>
      </c>
      <c r="H971">
        <v>91</v>
      </c>
      <c r="I971">
        <v>41.31</v>
      </c>
      <c r="J971">
        <v>183.9</v>
      </c>
      <c r="K971">
        <v>77</v>
      </c>
      <c r="L971">
        <v>15.63</v>
      </c>
      <c r="M971">
        <v>184.3</v>
      </c>
      <c r="N971">
        <v>109</v>
      </c>
      <c r="O971">
        <v>8.29</v>
      </c>
      <c r="P971">
        <v>15.3</v>
      </c>
      <c r="Q971">
        <v>6</v>
      </c>
      <c r="R971">
        <v>4.13</v>
      </c>
      <c r="S971">
        <v>0</v>
      </c>
      <c r="T971" t="b">
        <v>1</v>
      </c>
    </row>
    <row r="972" spans="1:20">
      <c r="A972" t="s">
        <v>75</v>
      </c>
      <c r="B972">
        <v>86</v>
      </c>
      <c r="C972">
        <v>408</v>
      </c>
      <c r="D972" t="s">
        <v>62</v>
      </c>
      <c r="E972" t="s">
        <v>62</v>
      </c>
      <c r="F972">
        <v>0</v>
      </c>
      <c r="G972">
        <v>126.3</v>
      </c>
      <c r="H972">
        <v>115</v>
      </c>
      <c r="I972">
        <v>21.47</v>
      </c>
      <c r="J972">
        <v>168.8</v>
      </c>
      <c r="K972">
        <v>112</v>
      </c>
      <c r="L972">
        <v>14.35</v>
      </c>
      <c r="M972">
        <v>154.6</v>
      </c>
      <c r="N972">
        <v>95</v>
      </c>
      <c r="O972">
        <v>6.96</v>
      </c>
      <c r="P972">
        <v>9.8</v>
      </c>
      <c r="Q972">
        <v>7</v>
      </c>
      <c r="R972">
        <v>2.65</v>
      </c>
      <c r="S972">
        <v>2</v>
      </c>
      <c r="T972" t="b">
        <v>0</v>
      </c>
    </row>
    <row r="973" spans="1:20">
      <c r="A973" t="s">
        <v>84</v>
      </c>
      <c r="B973">
        <v>91</v>
      </c>
      <c r="C973">
        <v>510</v>
      </c>
      <c r="D973" t="s">
        <v>62</v>
      </c>
      <c r="E973" t="s">
        <v>62</v>
      </c>
      <c r="F973">
        <v>0</v>
      </c>
      <c r="G973">
        <v>159</v>
      </c>
      <c r="H973">
        <v>109</v>
      </c>
      <c r="I973">
        <v>27.03</v>
      </c>
      <c r="J973">
        <v>255.1</v>
      </c>
      <c r="K973">
        <v>142</v>
      </c>
      <c r="L973">
        <v>21.68</v>
      </c>
      <c r="M973">
        <v>82.4</v>
      </c>
      <c r="N973">
        <v>73</v>
      </c>
      <c r="O973">
        <v>3.71</v>
      </c>
      <c r="P973">
        <v>10.1</v>
      </c>
      <c r="Q973">
        <v>4</v>
      </c>
      <c r="R973">
        <v>2.73</v>
      </c>
      <c r="S973">
        <v>0</v>
      </c>
      <c r="T973" t="b">
        <v>0</v>
      </c>
    </row>
    <row r="974" spans="1:20">
      <c r="A974" t="s">
        <v>64</v>
      </c>
      <c r="B974">
        <v>147</v>
      </c>
      <c r="C974">
        <v>415</v>
      </c>
      <c r="D974" t="s">
        <v>63</v>
      </c>
      <c r="E974" t="s">
        <v>63</v>
      </c>
      <c r="F974">
        <v>24</v>
      </c>
      <c r="G974">
        <v>219.9</v>
      </c>
      <c r="H974">
        <v>118</v>
      </c>
      <c r="I974">
        <v>37.38</v>
      </c>
      <c r="J974">
        <v>208.5</v>
      </c>
      <c r="K974">
        <v>116</v>
      </c>
      <c r="L974">
        <v>17.72</v>
      </c>
      <c r="M974">
        <v>352.5</v>
      </c>
      <c r="N974">
        <v>111</v>
      </c>
      <c r="O974">
        <v>15.86</v>
      </c>
      <c r="P974">
        <v>8.1</v>
      </c>
      <c r="Q974">
        <v>4</v>
      </c>
      <c r="R974">
        <v>2.19</v>
      </c>
      <c r="S974">
        <v>3</v>
      </c>
      <c r="T974" t="b">
        <v>0</v>
      </c>
    </row>
    <row r="975" spans="1:20">
      <c r="A975" t="s">
        <v>112</v>
      </c>
      <c r="B975">
        <v>108</v>
      </c>
      <c r="C975">
        <v>510</v>
      </c>
      <c r="D975" t="s">
        <v>62</v>
      </c>
      <c r="E975" t="s">
        <v>63</v>
      </c>
      <c r="F975">
        <v>34</v>
      </c>
      <c r="G975">
        <v>162.1</v>
      </c>
      <c r="H975">
        <v>83</v>
      </c>
      <c r="I975">
        <v>27.56</v>
      </c>
      <c r="J975">
        <v>171.8</v>
      </c>
      <c r="K975">
        <v>117</v>
      </c>
      <c r="L975">
        <v>14.6</v>
      </c>
      <c r="M975">
        <v>259.8</v>
      </c>
      <c r="N975">
        <v>76</v>
      </c>
      <c r="O975">
        <v>11.69</v>
      </c>
      <c r="P975">
        <v>9.6</v>
      </c>
      <c r="Q975">
        <v>3</v>
      </c>
      <c r="R975">
        <v>2.59</v>
      </c>
      <c r="S975">
        <v>4</v>
      </c>
      <c r="T975" t="b">
        <v>1</v>
      </c>
    </row>
    <row r="976" spans="1:20">
      <c r="A976" t="s">
        <v>66</v>
      </c>
      <c r="B976">
        <v>159</v>
      </c>
      <c r="C976">
        <v>510</v>
      </c>
      <c r="D976" t="s">
        <v>62</v>
      </c>
      <c r="E976" t="s">
        <v>62</v>
      </c>
      <c r="F976">
        <v>0</v>
      </c>
      <c r="G976">
        <v>198.8</v>
      </c>
      <c r="H976">
        <v>107</v>
      </c>
      <c r="I976">
        <v>33.8</v>
      </c>
      <c r="J976">
        <v>195.5</v>
      </c>
      <c r="K976">
        <v>91</v>
      </c>
      <c r="L976">
        <v>16.62</v>
      </c>
      <c r="M976">
        <v>213.3</v>
      </c>
      <c r="N976">
        <v>120</v>
      </c>
      <c r="O976">
        <v>9.6</v>
      </c>
      <c r="P976">
        <v>16.5</v>
      </c>
      <c r="Q976">
        <v>7</v>
      </c>
      <c r="R976">
        <v>4.46</v>
      </c>
      <c r="S976">
        <v>5</v>
      </c>
      <c r="T976" t="b">
        <v>0</v>
      </c>
    </row>
    <row r="977" spans="1:20">
      <c r="A977" t="s">
        <v>115</v>
      </c>
      <c r="B977">
        <v>136</v>
      </c>
      <c r="C977">
        <v>510</v>
      </c>
      <c r="D977" t="s">
        <v>63</v>
      </c>
      <c r="E977" t="s">
        <v>62</v>
      </c>
      <c r="F977">
        <v>0</v>
      </c>
      <c r="G977">
        <v>256.8</v>
      </c>
      <c r="H977">
        <v>90</v>
      </c>
      <c r="I977">
        <v>43.66</v>
      </c>
      <c r="J977">
        <v>230.1</v>
      </c>
      <c r="K977">
        <v>104</v>
      </c>
      <c r="L977">
        <v>19.56</v>
      </c>
      <c r="M977">
        <v>143.6</v>
      </c>
      <c r="N977">
        <v>82</v>
      </c>
      <c r="O977">
        <v>6.46</v>
      </c>
      <c r="P977">
        <v>9.1</v>
      </c>
      <c r="Q977">
        <v>10</v>
      </c>
      <c r="R977">
        <v>2.46</v>
      </c>
      <c r="S977">
        <v>3</v>
      </c>
      <c r="T977" t="b">
        <v>0</v>
      </c>
    </row>
    <row r="978" spans="1:20">
      <c r="A978" t="s">
        <v>100</v>
      </c>
      <c r="B978">
        <v>45</v>
      </c>
      <c r="C978">
        <v>408</v>
      </c>
      <c r="D978" t="s">
        <v>62</v>
      </c>
      <c r="E978" t="s">
        <v>63</v>
      </c>
      <c r="F978">
        <v>38</v>
      </c>
      <c r="G978">
        <v>196.8</v>
      </c>
      <c r="H978">
        <v>92</v>
      </c>
      <c r="I978">
        <v>33.46</v>
      </c>
      <c r="J978">
        <v>254.2</v>
      </c>
      <c r="K978">
        <v>108</v>
      </c>
      <c r="L978">
        <v>21.61</v>
      </c>
      <c r="M978">
        <v>261.8</v>
      </c>
      <c r="N978">
        <v>85</v>
      </c>
      <c r="O978">
        <v>11.78</v>
      </c>
      <c r="P978">
        <v>7.7</v>
      </c>
      <c r="Q978">
        <v>2</v>
      </c>
      <c r="R978">
        <v>2.08</v>
      </c>
      <c r="S978">
        <v>1</v>
      </c>
      <c r="T978" t="b">
        <v>0</v>
      </c>
    </row>
    <row r="979" spans="1:20">
      <c r="A979" t="s">
        <v>102</v>
      </c>
      <c r="B979">
        <v>122</v>
      </c>
      <c r="C979">
        <v>415</v>
      </c>
      <c r="D979" t="s">
        <v>62</v>
      </c>
      <c r="E979" t="s">
        <v>62</v>
      </c>
      <c r="F979">
        <v>0</v>
      </c>
      <c r="G979">
        <v>140.1</v>
      </c>
      <c r="H979">
        <v>120</v>
      </c>
      <c r="I979">
        <v>23.82</v>
      </c>
      <c r="J979">
        <v>231.4</v>
      </c>
      <c r="K979">
        <v>128</v>
      </c>
      <c r="L979">
        <v>19.67</v>
      </c>
      <c r="M979">
        <v>188.1</v>
      </c>
      <c r="N979">
        <v>127</v>
      </c>
      <c r="O979">
        <v>8.46</v>
      </c>
      <c r="P979">
        <v>11.2</v>
      </c>
      <c r="Q979">
        <v>5</v>
      </c>
      <c r="R979">
        <v>3.02</v>
      </c>
      <c r="S979">
        <v>2</v>
      </c>
      <c r="T979" t="b">
        <v>0</v>
      </c>
    </row>
    <row r="980" spans="1:20">
      <c r="A980" t="s">
        <v>102</v>
      </c>
      <c r="B980">
        <v>138</v>
      </c>
      <c r="C980">
        <v>415</v>
      </c>
      <c r="D980" t="s">
        <v>62</v>
      </c>
      <c r="E980" t="s">
        <v>62</v>
      </c>
      <c r="F980">
        <v>0</v>
      </c>
      <c r="G980">
        <v>194.3</v>
      </c>
      <c r="H980">
        <v>83</v>
      </c>
      <c r="I980">
        <v>33.03</v>
      </c>
      <c r="J980">
        <v>189.9</v>
      </c>
      <c r="K980">
        <v>97</v>
      </c>
      <c r="L980">
        <v>16.14</v>
      </c>
      <c r="M980">
        <v>232.2</v>
      </c>
      <c r="N980">
        <v>102</v>
      </c>
      <c r="O980">
        <v>10.45</v>
      </c>
      <c r="P980">
        <v>9</v>
      </c>
      <c r="Q980">
        <v>3</v>
      </c>
      <c r="R980">
        <v>2.43</v>
      </c>
      <c r="S980">
        <v>5</v>
      </c>
      <c r="T980" t="b">
        <v>0</v>
      </c>
    </row>
    <row r="981" spans="1:20">
      <c r="A981" t="s">
        <v>68</v>
      </c>
      <c r="B981">
        <v>132</v>
      </c>
      <c r="C981">
        <v>415</v>
      </c>
      <c r="D981" t="s">
        <v>62</v>
      </c>
      <c r="E981" t="s">
        <v>62</v>
      </c>
      <c r="F981">
        <v>0</v>
      </c>
      <c r="G981">
        <v>117.6</v>
      </c>
      <c r="H981">
        <v>66</v>
      </c>
      <c r="I981">
        <v>19.99</v>
      </c>
      <c r="J981">
        <v>214</v>
      </c>
      <c r="K981">
        <v>108</v>
      </c>
      <c r="L981">
        <v>18.19</v>
      </c>
      <c r="M981">
        <v>239.5</v>
      </c>
      <c r="N981">
        <v>94</v>
      </c>
      <c r="O981">
        <v>10.78</v>
      </c>
      <c r="P981">
        <v>8.8</v>
      </c>
      <c r="Q981">
        <v>5</v>
      </c>
      <c r="R981">
        <v>2.38</v>
      </c>
      <c r="S981">
        <v>1</v>
      </c>
      <c r="T981" t="b">
        <v>0</v>
      </c>
    </row>
    <row r="982" spans="1:20">
      <c r="A982" t="s">
        <v>89</v>
      </c>
      <c r="B982">
        <v>58</v>
      </c>
      <c r="C982">
        <v>510</v>
      </c>
      <c r="D982" t="s">
        <v>62</v>
      </c>
      <c r="E982" t="s">
        <v>62</v>
      </c>
      <c r="F982">
        <v>0</v>
      </c>
      <c r="G982">
        <v>243.1</v>
      </c>
      <c r="H982">
        <v>105</v>
      </c>
      <c r="I982">
        <v>41.33</v>
      </c>
      <c r="J982">
        <v>231.4</v>
      </c>
      <c r="K982">
        <v>108</v>
      </c>
      <c r="L982">
        <v>19.67</v>
      </c>
      <c r="M982">
        <v>180.9</v>
      </c>
      <c r="N982">
        <v>120</v>
      </c>
      <c r="O982">
        <v>8.14</v>
      </c>
      <c r="P982">
        <v>7.8</v>
      </c>
      <c r="Q982">
        <v>4</v>
      </c>
      <c r="R982">
        <v>2.11</v>
      </c>
      <c r="S982">
        <v>2</v>
      </c>
      <c r="T982" t="b">
        <v>0</v>
      </c>
    </row>
    <row r="983" spans="1:20">
      <c r="A983" t="s">
        <v>104</v>
      </c>
      <c r="B983">
        <v>81</v>
      </c>
      <c r="C983">
        <v>415</v>
      </c>
      <c r="D983" t="s">
        <v>62</v>
      </c>
      <c r="E983" t="s">
        <v>62</v>
      </c>
      <c r="F983">
        <v>0</v>
      </c>
      <c r="G983">
        <v>145.4</v>
      </c>
      <c r="H983">
        <v>132</v>
      </c>
      <c r="I983">
        <v>24.72</v>
      </c>
      <c r="J983">
        <v>129.3</v>
      </c>
      <c r="K983">
        <v>91</v>
      </c>
      <c r="L983">
        <v>10.99</v>
      </c>
      <c r="M983">
        <v>186.4</v>
      </c>
      <c r="N983">
        <v>109</v>
      </c>
      <c r="O983">
        <v>8.39</v>
      </c>
      <c r="P983">
        <v>5.2</v>
      </c>
      <c r="Q983">
        <v>4</v>
      </c>
      <c r="R983">
        <v>1.4</v>
      </c>
      <c r="S983">
        <v>1</v>
      </c>
      <c r="T983" t="b">
        <v>0</v>
      </c>
    </row>
    <row r="984" spans="1:20">
      <c r="A984" t="s">
        <v>80</v>
      </c>
      <c r="B984">
        <v>87</v>
      </c>
      <c r="C984">
        <v>415</v>
      </c>
      <c r="D984" t="s">
        <v>62</v>
      </c>
      <c r="E984" t="s">
        <v>62</v>
      </c>
      <c r="F984">
        <v>0</v>
      </c>
      <c r="G984">
        <v>169.1</v>
      </c>
      <c r="H984">
        <v>105</v>
      </c>
      <c r="I984">
        <v>28.75</v>
      </c>
      <c r="J984">
        <v>169.9</v>
      </c>
      <c r="K984">
        <v>102</v>
      </c>
      <c r="L984">
        <v>14.44</v>
      </c>
      <c r="M984">
        <v>244.9</v>
      </c>
      <c r="N984">
        <v>106</v>
      </c>
      <c r="O984">
        <v>11.02</v>
      </c>
      <c r="P984">
        <v>9.9</v>
      </c>
      <c r="Q984">
        <v>10</v>
      </c>
      <c r="R984">
        <v>2.67</v>
      </c>
      <c r="S984">
        <v>3</v>
      </c>
      <c r="T984" t="b">
        <v>0</v>
      </c>
    </row>
    <row r="985" spans="1:20">
      <c r="A985" t="s">
        <v>108</v>
      </c>
      <c r="B985">
        <v>116</v>
      </c>
      <c r="C985">
        <v>510</v>
      </c>
      <c r="D985" t="s">
        <v>62</v>
      </c>
      <c r="E985" t="s">
        <v>62</v>
      </c>
      <c r="F985">
        <v>0</v>
      </c>
      <c r="G985">
        <v>229.3</v>
      </c>
      <c r="H985">
        <v>93</v>
      </c>
      <c r="I985">
        <v>38.98</v>
      </c>
      <c r="J985">
        <v>184.5</v>
      </c>
      <c r="K985">
        <v>111</v>
      </c>
      <c r="L985">
        <v>15.68</v>
      </c>
      <c r="M985">
        <v>168.2</v>
      </c>
      <c r="N985">
        <v>91</v>
      </c>
      <c r="O985">
        <v>7.57</v>
      </c>
      <c r="P985">
        <v>8.8</v>
      </c>
      <c r="Q985">
        <v>3</v>
      </c>
      <c r="R985">
        <v>2.38</v>
      </c>
      <c r="S985">
        <v>2</v>
      </c>
      <c r="T985" t="b">
        <v>0</v>
      </c>
    </row>
    <row r="986" spans="1:20">
      <c r="A986" t="s">
        <v>102</v>
      </c>
      <c r="B986">
        <v>62</v>
      </c>
      <c r="C986">
        <v>510</v>
      </c>
      <c r="D986" t="s">
        <v>62</v>
      </c>
      <c r="E986" t="s">
        <v>63</v>
      </c>
      <c r="F986">
        <v>33</v>
      </c>
      <c r="G986">
        <v>186.4</v>
      </c>
      <c r="H986">
        <v>84</v>
      </c>
      <c r="I986">
        <v>31.69</v>
      </c>
      <c r="J986">
        <v>201</v>
      </c>
      <c r="K986">
        <v>136</v>
      </c>
      <c r="L986">
        <v>17.09</v>
      </c>
      <c r="M986">
        <v>286.7</v>
      </c>
      <c r="N986">
        <v>103</v>
      </c>
      <c r="O986">
        <v>12.9</v>
      </c>
      <c r="P986">
        <v>11.1</v>
      </c>
      <c r="Q986">
        <v>3</v>
      </c>
      <c r="R986">
        <v>3</v>
      </c>
      <c r="S986">
        <v>2</v>
      </c>
      <c r="T986" t="b">
        <v>1</v>
      </c>
    </row>
    <row r="987" spans="1:20">
      <c r="A987" t="s">
        <v>112</v>
      </c>
      <c r="B987">
        <v>98</v>
      </c>
      <c r="C987">
        <v>415</v>
      </c>
      <c r="D987" t="s">
        <v>62</v>
      </c>
      <c r="E987" t="s">
        <v>62</v>
      </c>
      <c r="F987">
        <v>0</v>
      </c>
      <c r="G987">
        <v>162.8</v>
      </c>
      <c r="H987">
        <v>65</v>
      </c>
      <c r="I987">
        <v>27.68</v>
      </c>
      <c r="J987">
        <v>185</v>
      </c>
      <c r="K987">
        <v>109</v>
      </c>
      <c r="L987">
        <v>15.73</v>
      </c>
      <c r="M987">
        <v>219.5</v>
      </c>
      <c r="N987">
        <v>104</v>
      </c>
      <c r="O987">
        <v>9.88</v>
      </c>
      <c r="P987">
        <v>6</v>
      </c>
      <c r="Q987">
        <v>3</v>
      </c>
      <c r="R987">
        <v>1.62</v>
      </c>
      <c r="S987">
        <v>2</v>
      </c>
      <c r="T987" t="b">
        <v>0</v>
      </c>
    </row>
    <row r="988" spans="1:20">
      <c r="A988" t="s">
        <v>73</v>
      </c>
      <c r="B988">
        <v>107</v>
      </c>
      <c r="C988">
        <v>510</v>
      </c>
      <c r="D988" t="s">
        <v>63</v>
      </c>
      <c r="E988" t="s">
        <v>62</v>
      </c>
      <c r="F988">
        <v>0</v>
      </c>
      <c r="G988">
        <v>194.4</v>
      </c>
      <c r="H988">
        <v>83</v>
      </c>
      <c r="I988">
        <v>33.05</v>
      </c>
      <c r="J988">
        <v>247.8</v>
      </c>
      <c r="K988">
        <v>84</v>
      </c>
      <c r="L988">
        <v>21.06</v>
      </c>
      <c r="M988">
        <v>245.4</v>
      </c>
      <c r="N988">
        <v>93</v>
      </c>
      <c r="O988">
        <v>11.04</v>
      </c>
      <c r="P988">
        <v>11.2</v>
      </c>
      <c r="Q988">
        <v>7</v>
      </c>
      <c r="R988">
        <v>3.02</v>
      </c>
      <c r="S988">
        <v>2</v>
      </c>
      <c r="T988" t="b">
        <v>0</v>
      </c>
    </row>
    <row r="989" spans="1:20">
      <c r="A989" t="s">
        <v>100</v>
      </c>
      <c r="B989">
        <v>30</v>
      </c>
      <c r="C989">
        <v>510</v>
      </c>
      <c r="D989" t="s">
        <v>62</v>
      </c>
      <c r="E989" t="s">
        <v>62</v>
      </c>
      <c r="F989">
        <v>0</v>
      </c>
      <c r="G989">
        <v>145</v>
      </c>
      <c r="H989">
        <v>76</v>
      </c>
      <c r="I989">
        <v>24.65</v>
      </c>
      <c r="J989">
        <v>240.7</v>
      </c>
      <c r="K989">
        <v>112</v>
      </c>
      <c r="L989">
        <v>20.46</v>
      </c>
      <c r="M989">
        <v>197.1</v>
      </c>
      <c r="N989">
        <v>134</v>
      </c>
      <c r="O989">
        <v>8.87</v>
      </c>
      <c r="P989">
        <v>7.1</v>
      </c>
      <c r="Q989">
        <v>4</v>
      </c>
      <c r="R989">
        <v>1.92</v>
      </c>
      <c r="S989">
        <v>3</v>
      </c>
      <c r="T989" t="b">
        <v>0</v>
      </c>
    </row>
    <row r="990" spans="1:20">
      <c r="A990" t="s">
        <v>68</v>
      </c>
      <c r="B990">
        <v>40</v>
      </c>
      <c r="C990">
        <v>408</v>
      </c>
      <c r="D990" t="s">
        <v>62</v>
      </c>
      <c r="E990" t="s">
        <v>63</v>
      </c>
      <c r="F990">
        <v>31</v>
      </c>
      <c r="G990">
        <v>224.7</v>
      </c>
      <c r="H990">
        <v>69</v>
      </c>
      <c r="I990">
        <v>38.2</v>
      </c>
      <c r="J990">
        <v>134.5</v>
      </c>
      <c r="K990">
        <v>81</v>
      </c>
      <c r="L990">
        <v>11.43</v>
      </c>
      <c r="M990">
        <v>120.3</v>
      </c>
      <c r="N990">
        <v>104</v>
      </c>
      <c r="O990">
        <v>5.41</v>
      </c>
      <c r="P990">
        <v>7.5</v>
      </c>
      <c r="Q990">
        <v>5</v>
      </c>
      <c r="R990">
        <v>2.03</v>
      </c>
      <c r="S990">
        <v>1</v>
      </c>
      <c r="T990" t="b">
        <v>1</v>
      </c>
    </row>
    <row r="991" spans="1:20">
      <c r="A991" t="s">
        <v>112</v>
      </c>
      <c r="B991">
        <v>72</v>
      </c>
      <c r="C991">
        <v>408</v>
      </c>
      <c r="D991" t="s">
        <v>62</v>
      </c>
      <c r="E991" t="s">
        <v>62</v>
      </c>
      <c r="F991">
        <v>0</v>
      </c>
      <c r="G991">
        <v>147</v>
      </c>
      <c r="H991">
        <v>79</v>
      </c>
      <c r="I991">
        <v>24.99</v>
      </c>
      <c r="J991">
        <v>162.3</v>
      </c>
      <c r="K991">
        <v>103</v>
      </c>
      <c r="L991">
        <v>13.8</v>
      </c>
      <c r="M991">
        <v>162.9</v>
      </c>
      <c r="N991">
        <v>80</v>
      </c>
      <c r="O991">
        <v>7.33</v>
      </c>
      <c r="P991">
        <v>10.5</v>
      </c>
      <c r="Q991">
        <v>4</v>
      </c>
      <c r="R991">
        <v>2.84</v>
      </c>
      <c r="S991">
        <v>1</v>
      </c>
      <c r="T991" t="b">
        <v>0</v>
      </c>
    </row>
    <row r="992" spans="1:20">
      <c r="A992" t="s">
        <v>85</v>
      </c>
      <c r="B992">
        <v>95</v>
      </c>
      <c r="C992">
        <v>415</v>
      </c>
      <c r="D992" t="s">
        <v>62</v>
      </c>
      <c r="E992" t="s">
        <v>63</v>
      </c>
      <c r="F992">
        <v>39</v>
      </c>
      <c r="G992">
        <v>260.8</v>
      </c>
      <c r="H992">
        <v>130</v>
      </c>
      <c r="I992">
        <v>44.34</v>
      </c>
      <c r="J992">
        <v>213.4</v>
      </c>
      <c r="K992">
        <v>111</v>
      </c>
      <c r="L992">
        <v>18.14</v>
      </c>
      <c r="M992">
        <v>195.6</v>
      </c>
      <c r="N992">
        <v>97</v>
      </c>
      <c r="O992">
        <v>8.8</v>
      </c>
      <c r="P992">
        <v>10.1</v>
      </c>
      <c r="Q992">
        <v>5</v>
      </c>
      <c r="R992">
        <v>2.73</v>
      </c>
      <c r="S992">
        <v>1</v>
      </c>
      <c r="T992" t="b">
        <v>0</v>
      </c>
    </row>
    <row r="993" spans="1:20">
      <c r="A993" t="s">
        <v>75</v>
      </c>
      <c r="B993">
        <v>42</v>
      </c>
      <c r="C993">
        <v>415</v>
      </c>
      <c r="D993" t="s">
        <v>62</v>
      </c>
      <c r="E993" t="s">
        <v>62</v>
      </c>
      <c r="F993">
        <v>0</v>
      </c>
      <c r="G993">
        <v>155.4</v>
      </c>
      <c r="H993">
        <v>127</v>
      </c>
      <c r="I993">
        <v>26.42</v>
      </c>
      <c r="J993">
        <v>164.1</v>
      </c>
      <c r="K993">
        <v>45</v>
      </c>
      <c r="L993">
        <v>13.95</v>
      </c>
      <c r="M993">
        <v>157.7</v>
      </c>
      <c r="N993">
        <v>128</v>
      </c>
      <c r="O993">
        <v>7.1</v>
      </c>
      <c r="P993">
        <v>9</v>
      </c>
      <c r="Q993">
        <v>3</v>
      </c>
      <c r="R993">
        <v>2.43</v>
      </c>
      <c r="S993">
        <v>0</v>
      </c>
      <c r="T993" t="b">
        <v>0</v>
      </c>
    </row>
    <row r="994" spans="1:20">
      <c r="A994" t="s">
        <v>96</v>
      </c>
      <c r="B994">
        <v>86</v>
      </c>
      <c r="C994">
        <v>415</v>
      </c>
      <c r="D994" t="s">
        <v>62</v>
      </c>
      <c r="E994" t="s">
        <v>62</v>
      </c>
      <c r="F994">
        <v>0</v>
      </c>
      <c r="G994">
        <v>166.2</v>
      </c>
      <c r="H994">
        <v>112</v>
      </c>
      <c r="I994">
        <v>28.25</v>
      </c>
      <c r="J994">
        <v>255.3</v>
      </c>
      <c r="K994">
        <v>81</v>
      </c>
      <c r="L994">
        <v>21.7</v>
      </c>
      <c r="M994">
        <v>228.1</v>
      </c>
      <c r="N994">
        <v>97</v>
      </c>
      <c r="O994">
        <v>10.26</v>
      </c>
      <c r="P994">
        <v>5.4</v>
      </c>
      <c r="Q994">
        <v>7</v>
      </c>
      <c r="R994">
        <v>1.46</v>
      </c>
      <c r="S994">
        <v>1</v>
      </c>
      <c r="T994" t="b">
        <v>0</v>
      </c>
    </row>
    <row r="995" spans="1:20">
      <c r="A995" t="s">
        <v>81</v>
      </c>
      <c r="B995">
        <v>55</v>
      </c>
      <c r="C995">
        <v>510</v>
      </c>
      <c r="D995" t="s">
        <v>62</v>
      </c>
      <c r="E995" t="s">
        <v>63</v>
      </c>
      <c r="F995">
        <v>45</v>
      </c>
      <c r="G995">
        <v>130.5</v>
      </c>
      <c r="H995">
        <v>114</v>
      </c>
      <c r="I995">
        <v>22.19</v>
      </c>
      <c r="J995">
        <v>208.4</v>
      </c>
      <c r="K995">
        <v>94</v>
      </c>
      <c r="L995">
        <v>17.71</v>
      </c>
      <c r="M995">
        <v>141.6</v>
      </c>
      <c r="N995">
        <v>114</v>
      </c>
      <c r="O995">
        <v>6.37</v>
      </c>
      <c r="P995">
        <v>11</v>
      </c>
      <c r="Q995">
        <v>5</v>
      </c>
      <c r="R995">
        <v>2.97</v>
      </c>
      <c r="S995">
        <v>4</v>
      </c>
      <c r="T995" t="b">
        <v>1</v>
      </c>
    </row>
    <row r="996" spans="1:20">
      <c r="A996" t="s">
        <v>76</v>
      </c>
      <c r="B996">
        <v>74</v>
      </c>
      <c r="C996">
        <v>415</v>
      </c>
      <c r="D996" t="s">
        <v>62</v>
      </c>
      <c r="E996" t="s">
        <v>62</v>
      </c>
      <c r="F996">
        <v>0</v>
      </c>
      <c r="G996">
        <v>162.7</v>
      </c>
      <c r="H996">
        <v>102</v>
      </c>
      <c r="I996">
        <v>27.66</v>
      </c>
      <c r="J996">
        <v>292</v>
      </c>
      <c r="K996">
        <v>105</v>
      </c>
      <c r="L996">
        <v>24.82</v>
      </c>
      <c r="M996">
        <v>183.3</v>
      </c>
      <c r="N996">
        <v>80</v>
      </c>
      <c r="O996">
        <v>8.25</v>
      </c>
      <c r="P996">
        <v>8.7</v>
      </c>
      <c r="Q996">
        <v>6</v>
      </c>
      <c r="R996">
        <v>2.35</v>
      </c>
      <c r="S996">
        <v>0</v>
      </c>
      <c r="T996" t="b">
        <v>0</v>
      </c>
    </row>
    <row r="997" spans="1:20">
      <c r="A997" t="s">
        <v>115</v>
      </c>
      <c r="B997">
        <v>81</v>
      </c>
      <c r="C997">
        <v>408</v>
      </c>
      <c r="D997" t="s">
        <v>63</v>
      </c>
      <c r="E997" t="s">
        <v>63</v>
      </c>
      <c r="F997">
        <v>37</v>
      </c>
      <c r="G997">
        <v>237.1</v>
      </c>
      <c r="H997">
        <v>76</v>
      </c>
      <c r="I997">
        <v>40.31</v>
      </c>
      <c r="J997">
        <v>264.2</v>
      </c>
      <c r="K997">
        <v>125</v>
      </c>
      <c r="L997">
        <v>22.46</v>
      </c>
      <c r="M997">
        <v>271.3</v>
      </c>
      <c r="N997">
        <v>120</v>
      </c>
      <c r="O997">
        <v>12.21</v>
      </c>
      <c r="P997">
        <v>7.9</v>
      </c>
      <c r="Q997">
        <v>3</v>
      </c>
      <c r="R997">
        <v>2.13</v>
      </c>
      <c r="S997">
        <v>1</v>
      </c>
      <c r="T997" t="b">
        <v>0</v>
      </c>
    </row>
    <row r="998" spans="1:20">
      <c r="A998" t="s">
        <v>110</v>
      </c>
      <c r="B998">
        <v>81</v>
      </c>
      <c r="C998">
        <v>408</v>
      </c>
      <c r="D998" t="s">
        <v>62</v>
      </c>
      <c r="E998" t="s">
        <v>62</v>
      </c>
      <c r="F998">
        <v>0</v>
      </c>
      <c r="G998">
        <v>166.2</v>
      </c>
      <c r="H998">
        <v>102</v>
      </c>
      <c r="I998">
        <v>28.25</v>
      </c>
      <c r="J998">
        <v>217.6</v>
      </c>
      <c r="K998">
        <v>112</v>
      </c>
      <c r="L998">
        <v>18.5</v>
      </c>
      <c r="M998">
        <v>220.2</v>
      </c>
      <c r="N998">
        <v>68</v>
      </c>
      <c r="O998">
        <v>9.91</v>
      </c>
      <c r="P998">
        <v>13.2</v>
      </c>
      <c r="Q998">
        <v>2</v>
      </c>
      <c r="R998">
        <v>3.56</v>
      </c>
      <c r="S998">
        <v>4</v>
      </c>
      <c r="T998" t="b">
        <v>0</v>
      </c>
    </row>
    <row r="999" spans="1:20">
      <c r="A999" t="s">
        <v>76</v>
      </c>
      <c r="B999">
        <v>28</v>
      </c>
      <c r="C999">
        <v>415</v>
      </c>
      <c r="D999" t="s">
        <v>62</v>
      </c>
      <c r="E999" t="s">
        <v>62</v>
      </c>
      <c r="F999">
        <v>0</v>
      </c>
      <c r="G999">
        <v>121.7</v>
      </c>
      <c r="H999">
        <v>48</v>
      </c>
      <c r="I999">
        <v>20.69</v>
      </c>
      <c r="J999">
        <v>125.8</v>
      </c>
      <c r="K999">
        <v>112</v>
      </c>
      <c r="L999">
        <v>10.69</v>
      </c>
      <c r="M999">
        <v>261.6</v>
      </c>
      <c r="N999">
        <v>122</v>
      </c>
      <c r="O999">
        <v>11.77</v>
      </c>
      <c r="P999">
        <v>8.3</v>
      </c>
      <c r="Q999">
        <v>2</v>
      </c>
      <c r="R999">
        <v>2.24</v>
      </c>
      <c r="S999">
        <v>6</v>
      </c>
      <c r="T999" t="b">
        <v>1</v>
      </c>
    </row>
    <row r="1000" spans="1:20">
      <c r="A1000" t="s">
        <v>67</v>
      </c>
      <c r="B1000">
        <v>111</v>
      </c>
      <c r="C1000">
        <v>510</v>
      </c>
      <c r="D1000" t="s">
        <v>62</v>
      </c>
      <c r="E1000" t="s">
        <v>62</v>
      </c>
      <c r="F1000">
        <v>0</v>
      </c>
      <c r="G1000">
        <v>176.4</v>
      </c>
      <c r="H1000">
        <v>62</v>
      </c>
      <c r="I1000">
        <v>29.99</v>
      </c>
      <c r="J1000">
        <v>201</v>
      </c>
      <c r="K1000">
        <v>124</v>
      </c>
      <c r="L1000">
        <v>17.09</v>
      </c>
      <c r="M1000">
        <v>150.4</v>
      </c>
      <c r="N1000">
        <v>138</v>
      </c>
      <c r="O1000">
        <v>6.77</v>
      </c>
      <c r="P1000">
        <v>11.2</v>
      </c>
      <c r="Q1000">
        <v>2</v>
      </c>
      <c r="R1000">
        <v>3.02</v>
      </c>
      <c r="S1000">
        <v>0</v>
      </c>
      <c r="T1000" t="b">
        <v>0</v>
      </c>
    </row>
    <row r="1001" spans="1:20">
      <c r="A1001" t="s">
        <v>104</v>
      </c>
      <c r="B1001">
        <v>3</v>
      </c>
      <c r="C1001">
        <v>510</v>
      </c>
      <c r="D1001" t="s">
        <v>62</v>
      </c>
      <c r="E1001" t="s">
        <v>63</v>
      </c>
      <c r="F1001">
        <v>27</v>
      </c>
      <c r="G1001">
        <v>67.4</v>
      </c>
      <c r="H1001">
        <v>116</v>
      </c>
      <c r="I1001">
        <v>11.46</v>
      </c>
      <c r="J1001">
        <v>244</v>
      </c>
      <c r="K1001">
        <v>78</v>
      </c>
      <c r="L1001">
        <v>20.74</v>
      </c>
      <c r="M1001">
        <v>281.1</v>
      </c>
      <c r="N1001">
        <v>93</v>
      </c>
      <c r="O1001">
        <v>12.65</v>
      </c>
      <c r="P1001">
        <v>11.4</v>
      </c>
      <c r="Q1001">
        <v>2</v>
      </c>
      <c r="R1001">
        <v>3.08</v>
      </c>
      <c r="S1001">
        <v>2</v>
      </c>
      <c r="T1001" t="b">
        <v>0</v>
      </c>
    </row>
    <row r="1002" spans="1:20">
      <c r="A1002" t="s">
        <v>81</v>
      </c>
      <c r="B1002">
        <v>68</v>
      </c>
      <c r="C1002">
        <v>415</v>
      </c>
      <c r="D1002" t="s">
        <v>62</v>
      </c>
      <c r="E1002" t="s">
        <v>63</v>
      </c>
      <c r="F1002">
        <v>24</v>
      </c>
      <c r="G1002">
        <v>176</v>
      </c>
      <c r="H1002">
        <v>118</v>
      </c>
      <c r="I1002">
        <v>29.92</v>
      </c>
      <c r="J1002">
        <v>277.9</v>
      </c>
      <c r="K1002">
        <v>116</v>
      </c>
      <c r="L1002">
        <v>23.62</v>
      </c>
      <c r="M1002">
        <v>174.7</v>
      </c>
      <c r="N1002">
        <v>71</v>
      </c>
      <c r="O1002">
        <v>7.86</v>
      </c>
      <c r="P1002">
        <v>14.7</v>
      </c>
      <c r="Q1002">
        <v>7</v>
      </c>
      <c r="R1002">
        <v>3.97</v>
      </c>
      <c r="S1002">
        <v>1</v>
      </c>
      <c r="T1002" t="b">
        <v>0</v>
      </c>
    </row>
    <row r="1003" spans="1:20">
      <c r="A1003" t="s">
        <v>106</v>
      </c>
      <c r="B1003">
        <v>163</v>
      </c>
      <c r="C1003">
        <v>408</v>
      </c>
      <c r="D1003" t="s">
        <v>62</v>
      </c>
      <c r="E1003" t="s">
        <v>62</v>
      </c>
      <c r="F1003">
        <v>0</v>
      </c>
      <c r="G1003">
        <v>247.7</v>
      </c>
      <c r="H1003">
        <v>77</v>
      </c>
      <c r="I1003">
        <v>42.11</v>
      </c>
      <c r="J1003">
        <v>269.5</v>
      </c>
      <c r="K1003">
        <v>108</v>
      </c>
      <c r="L1003">
        <v>22.91</v>
      </c>
      <c r="M1003">
        <v>167.3</v>
      </c>
      <c r="N1003">
        <v>82</v>
      </c>
      <c r="O1003">
        <v>7.53</v>
      </c>
      <c r="P1003">
        <v>9.6</v>
      </c>
      <c r="Q1003">
        <v>7</v>
      </c>
      <c r="R1003">
        <v>2.59</v>
      </c>
      <c r="S1003">
        <v>0</v>
      </c>
      <c r="T1003" t="b">
        <v>1</v>
      </c>
    </row>
    <row r="1004" spans="1:20">
      <c r="A1004" t="s">
        <v>61</v>
      </c>
      <c r="B1004">
        <v>87</v>
      </c>
      <c r="C1004">
        <v>510</v>
      </c>
      <c r="D1004" t="s">
        <v>62</v>
      </c>
      <c r="E1004" t="s">
        <v>62</v>
      </c>
      <c r="F1004">
        <v>0</v>
      </c>
      <c r="G1004">
        <v>115.4</v>
      </c>
      <c r="H1004">
        <v>90</v>
      </c>
      <c r="I1004">
        <v>19.62</v>
      </c>
      <c r="J1004">
        <v>262.6</v>
      </c>
      <c r="K1004">
        <v>68</v>
      </c>
      <c r="L1004">
        <v>22.32</v>
      </c>
      <c r="M1004">
        <v>245.7</v>
      </c>
      <c r="N1004">
        <v>69</v>
      </c>
      <c r="O1004">
        <v>11.06</v>
      </c>
      <c r="P1004">
        <v>13.1</v>
      </c>
      <c r="Q1004">
        <v>5</v>
      </c>
      <c r="R1004">
        <v>3.54</v>
      </c>
      <c r="S1004">
        <v>2</v>
      </c>
      <c r="T1004" t="b">
        <v>0</v>
      </c>
    </row>
    <row r="1005" spans="1:20">
      <c r="A1005" t="s">
        <v>100</v>
      </c>
      <c r="B1005">
        <v>58</v>
      </c>
      <c r="C1005">
        <v>510</v>
      </c>
      <c r="D1005" t="s">
        <v>62</v>
      </c>
      <c r="E1005" t="s">
        <v>62</v>
      </c>
      <c r="F1005">
        <v>0</v>
      </c>
      <c r="G1005">
        <v>112.2</v>
      </c>
      <c r="H1005">
        <v>95</v>
      </c>
      <c r="I1005">
        <v>19.07</v>
      </c>
      <c r="J1005">
        <v>209.6</v>
      </c>
      <c r="K1005">
        <v>108</v>
      </c>
      <c r="L1005">
        <v>17.82</v>
      </c>
      <c r="M1005">
        <v>260.9</v>
      </c>
      <c r="N1005">
        <v>78</v>
      </c>
      <c r="O1005">
        <v>11.74</v>
      </c>
      <c r="P1005">
        <v>13.9</v>
      </c>
      <c r="Q1005">
        <v>1</v>
      </c>
      <c r="R1005">
        <v>3.75</v>
      </c>
      <c r="S1005">
        <v>0</v>
      </c>
      <c r="T1005" t="b">
        <v>1</v>
      </c>
    </row>
    <row r="1006" spans="1:20">
      <c r="A1006" t="s">
        <v>102</v>
      </c>
      <c r="B1006">
        <v>109</v>
      </c>
      <c r="C1006">
        <v>408</v>
      </c>
      <c r="D1006" t="s">
        <v>62</v>
      </c>
      <c r="E1006" t="s">
        <v>62</v>
      </c>
      <c r="F1006">
        <v>0</v>
      </c>
      <c r="G1006">
        <v>162.6</v>
      </c>
      <c r="H1006">
        <v>138</v>
      </c>
      <c r="I1006">
        <v>27.64</v>
      </c>
      <c r="J1006">
        <v>154</v>
      </c>
      <c r="K1006">
        <v>109</v>
      </c>
      <c r="L1006">
        <v>13.09</v>
      </c>
      <c r="M1006">
        <v>209.7</v>
      </c>
      <c r="N1006">
        <v>118</v>
      </c>
      <c r="O1006">
        <v>9.44</v>
      </c>
      <c r="P1006">
        <v>11.5</v>
      </c>
      <c r="Q1006">
        <v>4</v>
      </c>
      <c r="R1006">
        <v>3.11</v>
      </c>
      <c r="S1006">
        <v>0</v>
      </c>
      <c r="T1006" t="b">
        <v>0</v>
      </c>
    </row>
    <row r="1007" spans="1:20">
      <c r="A1007" t="s">
        <v>73</v>
      </c>
      <c r="B1007">
        <v>111</v>
      </c>
      <c r="C1007">
        <v>415</v>
      </c>
      <c r="D1007" t="s">
        <v>62</v>
      </c>
      <c r="E1007" t="s">
        <v>62</v>
      </c>
      <c r="F1007">
        <v>0</v>
      </c>
      <c r="G1007">
        <v>229.4</v>
      </c>
      <c r="H1007">
        <v>107</v>
      </c>
      <c r="I1007">
        <v>39</v>
      </c>
      <c r="J1007">
        <v>214.1</v>
      </c>
      <c r="K1007">
        <v>99</v>
      </c>
      <c r="L1007">
        <v>18.2</v>
      </c>
      <c r="M1007">
        <v>289.6</v>
      </c>
      <c r="N1007">
        <v>95</v>
      </c>
      <c r="O1007">
        <v>13.03</v>
      </c>
      <c r="P1007">
        <v>10.4</v>
      </c>
      <c r="Q1007">
        <v>6</v>
      </c>
      <c r="R1007">
        <v>2.81</v>
      </c>
      <c r="S1007">
        <v>4</v>
      </c>
      <c r="T1007" t="b">
        <v>0</v>
      </c>
    </row>
    <row r="1008" spans="1:20">
      <c r="A1008" t="s">
        <v>97</v>
      </c>
      <c r="B1008">
        <v>144</v>
      </c>
      <c r="C1008">
        <v>415</v>
      </c>
      <c r="D1008" t="s">
        <v>62</v>
      </c>
      <c r="E1008" t="s">
        <v>62</v>
      </c>
      <c r="F1008">
        <v>0</v>
      </c>
      <c r="G1008">
        <v>139.6</v>
      </c>
      <c r="H1008">
        <v>96</v>
      </c>
      <c r="I1008">
        <v>23.73</v>
      </c>
      <c r="J1008">
        <v>124.2</v>
      </c>
      <c r="K1008">
        <v>93</v>
      </c>
      <c r="L1008">
        <v>10.56</v>
      </c>
      <c r="M1008">
        <v>95.6</v>
      </c>
      <c r="N1008">
        <v>75</v>
      </c>
      <c r="O1008">
        <v>4.3</v>
      </c>
      <c r="P1008">
        <v>15</v>
      </c>
      <c r="Q1008">
        <v>4</v>
      </c>
      <c r="R1008">
        <v>4.05</v>
      </c>
      <c r="S1008">
        <v>2</v>
      </c>
      <c r="T1008" t="b">
        <v>0</v>
      </c>
    </row>
    <row r="1009" spans="1:20">
      <c r="A1009" t="s">
        <v>94</v>
      </c>
      <c r="B1009">
        <v>135</v>
      </c>
      <c r="C1009">
        <v>415</v>
      </c>
      <c r="D1009" t="s">
        <v>62</v>
      </c>
      <c r="E1009" t="s">
        <v>62</v>
      </c>
      <c r="F1009">
        <v>0</v>
      </c>
      <c r="G1009">
        <v>263.8</v>
      </c>
      <c r="H1009">
        <v>66</v>
      </c>
      <c r="I1009">
        <v>44.85</v>
      </c>
      <c r="J1009">
        <v>251.3</v>
      </c>
      <c r="K1009">
        <v>116</v>
      </c>
      <c r="L1009">
        <v>21.36</v>
      </c>
      <c r="M1009">
        <v>200.1</v>
      </c>
      <c r="N1009">
        <v>112</v>
      </c>
      <c r="O1009">
        <v>9</v>
      </c>
      <c r="P1009">
        <v>8.4</v>
      </c>
      <c r="Q1009">
        <v>2</v>
      </c>
      <c r="R1009">
        <v>2.27</v>
      </c>
      <c r="S1009">
        <v>5</v>
      </c>
      <c r="T1009" t="b">
        <v>1</v>
      </c>
    </row>
    <row r="1010" spans="1:20">
      <c r="A1010" t="s">
        <v>111</v>
      </c>
      <c r="B1010">
        <v>109</v>
      </c>
      <c r="C1010">
        <v>415</v>
      </c>
      <c r="D1010" t="s">
        <v>62</v>
      </c>
      <c r="E1010" t="s">
        <v>63</v>
      </c>
      <c r="F1010">
        <v>46</v>
      </c>
      <c r="G1010">
        <v>217.5</v>
      </c>
      <c r="H1010">
        <v>123</v>
      </c>
      <c r="I1010">
        <v>36.98</v>
      </c>
      <c r="J1010">
        <v>233.7</v>
      </c>
      <c r="K1010">
        <v>84</v>
      </c>
      <c r="L1010">
        <v>19.86</v>
      </c>
      <c r="M1010">
        <v>163.9</v>
      </c>
      <c r="N1010">
        <v>99</v>
      </c>
      <c r="O1010">
        <v>7.38</v>
      </c>
      <c r="P1010">
        <v>9</v>
      </c>
      <c r="Q1010">
        <v>3</v>
      </c>
      <c r="R1010">
        <v>2.43</v>
      </c>
      <c r="S1010">
        <v>4</v>
      </c>
      <c r="T1010" t="b">
        <v>0</v>
      </c>
    </row>
    <row r="1011" spans="1:20">
      <c r="A1011" t="s">
        <v>86</v>
      </c>
      <c r="B1011">
        <v>107</v>
      </c>
      <c r="C1011">
        <v>415</v>
      </c>
      <c r="D1011" t="s">
        <v>62</v>
      </c>
      <c r="E1011" t="s">
        <v>63</v>
      </c>
      <c r="F1011">
        <v>14</v>
      </c>
      <c r="G1011">
        <v>114.3</v>
      </c>
      <c r="H1011">
        <v>132</v>
      </c>
      <c r="I1011">
        <v>19.43</v>
      </c>
      <c r="J1011">
        <v>199.8</v>
      </c>
      <c r="K1011">
        <v>91</v>
      </c>
      <c r="L1011">
        <v>16.98</v>
      </c>
      <c r="M1011">
        <v>194.7</v>
      </c>
      <c r="N1011">
        <v>74</v>
      </c>
      <c r="O1011">
        <v>8.76</v>
      </c>
      <c r="P1011">
        <v>7.5</v>
      </c>
      <c r="Q1011">
        <v>8</v>
      </c>
      <c r="R1011">
        <v>2.03</v>
      </c>
      <c r="S1011">
        <v>1</v>
      </c>
      <c r="T1011" t="b">
        <v>0</v>
      </c>
    </row>
    <row r="1012" spans="1:20">
      <c r="A1012" t="s">
        <v>64</v>
      </c>
      <c r="B1012">
        <v>149</v>
      </c>
      <c r="C1012">
        <v>408</v>
      </c>
      <c r="D1012" t="s">
        <v>62</v>
      </c>
      <c r="E1012" t="s">
        <v>62</v>
      </c>
      <c r="F1012">
        <v>0</v>
      </c>
      <c r="G1012">
        <v>196.3</v>
      </c>
      <c r="H1012">
        <v>108</v>
      </c>
      <c r="I1012">
        <v>33.37</v>
      </c>
      <c r="J1012">
        <v>136.8</v>
      </c>
      <c r="K1012">
        <v>96</v>
      </c>
      <c r="L1012">
        <v>11.63</v>
      </c>
      <c r="M1012">
        <v>154.7</v>
      </c>
      <c r="N1012">
        <v>87</v>
      </c>
      <c r="O1012">
        <v>6.96</v>
      </c>
      <c r="P1012">
        <v>7.7</v>
      </c>
      <c r="Q1012">
        <v>3</v>
      </c>
      <c r="R1012">
        <v>2.08</v>
      </c>
      <c r="S1012">
        <v>2</v>
      </c>
      <c r="T1012" t="b">
        <v>0</v>
      </c>
    </row>
    <row r="1013" spans="1:20">
      <c r="A1013" t="s">
        <v>68</v>
      </c>
      <c r="B1013">
        <v>56</v>
      </c>
      <c r="C1013">
        <v>510</v>
      </c>
      <c r="D1013" t="s">
        <v>62</v>
      </c>
      <c r="E1013" t="s">
        <v>62</v>
      </c>
      <c r="F1013">
        <v>0</v>
      </c>
      <c r="G1013">
        <v>253.2</v>
      </c>
      <c r="H1013">
        <v>95</v>
      </c>
      <c r="I1013">
        <v>43.04</v>
      </c>
      <c r="J1013">
        <v>188</v>
      </c>
      <c r="K1013">
        <v>116</v>
      </c>
      <c r="L1013">
        <v>15.98</v>
      </c>
      <c r="M1013">
        <v>142</v>
      </c>
      <c r="N1013">
        <v>133</v>
      </c>
      <c r="O1013">
        <v>6.39</v>
      </c>
      <c r="P1013">
        <v>4.4</v>
      </c>
      <c r="Q1013">
        <v>4</v>
      </c>
      <c r="R1013">
        <v>1.19</v>
      </c>
      <c r="S1013">
        <v>1</v>
      </c>
      <c r="T1013" t="b">
        <v>0</v>
      </c>
    </row>
    <row r="1014" spans="1:20">
      <c r="A1014" t="s">
        <v>94</v>
      </c>
      <c r="B1014">
        <v>129</v>
      </c>
      <c r="C1014">
        <v>408</v>
      </c>
      <c r="D1014" t="s">
        <v>62</v>
      </c>
      <c r="E1014" t="s">
        <v>62</v>
      </c>
      <c r="F1014">
        <v>0</v>
      </c>
      <c r="G1014">
        <v>98</v>
      </c>
      <c r="H1014">
        <v>99</v>
      </c>
      <c r="I1014">
        <v>16.66</v>
      </c>
      <c r="J1014">
        <v>240.7</v>
      </c>
      <c r="K1014">
        <v>62</v>
      </c>
      <c r="L1014">
        <v>20.46</v>
      </c>
      <c r="M1014">
        <v>254.8</v>
      </c>
      <c r="N1014">
        <v>123</v>
      </c>
      <c r="O1014">
        <v>11.47</v>
      </c>
      <c r="P1014">
        <v>10.5</v>
      </c>
      <c r="Q1014">
        <v>4</v>
      </c>
      <c r="R1014">
        <v>2.84</v>
      </c>
      <c r="S1014">
        <v>0</v>
      </c>
      <c r="T1014" t="b">
        <v>0</v>
      </c>
    </row>
    <row r="1015" spans="1:20">
      <c r="A1015" t="s">
        <v>98</v>
      </c>
      <c r="B1015">
        <v>92</v>
      </c>
      <c r="C1015">
        <v>408</v>
      </c>
      <c r="D1015" t="s">
        <v>62</v>
      </c>
      <c r="E1015" t="s">
        <v>62</v>
      </c>
      <c r="F1015">
        <v>0</v>
      </c>
      <c r="G1015">
        <v>249.4</v>
      </c>
      <c r="H1015">
        <v>118</v>
      </c>
      <c r="I1015">
        <v>42.4</v>
      </c>
      <c r="J1015">
        <v>211.5</v>
      </c>
      <c r="K1015">
        <v>95</v>
      </c>
      <c r="L1015">
        <v>17.98</v>
      </c>
      <c r="M1015">
        <v>169</v>
      </c>
      <c r="N1015">
        <v>116</v>
      </c>
      <c r="O1015">
        <v>7.61</v>
      </c>
      <c r="P1015">
        <v>9.1</v>
      </c>
      <c r="Q1015">
        <v>3</v>
      </c>
      <c r="R1015">
        <v>2.46</v>
      </c>
      <c r="S1015">
        <v>0</v>
      </c>
      <c r="T1015" t="b">
        <v>0</v>
      </c>
    </row>
    <row r="1016" spans="1:20">
      <c r="A1016" t="s">
        <v>71</v>
      </c>
      <c r="B1016">
        <v>67</v>
      </c>
      <c r="C1016">
        <v>415</v>
      </c>
      <c r="D1016" t="s">
        <v>62</v>
      </c>
      <c r="E1016" t="s">
        <v>63</v>
      </c>
      <c r="F1016">
        <v>30</v>
      </c>
      <c r="G1016">
        <v>129.6</v>
      </c>
      <c r="H1016">
        <v>107</v>
      </c>
      <c r="I1016">
        <v>22.03</v>
      </c>
      <c r="J1016">
        <v>233</v>
      </c>
      <c r="K1016">
        <v>104</v>
      </c>
      <c r="L1016">
        <v>19.81</v>
      </c>
      <c r="M1016">
        <v>297</v>
      </c>
      <c r="N1016">
        <v>93</v>
      </c>
      <c r="O1016">
        <v>13.37</v>
      </c>
      <c r="P1016">
        <v>14.5</v>
      </c>
      <c r="Q1016">
        <v>5</v>
      </c>
      <c r="R1016">
        <v>3.92</v>
      </c>
      <c r="S1016">
        <v>1</v>
      </c>
      <c r="T1016" t="b">
        <v>0</v>
      </c>
    </row>
    <row r="1017" spans="1:20">
      <c r="A1017" t="s">
        <v>78</v>
      </c>
      <c r="B1017">
        <v>120</v>
      </c>
      <c r="C1017">
        <v>415</v>
      </c>
      <c r="D1017" t="s">
        <v>62</v>
      </c>
      <c r="E1017" t="s">
        <v>62</v>
      </c>
      <c r="F1017">
        <v>0</v>
      </c>
      <c r="G1017">
        <v>221.3</v>
      </c>
      <c r="H1017">
        <v>106</v>
      </c>
      <c r="I1017">
        <v>37.62</v>
      </c>
      <c r="J1017">
        <v>267.6</v>
      </c>
      <c r="K1017">
        <v>98</v>
      </c>
      <c r="L1017">
        <v>22.75</v>
      </c>
      <c r="M1017">
        <v>111.5</v>
      </c>
      <c r="N1017">
        <v>80</v>
      </c>
      <c r="O1017">
        <v>5.02</v>
      </c>
      <c r="P1017">
        <v>9.3</v>
      </c>
      <c r="Q1017">
        <v>7</v>
      </c>
      <c r="R1017">
        <v>2.51</v>
      </c>
      <c r="S1017">
        <v>0</v>
      </c>
      <c r="T1017" t="b">
        <v>0</v>
      </c>
    </row>
    <row r="1018" spans="1:20">
      <c r="A1018" t="s">
        <v>89</v>
      </c>
      <c r="B1018">
        <v>76</v>
      </c>
      <c r="C1018">
        <v>408</v>
      </c>
      <c r="D1018" t="s">
        <v>62</v>
      </c>
      <c r="E1018" t="s">
        <v>62</v>
      </c>
      <c r="F1018">
        <v>0</v>
      </c>
      <c r="G1018">
        <v>203.6</v>
      </c>
      <c r="H1018">
        <v>61</v>
      </c>
      <c r="I1018">
        <v>34.61</v>
      </c>
      <c r="J1018">
        <v>161.7</v>
      </c>
      <c r="K1018">
        <v>127</v>
      </c>
      <c r="L1018">
        <v>13.74</v>
      </c>
      <c r="M1018">
        <v>175.9</v>
      </c>
      <c r="N1018">
        <v>97</v>
      </c>
      <c r="O1018">
        <v>7.92</v>
      </c>
      <c r="P1018">
        <v>8.4</v>
      </c>
      <c r="Q1018">
        <v>3</v>
      </c>
      <c r="R1018">
        <v>2.27</v>
      </c>
      <c r="S1018">
        <v>0</v>
      </c>
      <c r="T1018" t="b">
        <v>0</v>
      </c>
    </row>
    <row r="1019" spans="1:20">
      <c r="A1019" t="s">
        <v>108</v>
      </c>
      <c r="B1019">
        <v>79</v>
      </c>
      <c r="C1019">
        <v>415</v>
      </c>
      <c r="D1019" t="s">
        <v>62</v>
      </c>
      <c r="E1019" t="s">
        <v>62</v>
      </c>
      <c r="F1019">
        <v>0</v>
      </c>
      <c r="G1019">
        <v>213.6</v>
      </c>
      <c r="H1019">
        <v>110</v>
      </c>
      <c r="I1019">
        <v>36.31</v>
      </c>
      <c r="J1019">
        <v>234.9</v>
      </c>
      <c r="K1019">
        <v>121</v>
      </c>
      <c r="L1019">
        <v>19.97</v>
      </c>
      <c r="M1019">
        <v>229.6</v>
      </c>
      <c r="N1019">
        <v>157</v>
      </c>
      <c r="O1019">
        <v>10.33</v>
      </c>
      <c r="P1019">
        <v>8.8</v>
      </c>
      <c r="Q1019">
        <v>3</v>
      </c>
      <c r="R1019">
        <v>2.38</v>
      </c>
      <c r="S1019">
        <v>2</v>
      </c>
      <c r="T1019" t="b">
        <v>0</v>
      </c>
    </row>
    <row r="1020" spans="1:20">
      <c r="A1020" t="s">
        <v>114</v>
      </c>
      <c r="B1020">
        <v>98</v>
      </c>
      <c r="C1020">
        <v>415</v>
      </c>
      <c r="D1020" t="s">
        <v>62</v>
      </c>
      <c r="E1020" t="s">
        <v>63</v>
      </c>
      <c r="F1020">
        <v>31</v>
      </c>
      <c r="G1020">
        <v>181.6</v>
      </c>
      <c r="H1020">
        <v>112</v>
      </c>
      <c r="I1020">
        <v>30.87</v>
      </c>
      <c r="J1020">
        <v>220.7</v>
      </c>
      <c r="K1020">
        <v>100</v>
      </c>
      <c r="L1020">
        <v>18.76</v>
      </c>
      <c r="M1020">
        <v>236.3</v>
      </c>
      <c r="N1020">
        <v>121</v>
      </c>
      <c r="O1020">
        <v>10.63</v>
      </c>
      <c r="P1020">
        <v>12.9</v>
      </c>
      <c r="Q1020">
        <v>4</v>
      </c>
      <c r="R1020">
        <v>3.48</v>
      </c>
      <c r="S1020">
        <v>2</v>
      </c>
      <c r="T1020" t="b">
        <v>0</v>
      </c>
    </row>
    <row r="1021" spans="1:20">
      <c r="A1021" t="s">
        <v>83</v>
      </c>
      <c r="B1021">
        <v>141</v>
      </c>
      <c r="C1021">
        <v>510</v>
      </c>
      <c r="D1021" t="s">
        <v>62</v>
      </c>
      <c r="E1021" t="s">
        <v>63</v>
      </c>
      <c r="F1021">
        <v>22</v>
      </c>
      <c r="G1021">
        <v>215.4</v>
      </c>
      <c r="H1021">
        <v>123</v>
      </c>
      <c r="I1021">
        <v>36.62</v>
      </c>
      <c r="J1021">
        <v>328.7</v>
      </c>
      <c r="K1021">
        <v>98</v>
      </c>
      <c r="L1021">
        <v>27.94</v>
      </c>
      <c r="M1021">
        <v>160.5</v>
      </c>
      <c r="N1021">
        <v>89</v>
      </c>
      <c r="O1021">
        <v>7.22</v>
      </c>
      <c r="P1021">
        <v>7.8</v>
      </c>
      <c r="Q1021">
        <v>6</v>
      </c>
      <c r="R1021">
        <v>2.11</v>
      </c>
      <c r="S1021">
        <v>1</v>
      </c>
      <c r="T1021" t="b">
        <v>0</v>
      </c>
    </row>
    <row r="1022" spans="1:20">
      <c r="A1022" t="s">
        <v>75</v>
      </c>
      <c r="B1022">
        <v>46</v>
      </c>
      <c r="C1022">
        <v>510</v>
      </c>
      <c r="D1022" t="s">
        <v>62</v>
      </c>
      <c r="E1022" t="s">
        <v>62</v>
      </c>
      <c r="F1022">
        <v>0</v>
      </c>
      <c r="G1022">
        <v>199.2</v>
      </c>
      <c r="H1022">
        <v>111</v>
      </c>
      <c r="I1022">
        <v>33.86</v>
      </c>
      <c r="J1022">
        <v>175.1</v>
      </c>
      <c r="K1022">
        <v>83</v>
      </c>
      <c r="L1022">
        <v>14.88</v>
      </c>
      <c r="M1022">
        <v>210.6</v>
      </c>
      <c r="N1022">
        <v>84</v>
      </c>
      <c r="O1022">
        <v>9.48</v>
      </c>
      <c r="P1022">
        <v>10.2</v>
      </c>
      <c r="Q1022">
        <v>2</v>
      </c>
      <c r="R1022">
        <v>2.75</v>
      </c>
      <c r="S1022">
        <v>3</v>
      </c>
      <c r="T1022" t="b">
        <v>0</v>
      </c>
    </row>
    <row r="1023" spans="1:20">
      <c r="A1023" t="s">
        <v>116</v>
      </c>
      <c r="B1023">
        <v>137</v>
      </c>
      <c r="C1023">
        <v>415</v>
      </c>
      <c r="D1023" t="s">
        <v>62</v>
      </c>
      <c r="E1023" t="s">
        <v>62</v>
      </c>
      <c r="F1023">
        <v>0</v>
      </c>
      <c r="G1023">
        <v>115</v>
      </c>
      <c r="H1023">
        <v>130</v>
      </c>
      <c r="I1023">
        <v>19.55</v>
      </c>
      <c r="J1023">
        <v>137.8</v>
      </c>
      <c r="K1023">
        <v>83</v>
      </c>
      <c r="L1023">
        <v>11.71</v>
      </c>
      <c r="M1023">
        <v>224</v>
      </c>
      <c r="N1023">
        <v>61</v>
      </c>
      <c r="O1023">
        <v>10.08</v>
      </c>
      <c r="P1023">
        <v>7.3</v>
      </c>
      <c r="Q1023">
        <v>4</v>
      </c>
      <c r="R1023">
        <v>1.97</v>
      </c>
      <c r="S1023">
        <v>3</v>
      </c>
      <c r="T1023" t="b">
        <v>0</v>
      </c>
    </row>
    <row r="1024" spans="1:20">
      <c r="A1024" t="s">
        <v>101</v>
      </c>
      <c r="B1024">
        <v>171</v>
      </c>
      <c r="C1024">
        <v>408</v>
      </c>
      <c r="D1024" t="s">
        <v>62</v>
      </c>
      <c r="E1024" t="s">
        <v>62</v>
      </c>
      <c r="F1024">
        <v>0</v>
      </c>
      <c r="G1024">
        <v>270.5</v>
      </c>
      <c r="H1024">
        <v>69</v>
      </c>
      <c r="I1024">
        <v>45.99</v>
      </c>
      <c r="J1024">
        <v>230</v>
      </c>
      <c r="K1024">
        <v>112</v>
      </c>
      <c r="L1024">
        <v>19.55</v>
      </c>
      <c r="M1024">
        <v>136</v>
      </c>
      <c r="N1024">
        <v>111</v>
      </c>
      <c r="O1024">
        <v>6.12</v>
      </c>
      <c r="P1024">
        <v>9.6</v>
      </c>
      <c r="Q1024">
        <v>5</v>
      </c>
      <c r="R1024">
        <v>2.59</v>
      </c>
      <c r="S1024">
        <v>1</v>
      </c>
      <c r="T1024" t="b">
        <v>1</v>
      </c>
    </row>
    <row r="1025" spans="1:20">
      <c r="A1025" t="s">
        <v>79</v>
      </c>
      <c r="B1025">
        <v>10</v>
      </c>
      <c r="C1025">
        <v>415</v>
      </c>
      <c r="D1025" t="s">
        <v>62</v>
      </c>
      <c r="E1025" t="s">
        <v>62</v>
      </c>
      <c r="F1025">
        <v>0</v>
      </c>
      <c r="G1025">
        <v>222.2</v>
      </c>
      <c r="H1025">
        <v>127</v>
      </c>
      <c r="I1025">
        <v>37.77</v>
      </c>
      <c r="J1025">
        <v>153.1</v>
      </c>
      <c r="K1025">
        <v>125</v>
      </c>
      <c r="L1025">
        <v>13.01</v>
      </c>
      <c r="M1025">
        <v>227.4</v>
      </c>
      <c r="N1025">
        <v>80</v>
      </c>
      <c r="O1025">
        <v>10.23</v>
      </c>
      <c r="P1025">
        <v>12.9</v>
      </c>
      <c r="Q1025">
        <v>4</v>
      </c>
      <c r="R1025">
        <v>3.48</v>
      </c>
      <c r="S1025">
        <v>1</v>
      </c>
      <c r="T1025" t="b">
        <v>0</v>
      </c>
    </row>
    <row r="1026" spans="1:20">
      <c r="A1026" t="s">
        <v>82</v>
      </c>
      <c r="B1026">
        <v>88</v>
      </c>
      <c r="C1026">
        <v>510</v>
      </c>
      <c r="D1026" t="s">
        <v>62</v>
      </c>
      <c r="E1026" t="s">
        <v>62</v>
      </c>
      <c r="F1026">
        <v>0</v>
      </c>
      <c r="G1026">
        <v>61.9</v>
      </c>
      <c r="H1026">
        <v>78</v>
      </c>
      <c r="I1026">
        <v>10.52</v>
      </c>
      <c r="J1026">
        <v>262.6</v>
      </c>
      <c r="K1026">
        <v>114</v>
      </c>
      <c r="L1026">
        <v>22.32</v>
      </c>
      <c r="M1026">
        <v>212.5</v>
      </c>
      <c r="N1026">
        <v>110</v>
      </c>
      <c r="O1026">
        <v>9.56</v>
      </c>
      <c r="P1026">
        <v>8.8</v>
      </c>
      <c r="Q1026">
        <v>2</v>
      </c>
      <c r="R1026">
        <v>2.38</v>
      </c>
      <c r="S1026">
        <v>3</v>
      </c>
      <c r="T1026" t="b">
        <v>0</v>
      </c>
    </row>
    <row r="1027" spans="1:20">
      <c r="A1027" t="s">
        <v>80</v>
      </c>
      <c r="B1027">
        <v>82</v>
      </c>
      <c r="C1027">
        <v>415</v>
      </c>
      <c r="D1027" t="s">
        <v>62</v>
      </c>
      <c r="E1027" t="s">
        <v>62</v>
      </c>
      <c r="F1027">
        <v>0</v>
      </c>
      <c r="G1027">
        <v>189.2</v>
      </c>
      <c r="H1027">
        <v>81</v>
      </c>
      <c r="I1027">
        <v>32.16</v>
      </c>
      <c r="J1027">
        <v>184.4</v>
      </c>
      <c r="K1027">
        <v>117</v>
      </c>
      <c r="L1027">
        <v>15.67</v>
      </c>
      <c r="M1027">
        <v>255.8</v>
      </c>
      <c r="N1027">
        <v>83</v>
      </c>
      <c r="O1027">
        <v>11.51</v>
      </c>
      <c r="P1027">
        <v>10.6</v>
      </c>
      <c r="Q1027">
        <v>5</v>
      </c>
      <c r="R1027">
        <v>2.86</v>
      </c>
      <c r="S1027">
        <v>3</v>
      </c>
      <c r="T1027" t="b">
        <v>1</v>
      </c>
    </row>
    <row r="1028" spans="1:20">
      <c r="A1028" t="s">
        <v>99</v>
      </c>
      <c r="B1028">
        <v>139</v>
      </c>
      <c r="C1028">
        <v>510</v>
      </c>
      <c r="D1028" t="s">
        <v>62</v>
      </c>
      <c r="E1028" t="s">
        <v>62</v>
      </c>
      <c r="F1028">
        <v>0</v>
      </c>
      <c r="G1028">
        <v>196</v>
      </c>
      <c r="H1028">
        <v>135</v>
      </c>
      <c r="I1028">
        <v>33.32</v>
      </c>
      <c r="J1028">
        <v>186</v>
      </c>
      <c r="K1028">
        <v>146</v>
      </c>
      <c r="L1028">
        <v>15.81</v>
      </c>
      <c r="M1028">
        <v>153</v>
      </c>
      <c r="N1028">
        <v>92</v>
      </c>
      <c r="O1028">
        <v>6.89</v>
      </c>
      <c r="P1028">
        <v>9.8</v>
      </c>
      <c r="Q1028">
        <v>1</v>
      </c>
      <c r="R1028">
        <v>2.65</v>
      </c>
      <c r="S1028">
        <v>3</v>
      </c>
      <c r="T1028" t="b">
        <v>0</v>
      </c>
    </row>
    <row r="1029" spans="1:20">
      <c r="A1029" t="s">
        <v>79</v>
      </c>
      <c r="B1029">
        <v>87</v>
      </c>
      <c r="C1029">
        <v>415</v>
      </c>
      <c r="D1029" t="s">
        <v>62</v>
      </c>
      <c r="E1029" t="s">
        <v>62</v>
      </c>
      <c r="F1029">
        <v>0</v>
      </c>
      <c r="G1029">
        <v>171.6</v>
      </c>
      <c r="H1029">
        <v>119</v>
      </c>
      <c r="I1029">
        <v>29.17</v>
      </c>
      <c r="J1029">
        <v>205</v>
      </c>
      <c r="K1029">
        <v>107</v>
      </c>
      <c r="L1029">
        <v>17.43</v>
      </c>
      <c r="M1029">
        <v>170.6</v>
      </c>
      <c r="N1029">
        <v>114</v>
      </c>
      <c r="O1029">
        <v>7.68</v>
      </c>
      <c r="P1029">
        <v>13.8</v>
      </c>
      <c r="Q1029">
        <v>4</v>
      </c>
      <c r="R1029">
        <v>3.73</v>
      </c>
      <c r="S1029">
        <v>0</v>
      </c>
      <c r="T1029" t="b">
        <v>0</v>
      </c>
    </row>
    <row r="1030" spans="1:20">
      <c r="A1030" t="s">
        <v>106</v>
      </c>
      <c r="B1030">
        <v>137</v>
      </c>
      <c r="C1030">
        <v>415</v>
      </c>
      <c r="D1030" t="s">
        <v>63</v>
      </c>
      <c r="E1030" t="s">
        <v>62</v>
      </c>
      <c r="F1030">
        <v>0</v>
      </c>
      <c r="G1030">
        <v>174</v>
      </c>
      <c r="H1030">
        <v>123</v>
      </c>
      <c r="I1030">
        <v>29.58</v>
      </c>
      <c r="J1030">
        <v>161.3</v>
      </c>
      <c r="K1030">
        <v>115</v>
      </c>
      <c r="L1030">
        <v>13.71</v>
      </c>
      <c r="M1030">
        <v>260.7</v>
      </c>
      <c r="N1030">
        <v>98</v>
      </c>
      <c r="O1030">
        <v>11.73</v>
      </c>
      <c r="P1030">
        <v>11.4</v>
      </c>
      <c r="Q1030">
        <v>3</v>
      </c>
      <c r="R1030">
        <v>3.08</v>
      </c>
      <c r="S1030">
        <v>2</v>
      </c>
      <c r="T1030" t="b">
        <v>0</v>
      </c>
    </row>
    <row r="1031" spans="1:20">
      <c r="A1031" t="s">
        <v>101</v>
      </c>
      <c r="B1031">
        <v>45</v>
      </c>
      <c r="C1031">
        <v>510</v>
      </c>
      <c r="D1031" t="s">
        <v>62</v>
      </c>
      <c r="E1031" t="s">
        <v>62</v>
      </c>
      <c r="F1031">
        <v>0</v>
      </c>
      <c r="G1031">
        <v>78.6</v>
      </c>
      <c r="H1031">
        <v>106</v>
      </c>
      <c r="I1031">
        <v>13.36</v>
      </c>
      <c r="J1031">
        <v>187.3</v>
      </c>
      <c r="K1031">
        <v>110</v>
      </c>
      <c r="L1031">
        <v>15.92</v>
      </c>
      <c r="M1031">
        <v>184.2</v>
      </c>
      <c r="N1031">
        <v>111</v>
      </c>
      <c r="O1031">
        <v>8.29</v>
      </c>
      <c r="P1031">
        <v>7.4</v>
      </c>
      <c r="Q1031">
        <v>5</v>
      </c>
      <c r="R1031">
        <v>2</v>
      </c>
      <c r="S1031">
        <v>1</v>
      </c>
      <c r="T1031" t="b">
        <v>1</v>
      </c>
    </row>
    <row r="1032" spans="1:20">
      <c r="A1032" t="s">
        <v>112</v>
      </c>
      <c r="B1032">
        <v>103</v>
      </c>
      <c r="C1032">
        <v>415</v>
      </c>
      <c r="D1032" t="s">
        <v>62</v>
      </c>
      <c r="E1032" t="s">
        <v>62</v>
      </c>
      <c r="F1032">
        <v>0</v>
      </c>
      <c r="G1032">
        <v>141.3</v>
      </c>
      <c r="H1032">
        <v>123</v>
      </c>
      <c r="I1032">
        <v>24.02</v>
      </c>
      <c r="J1032">
        <v>253.6</v>
      </c>
      <c r="K1032">
        <v>87</v>
      </c>
      <c r="L1032">
        <v>21.56</v>
      </c>
      <c r="M1032">
        <v>215.8</v>
      </c>
      <c r="N1032">
        <v>96</v>
      </c>
      <c r="O1032">
        <v>9.71</v>
      </c>
      <c r="P1032">
        <v>6.4</v>
      </c>
      <c r="Q1032">
        <v>2</v>
      </c>
      <c r="R1032">
        <v>1.73</v>
      </c>
      <c r="S1032">
        <v>1</v>
      </c>
      <c r="T1032" t="b">
        <v>0</v>
      </c>
    </row>
    <row r="1033" spans="1:20">
      <c r="A1033" t="s">
        <v>116</v>
      </c>
      <c r="B1033">
        <v>100</v>
      </c>
      <c r="C1033">
        <v>415</v>
      </c>
      <c r="D1033" t="s">
        <v>62</v>
      </c>
      <c r="E1033" t="s">
        <v>62</v>
      </c>
      <c r="F1033">
        <v>0</v>
      </c>
      <c r="G1033">
        <v>235.8</v>
      </c>
      <c r="H1033">
        <v>130</v>
      </c>
      <c r="I1033">
        <v>40.09</v>
      </c>
      <c r="J1033">
        <v>176</v>
      </c>
      <c r="K1033">
        <v>69</v>
      </c>
      <c r="L1033">
        <v>14.96</v>
      </c>
      <c r="M1033">
        <v>63.6</v>
      </c>
      <c r="N1033">
        <v>122</v>
      </c>
      <c r="O1033">
        <v>2.86</v>
      </c>
      <c r="P1033">
        <v>7.3</v>
      </c>
      <c r="Q1033">
        <v>1</v>
      </c>
      <c r="R1033">
        <v>1.97</v>
      </c>
      <c r="S1033">
        <v>2</v>
      </c>
      <c r="T1033" t="b">
        <v>0</v>
      </c>
    </row>
    <row r="1034" spans="1:20">
      <c r="A1034" t="s">
        <v>101</v>
      </c>
      <c r="B1034">
        <v>110</v>
      </c>
      <c r="C1034">
        <v>510</v>
      </c>
      <c r="D1034" t="s">
        <v>62</v>
      </c>
      <c r="E1034" t="s">
        <v>62</v>
      </c>
      <c r="F1034">
        <v>0</v>
      </c>
      <c r="G1034">
        <v>185.1</v>
      </c>
      <c r="H1034">
        <v>100</v>
      </c>
      <c r="I1034">
        <v>31.47</v>
      </c>
      <c r="J1034">
        <v>165.1</v>
      </c>
      <c r="K1034">
        <v>88</v>
      </c>
      <c r="L1034">
        <v>14.03</v>
      </c>
      <c r="M1034">
        <v>111.6</v>
      </c>
      <c r="N1034">
        <v>104</v>
      </c>
      <c r="O1034">
        <v>5.02</v>
      </c>
      <c r="P1034">
        <v>6.3</v>
      </c>
      <c r="Q1034">
        <v>4</v>
      </c>
      <c r="R1034">
        <v>1.7</v>
      </c>
      <c r="S1034">
        <v>3</v>
      </c>
      <c r="T1034" t="b">
        <v>0</v>
      </c>
    </row>
    <row r="1035" spans="1:20">
      <c r="A1035" t="s">
        <v>87</v>
      </c>
      <c r="B1035">
        <v>124</v>
      </c>
      <c r="C1035">
        <v>415</v>
      </c>
      <c r="D1035" t="s">
        <v>62</v>
      </c>
      <c r="E1035" t="s">
        <v>62</v>
      </c>
      <c r="F1035">
        <v>0</v>
      </c>
      <c r="G1035">
        <v>254.3</v>
      </c>
      <c r="H1035">
        <v>113</v>
      </c>
      <c r="I1035">
        <v>43.23</v>
      </c>
      <c r="J1035">
        <v>78.9</v>
      </c>
      <c r="K1035">
        <v>104</v>
      </c>
      <c r="L1035">
        <v>6.71</v>
      </c>
      <c r="M1035">
        <v>153.2</v>
      </c>
      <c r="N1035">
        <v>69</v>
      </c>
      <c r="O1035">
        <v>6.89</v>
      </c>
      <c r="P1035">
        <v>11.8</v>
      </c>
      <c r="Q1035">
        <v>2</v>
      </c>
      <c r="R1035">
        <v>3.19</v>
      </c>
      <c r="S1035">
        <v>2</v>
      </c>
      <c r="T1035" t="b">
        <v>0</v>
      </c>
    </row>
    <row r="1036" spans="1:20">
      <c r="A1036" t="s">
        <v>76</v>
      </c>
      <c r="B1036">
        <v>10</v>
      </c>
      <c r="C1036">
        <v>510</v>
      </c>
      <c r="D1036" t="s">
        <v>62</v>
      </c>
      <c r="E1036" t="s">
        <v>62</v>
      </c>
      <c r="F1036">
        <v>0</v>
      </c>
      <c r="G1036">
        <v>183</v>
      </c>
      <c r="H1036">
        <v>103</v>
      </c>
      <c r="I1036">
        <v>31.11</v>
      </c>
      <c r="J1036">
        <v>214.8</v>
      </c>
      <c r="K1036">
        <v>77</v>
      </c>
      <c r="L1036">
        <v>18.26</v>
      </c>
      <c r="M1036">
        <v>206.4</v>
      </c>
      <c r="N1036">
        <v>73</v>
      </c>
      <c r="O1036">
        <v>9.29</v>
      </c>
      <c r="P1036">
        <v>8.7</v>
      </c>
      <c r="Q1036">
        <v>6</v>
      </c>
      <c r="R1036">
        <v>2.35</v>
      </c>
      <c r="S1036">
        <v>2</v>
      </c>
      <c r="T1036" t="b">
        <v>0</v>
      </c>
    </row>
    <row r="1037" spans="1:20">
      <c r="A1037" t="s">
        <v>84</v>
      </c>
      <c r="B1037">
        <v>89</v>
      </c>
      <c r="C1037">
        <v>415</v>
      </c>
      <c r="D1037" t="s">
        <v>62</v>
      </c>
      <c r="E1037" t="s">
        <v>63</v>
      </c>
      <c r="F1037">
        <v>29</v>
      </c>
      <c r="G1037">
        <v>163.5</v>
      </c>
      <c r="H1037">
        <v>80</v>
      </c>
      <c r="I1037">
        <v>27.8</v>
      </c>
      <c r="J1037">
        <v>274.8</v>
      </c>
      <c r="K1037">
        <v>136</v>
      </c>
      <c r="L1037">
        <v>23.36</v>
      </c>
      <c r="M1037">
        <v>381.9</v>
      </c>
      <c r="N1037">
        <v>147</v>
      </c>
      <c r="O1037">
        <v>17.19</v>
      </c>
      <c r="P1037">
        <v>7.5</v>
      </c>
      <c r="Q1037">
        <v>5</v>
      </c>
      <c r="R1037">
        <v>2.03</v>
      </c>
      <c r="S1037">
        <v>2</v>
      </c>
      <c r="T1037" t="b">
        <v>0</v>
      </c>
    </row>
    <row r="1038" spans="1:20">
      <c r="A1038" t="s">
        <v>101</v>
      </c>
      <c r="B1038">
        <v>121</v>
      </c>
      <c r="C1038">
        <v>408</v>
      </c>
      <c r="D1038" t="s">
        <v>62</v>
      </c>
      <c r="E1038" t="s">
        <v>62</v>
      </c>
      <c r="F1038">
        <v>0</v>
      </c>
      <c r="G1038">
        <v>207.9</v>
      </c>
      <c r="H1038">
        <v>98</v>
      </c>
      <c r="I1038">
        <v>35.34</v>
      </c>
      <c r="J1038">
        <v>210.5</v>
      </c>
      <c r="K1038">
        <v>96</v>
      </c>
      <c r="L1038">
        <v>17.89</v>
      </c>
      <c r="M1038">
        <v>109.6</v>
      </c>
      <c r="N1038">
        <v>114</v>
      </c>
      <c r="O1038">
        <v>4.93</v>
      </c>
      <c r="P1038">
        <v>7.7</v>
      </c>
      <c r="Q1038">
        <v>2</v>
      </c>
      <c r="R1038">
        <v>2.08</v>
      </c>
      <c r="S1038">
        <v>2</v>
      </c>
      <c r="T1038" t="b">
        <v>0</v>
      </c>
    </row>
    <row r="1039" spans="1:20">
      <c r="A1039" t="s">
        <v>93</v>
      </c>
      <c r="B1039">
        <v>101</v>
      </c>
      <c r="C1039">
        <v>415</v>
      </c>
      <c r="D1039" t="s">
        <v>62</v>
      </c>
      <c r="E1039" t="s">
        <v>62</v>
      </c>
      <c r="F1039">
        <v>0</v>
      </c>
      <c r="G1039">
        <v>248.6</v>
      </c>
      <c r="H1039">
        <v>102</v>
      </c>
      <c r="I1039">
        <v>42.26</v>
      </c>
      <c r="J1039">
        <v>174.9</v>
      </c>
      <c r="K1039">
        <v>93</v>
      </c>
      <c r="L1039">
        <v>14.87</v>
      </c>
      <c r="M1039">
        <v>207.2</v>
      </c>
      <c r="N1039">
        <v>86</v>
      </c>
      <c r="O1039">
        <v>9.32</v>
      </c>
      <c r="P1039">
        <v>6.1</v>
      </c>
      <c r="Q1039">
        <v>3</v>
      </c>
      <c r="R1039">
        <v>1.65</v>
      </c>
      <c r="S1039">
        <v>3</v>
      </c>
      <c r="T1039" t="b">
        <v>0</v>
      </c>
    </row>
    <row r="1040" spans="1:20">
      <c r="A1040" t="s">
        <v>92</v>
      </c>
      <c r="B1040">
        <v>103</v>
      </c>
      <c r="C1040">
        <v>415</v>
      </c>
      <c r="D1040" t="s">
        <v>62</v>
      </c>
      <c r="E1040" t="s">
        <v>63</v>
      </c>
      <c r="F1040">
        <v>31</v>
      </c>
      <c r="G1040">
        <v>185.4</v>
      </c>
      <c r="H1040">
        <v>105</v>
      </c>
      <c r="I1040">
        <v>31.52</v>
      </c>
      <c r="J1040">
        <v>197.6</v>
      </c>
      <c r="K1040">
        <v>126</v>
      </c>
      <c r="L1040">
        <v>16.8</v>
      </c>
      <c r="M1040">
        <v>147.1</v>
      </c>
      <c r="N1040">
        <v>110</v>
      </c>
      <c r="O1040">
        <v>6.62</v>
      </c>
      <c r="P1040">
        <v>14.5</v>
      </c>
      <c r="Q1040">
        <v>4</v>
      </c>
      <c r="R1040">
        <v>3.92</v>
      </c>
      <c r="S1040">
        <v>2</v>
      </c>
      <c r="T1040" t="b">
        <v>0</v>
      </c>
    </row>
    <row r="1041" spans="1:20">
      <c r="A1041" t="s">
        <v>93</v>
      </c>
      <c r="B1041">
        <v>51</v>
      </c>
      <c r="C1041">
        <v>408</v>
      </c>
      <c r="D1041" t="s">
        <v>62</v>
      </c>
      <c r="E1041" t="s">
        <v>62</v>
      </c>
      <c r="F1041">
        <v>0</v>
      </c>
      <c r="G1041">
        <v>197.8</v>
      </c>
      <c r="H1041">
        <v>60</v>
      </c>
      <c r="I1041">
        <v>33.63</v>
      </c>
      <c r="J1041">
        <v>221</v>
      </c>
      <c r="K1041">
        <v>64</v>
      </c>
      <c r="L1041">
        <v>18.79</v>
      </c>
      <c r="M1041">
        <v>168.6</v>
      </c>
      <c r="N1041">
        <v>134</v>
      </c>
      <c r="O1041">
        <v>7.59</v>
      </c>
      <c r="P1041">
        <v>8.9</v>
      </c>
      <c r="Q1041">
        <v>5</v>
      </c>
      <c r="R1041">
        <v>2.4</v>
      </c>
      <c r="S1041">
        <v>1</v>
      </c>
      <c r="T1041" t="b">
        <v>0</v>
      </c>
    </row>
    <row r="1042" spans="1:20">
      <c r="A1042" t="s">
        <v>95</v>
      </c>
      <c r="B1042">
        <v>2</v>
      </c>
      <c r="C1042">
        <v>415</v>
      </c>
      <c r="D1042" t="s">
        <v>63</v>
      </c>
      <c r="E1042" t="s">
        <v>62</v>
      </c>
      <c r="F1042">
        <v>0</v>
      </c>
      <c r="G1042">
        <v>132.1</v>
      </c>
      <c r="H1042">
        <v>42</v>
      </c>
      <c r="I1042">
        <v>22.46</v>
      </c>
      <c r="J1042">
        <v>138.9</v>
      </c>
      <c r="K1042">
        <v>88</v>
      </c>
      <c r="L1042">
        <v>11.81</v>
      </c>
      <c r="M1042">
        <v>192.6</v>
      </c>
      <c r="N1042">
        <v>119</v>
      </c>
      <c r="O1042">
        <v>8.67</v>
      </c>
      <c r="P1042">
        <v>9.1</v>
      </c>
      <c r="Q1042">
        <v>1</v>
      </c>
      <c r="R1042">
        <v>2.46</v>
      </c>
      <c r="S1042">
        <v>2</v>
      </c>
      <c r="T1042" t="b">
        <v>1</v>
      </c>
    </row>
    <row r="1043" spans="1:20">
      <c r="A1043" t="s">
        <v>87</v>
      </c>
      <c r="B1043">
        <v>111</v>
      </c>
      <c r="C1043">
        <v>510</v>
      </c>
      <c r="D1043" t="s">
        <v>62</v>
      </c>
      <c r="E1043" t="s">
        <v>62</v>
      </c>
      <c r="F1043">
        <v>0</v>
      </c>
      <c r="G1043">
        <v>197.1</v>
      </c>
      <c r="H1043">
        <v>117</v>
      </c>
      <c r="I1043">
        <v>33.51</v>
      </c>
      <c r="J1043">
        <v>227.8</v>
      </c>
      <c r="K1043">
        <v>128</v>
      </c>
      <c r="L1043">
        <v>19.36</v>
      </c>
      <c r="M1043">
        <v>214</v>
      </c>
      <c r="N1043">
        <v>101</v>
      </c>
      <c r="O1043">
        <v>9.63</v>
      </c>
      <c r="P1043">
        <v>9.3</v>
      </c>
      <c r="Q1043">
        <v>11</v>
      </c>
      <c r="R1043">
        <v>2.51</v>
      </c>
      <c r="S1043">
        <v>0</v>
      </c>
      <c r="T1043" t="b">
        <v>0</v>
      </c>
    </row>
    <row r="1044" spans="1:20">
      <c r="A1044" t="s">
        <v>79</v>
      </c>
      <c r="B1044">
        <v>118</v>
      </c>
      <c r="C1044">
        <v>415</v>
      </c>
      <c r="D1044" t="s">
        <v>62</v>
      </c>
      <c r="E1044" t="s">
        <v>62</v>
      </c>
      <c r="F1044">
        <v>0</v>
      </c>
      <c r="G1044">
        <v>154.6</v>
      </c>
      <c r="H1044">
        <v>112</v>
      </c>
      <c r="I1044">
        <v>26.28</v>
      </c>
      <c r="J1044">
        <v>184.2</v>
      </c>
      <c r="K1044">
        <v>105</v>
      </c>
      <c r="L1044">
        <v>15.66</v>
      </c>
      <c r="M1044">
        <v>217.4</v>
      </c>
      <c r="N1044">
        <v>102</v>
      </c>
      <c r="O1044">
        <v>9.78</v>
      </c>
      <c r="P1044">
        <v>12.6</v>
      </c>
      <c r="Q1044">
        <v>5</v>
      </c>
      <c r="R1044">
        <v>3.4</v>
      </c>
      <c r="S1044">
        <v>2</v>
      </c>
      <c r="T1044" t="b">
        <v>0</v>
      </c>
    </row>
    <row r="1045" spans="1:20">
      <c r="A1045" t="s">
        <v>112</v>
      </c>
      <c r="B1045">
        <v>17</v>
      </c>
      <c r="C1045">
        <v>510</v>
      </c>
      <c r="D1045" t="s">
        <v>62</v>
      </c>
      <c r="E1045" t="s">
        <v>63</v>
      </c>
      <c r="F1045">
        <v>31</v>
      </c>
      <c r="G1045">
        <v>153.1</v>
      </c>
      <c r="H1045">
        <v>115</v>
      </c>
      <c r="I1045">
        <v>26.03</v>
      </c>
      <c r="J1045">
        <v>185.9</v>
      </c>
      <c r="K1045">
        <v>59</v>
      </c>
      <c r="L1045">
        <v>15.8</v>
      </c>
      <c r="M1045">
        <v>224.3</v>
      </c>
      <c r="N1045">
        <v>102</v>
      </c>
      <c r="O1045">
        <v>10.09</v>
      </c>
      <c r="P1045">
        <v>10</v>
      </c>
      <c r="Q1045">
        <v>1</v>
      </c>
      <c r="R1045">
        <v>2.7</v>
      </c>
      <c r="S1045">
        <v>6</v>
      </c>
      <c r="T1045" t="b">
        <v>1</v>
      </c>
    </row>
    <row r="1046" spans="1:20">
      <c r="A1046" t="s">
        <v>79</v>
      </c>
      <c r="B1046">
        <v>130</v>
      </c>
      <c r="C1046">
        <v>408</v>
      </c>
      <c r="D1046" t="s">
        <v>62</v>
      </c>
      <c r="E1046" t="s">
        <v>62</v>
      </c>
      <c r="F1046">
        <v>0</v>
      </c>
      <c r="G1046">
        <v>211.2</v>
      </c>
      <c r="H1046">
        <v>119</v>
      </c>
      <c r="I1046">
        <v>35.9</v>
      </c>
      <c r="J1046">
        <v>231.1</v>
      </c>
      <c r="K1046">
        <v>120</v>
      </c>
      <c r="L1046">
        <v>19.64</v>
      </c>
      <c r="M1046">
        <v>220.9</v>
      </c>
      <c r="N1046">
        <v>80</v>
      </c>
      <c r="O1046">
        <v>9.94</v>
      </c>
      <c r="P1046">
        <v>6.3</v>
      </c>
      <c r="Q1046">
        <v>9</v>
      </c>
      <c r="R1046">
        <v>1.7</v>
      </c>
      <c r="S1046">
        <v>2</v>
      </c>
      <c r="T1046" t="b">
        <v>0</v>
      </c>
    </row>
    <row r="1047" spans="1:20">
      <c r="A1047" t="s">
        <v>83</v>
      </c>
      <c r="B1047">
        <v>137</v>
      </c>
      <c r="C1047">
        <v>415</v>
      </c>
      <c r="D1047" t="s">
        <v>62</v>
      </c>
      <c r="E1047" t="s">
        <v>62</v>
      </c>
      <c r="F1047">
        <v>0</v>
      </c>
      <c r="G1047">
        <v>141.1</v>
      </c>
      <c r="H1047">
        <v>91</v>
      </c>
      <c r="I1047">
        <v>23.99</v>
      </c>
      <c r="J1047">
        <v>147.2</v>
      </c>
      <c r="K1047">
        <v>100</v>
      </c>
      <c r="L1047">
        <v>12.51</v>
      </c>
      <c r="M1047">
        <v>254.7</v>
      </c>
      <c r="N1047">
        <v>75</v>
      </c>
      <c r="O1047">
        <v>11.46</v>
      </c>
      <c r="P1047">
        <v>8</v>
      </c>
      <c r="Q1047">
        <v>7</v>
      </c>
      <c r="R1047">
        <v>2.16</v>
      </c>
      <c r="S1047">
        <v>2</v>
      </c>
      <c r="T1047" t="b">
        <v>0</v>
      </c>
    </row>
    <row r="1048" spans="1:20">
      <c r="A1048" t="s">
        <v>76</v>
      </c>
      <c r="B1048">
        <v>185</v>
      </c>
      <c r="C1048">
        <v>408</v>
      </c>
      <c r="D1048" t="s">
        <v>62</v>
      </c>
      <c r="E1048" t="s">
        <v>63</v>
      </c>
      <c r="F1048">
        <v>29</v>
      </c>
      <c r="G1048">
        <v>151.1</v>
      </c>
      <c r="H1048">
        <v>121</v>
      </c>
      <c r="I1048">
        <v>25.69</v>
      </c>
      <c r="J1048">
        <v>244.7</v>
      </c>
      <c r="K1048">
        <v>88</v>
      </c>
      <c r="L1048">
        <v>20.8</v>
      </c>
      <c r="M1048">
        <v>154.4</v>
      </c>
      <c r="N1048">
        <v>91</v>
      </c>
      <c r="O1048">
        <v>6.95</v>
      </c>
      <c r="P1048">
        <v>13.8</v>
      </c>
      <c r="Q1048">
        <v>2</v>
      </c>
      <c r="R1048">
        <v>3.73</v>
      </c>
      <c r="S1048">
        <v>2</v>
      </c>
      <c r="T1048" t="b">
        <v>0</v>
      </c>
    </row>
    <row r="1049" spans="1:20">
      <c r="A1049" t="s">
        <v>66</v>
      </c>
      <c r="B1049">
        <v>101</v>
      </c>
      <c r="C1049">
        <v>408</v>
      </c>
      <c r="D1049" t="s">
        <v>62</v>
      </c>
      <c r="E1049" t="s">
        <v>62</v>
      </c>
      <c r="F1049">
        <v>0</v>
      </c>
      <c r="G1049">
        <v>209.6</v>
      </c>
      <c r="H1049">
        <v>107</v>
      </c>
      <c r="I1049">
        <v>35.63</v>
      </c>
      <c r="J1049">
        <v>228.8</v>
      </c>
      <c r="K1049">
        <v>96</v>
      </c>
      <c r="L1049">
        <v>19.45</v>
      </c>
      <c r="M1049">
        <v>172.4</v>
      </c>
      <c r="N1049">
        <v>85</v>
      </c>
      <c r="O1049">
        <v>7.76</v>
      </c>
      <c r="P1049">
        <v>7.6</v>
      </c>
      <c r="Q1049">
        <v>2</v>
      </c>
      <c r="R1049">
        <v>2.05</v>
      </c>
      <c r="S1049">
        <v>3</v>
      </c>
      <c r="T1049" t="b">
        <v>0</v>
      </c>
    </row>
    <row r="1050" spans="1:20">
      <c r="A1050" t="s">
        <v>77</v>
      </c>
      <c r="B1050">
        <v>95</v>
      </c>
      <c r="C1050">
        <v>415</v>
      </c>
      <c r="D1050" t="s">
        <v>62</v>
      </c>
      <c r="E1050" t="s">
        <v>63</v>
      </c>
      <c r="F1050">
        <v>32</v>
      </c>
      <c r="G1050">
        <v>247</v>
      </c>
      <c r="H1050">
        <v>109</v>
      </c>
      <c r="I1050">
        <v>41.99</v>
      </c>
      <c r="J1050">
        <v>125.6</v>
      </c>
      <c r="K1050">
        <v>91</v>
      </c>
      <c r="L1050">
        <v>10.68</v>
      </c>
      <c r="M1050">
        <v>226.5</v>
      </c>
      <c r="N1050">
        <v>90</v>
      </c>
      <c r="O1050">
        <v>10.19</v>
      </c>
      <c r="P1050">
        <v>10.5</v>
      </c>
      <c r="Q1050">
        <v>4</v>
      </c>
      <c r="R1050">
        <v>2.84</v>
      </c>
      <c r="S1050">
        <v>3</v>
      </c>
      <c r="T1050" t="b">
        <v>0</v>
      </c>
    </row>
    <row r="1051" spans="1:20">
      <c r="A1051" t="s">
        <v>61</v>
      </c>
      <c r="B1051">
        <v>126</v>
      </c>
      <c r="C1051">
        <v>408</v>
      </c>
      <c r="D1051" t="s">
        <v>62</v>
      </c>
      <c r="E1051" t="s">
        <v>62</v>
      </c>
      <c r="F1051">
        <v>0</v>
      </c>
      <c r="G1051">
        <v>321.3</v>
      </c>
      <c r="H1051">
        <v>99</v>
      </c>
      <c r="I1051">
        <v>54.62</v>
      </c>
      <c r="J1051">
        <v>167.9</v>
      </c>
      <c r="K1051">
        <v>93</v>
      </c>
      <c r="L1051">
        <v>14.27</v>
      </c>
      <c r="M1051">
        <v>193.6</v>
      </c>
      <c r="N1051">
        <v>106</v>
      </c>
      <c r="O1051">
        <v>8.71</v>
      </c>
      <c r="P1051">
        <v>8</v>
      </c>
      <c r="Q1051">
        <v>4</v>
      </c>
      <c r="R1051">
        <v>2.16</v>
      </c>
      <c r="S1051">
        <v>1</v>
      </c>
      <c r="T1051" t="b">
        <v>1</v>
      </c>
    </row>
    <row r="1052" spans="1:20">
      <c r="A1052" t="s">
        <v>109</v>
      </c>
      <c r="B1052">
        <v>124</v>
      </c>
      <c r="C1052">
        <v>415</v>
      </c>
      <c r="D1052" t="s">
        <v>62</v>
      </c>
      <c r="E1052" t="s">
        <v>62</v>
      </c>
      <c r="F1052">
        <v>0</v>
      </c>
      <c r="G1052">
        <v>251.5</v>
      </c>
      <c r="H1052">
        <v>85</v>
      </c>
      <c r="I1052">
        <v>42.76</v>
      </c>
      <c r="J1052">
        <v>214.2</v>
      </c>
      <c r="K1052">
        <v>98</v>
      </c>
      <c r="L1052">
        <v>18.21</v>
      </c>
      <c r="M1052">
        <v>186.1</v>
      </c>
      <c r="N1052">
        <v>71</v>
      </c>
      <c r="O1052">
        <v>8.37</v>
      </c>
      <c r="P1052">
        <v>11.1</v>
      </c>
      <c r="Q1052">
        <v>6</v>
      </c>
      <c r="R1052">
        <v>3</v>
      </c>
      <c r="S1052">
        <v>3</v>
      </c>
      <c r="T1052" t="b">
        <v>0</v>
      </c>
    </row>
    <row r="1053" spans="1:20">
      <c r="A1053" t="s">
        <v>85</v>
      </c>
      <c r="B1053">
        <v>97</v>
      </c>
      <c r="C1053">
        <v>510</v>
      </c>
      <c r="D1053" t="s">
        <v>63</v>
      </c>
      <c r="E1053" t="s">
        <v>62</v>
      </c>
      <c r="F1053">
        <v>0</v>
      </c>
      <c r="G1053">
        <v>236.9</v>
      </c>
      <c r="H1053">
        <v>107</v>
      </c>
      <c r="I1053">
        <v>40.27</v>
      </c>
      <c r="J1053">
        <v>157.6</v>
      </c>
      <c r="K1053">
        <v>105</v>
      </c>
      <c r="L1053">
        <v>13.4</v>
      </c>
      <c r="M1053">
        <v>241</v>
      </c>
      <c r="N1053">
        <v>120</v>
      </c>
      <c r="O1053">
        <v>10.85</v>
      </c>
      <c r="P1053">
        <v>7.3</v>
      </c>
      <c r="Q1053">
        <v>2</v>
      </c>
      <c r="R1053">
        <v>1.97</v>
      </c>
      <c r="S1053">
        <v>0</v>
      </c>
      <c r="T1053" t="b">
        <v>1</v>
      </c>
    </row>
    <row r="1054" spans="1:20">
      <c r="A1054" t="s">
        <v>80</v>
      </c>
      <c r="B1054">
        <v>28</v>
      </c>
      <c r="C1054">
        <v>415</v>
      </c>
      <c r="D1054" t="s">
        <v>62</v>
      </c>
      <c r="E1054" t="s">
        <v>62</v>
      </c>
      <c r="F1054">
        <v>0</v>
      </c>
      <c r="G1054">
        <v>159.7</v>
      </c>
      <c r="H1054">
        <v>79</v>
      </c>
      <c r="I1054">
        <v>27.15</v>
      </c>
      <c r="J1054">
        <v>216.7</v>
      </c>
      <c r="K1054">
        <v>131</v>
      </c>
      <c r="L1054">
        <v>18.42</v>
      </c>
      <c r="M1054">
        <v>206.7</v>
      </c>
      <c r="N1054">
        <v>116</v>
      </c>
      <c r="O1054">
        <v>9.3</v>
      </c>
      <c r="P1054">
        <v>9.3</v>
      </c>
      <c r="Q1054">
        <v>3</v>
      </c>
      <c r="R1054">
        <v>2.51</v>
      </c>
      <c r="S1054">
        <v>2</v>
      </c>
      <c r="T1054" t="b">
        <v>0</v>
      </c>
    </row>
    <row r="1055" spans="1:20">
      <c r="A1055" t="s">
        <v>101</v>
      </c>
      <c r="B1055">
        <v>90</v>
      </c>
      <c r="C1055">
        <v>415</v>
      </c>
      <c r="D1055" t="s">
        <v>63</v>
      </c>
      <c r="E1055" t="s">
        <v>62</v>
      </c>
      <c r="F1055">
        <v>0</v>
      </c>
      <c r="G1055">
        <v>148.2</v>
      </c>
      <c r="H1055">
        <v>96</v>
      </c>
      <c r="I1055">
        <v>25.19</v>
      </c>
      <c r="J1055">
        <v>220.4</v>
      </c>
      <c r="K1055">
        <v>111</v>
      </c>
      <c r="L1055">
        <v>18.73</v>
      </c>
      <c r="M1055">
        <v>134.2</v>
      </c>
      <c r="N1055">
        <v>97</v>
      </c>
      <c r="O1055">
        <v>6.04</v>
      </c>
      <c r="P1055">
        <v>9.2</v>
      </c>
      <c r="Q1055">
        <v>1</v>
      </c>
      <c r="R1055">
        <v>2.48</v>
      </c>
      <c r="S1055">
        <v>4</v>
      </c>
      <c r="T1055" t="b">
        <v>1</v>
      </c>
    </row>
    <row r="1056" spans="1:20">
      <c r="A1056" t="s">
        <v>114</v>
      </c>
      <c r="B1056">
        <v>190</v>
      </c>
      <c r="C1056">
        <v>408</v>
      </c>
      <c r="D1056" t="s">
        <v>62</v>
      </c>
      <c r="E1056" t="s">
        <v>62</v>
      </c>
      <c r="F1056">
        <v>0</v>
      </c>
      <c r="G1056">
        <v>150.9</v>
      </c>
      <c r="H1056">
        <v>86</v>
      </c>
      <c r="I1056">
        <v>25.65</v>
      </c>
      <c r="J1056">
        <v>268.6</v>
      </c>
      <c r="K1056">
        <v>129</v>
      </c>
      <c r="L1056">
        <v>22.83</v>
      </c>
      <c r="M1056">
        <v>179.9</v>
      </c>
      <c r="N1056">
        <v>73</v>
      </c>
      <c r="O1056">
        <v>8.1</v>
      </c>
      <c r="P1056">
        <v>14.7</v>
      </c>
      <c r="Q1056">
        <v>1</v>
      </c>
      <c r="R1056">
        <v>3.97</v>
      </c>
      <c r="S1056">
        <v>1</v>
      </c>
      <c r="T1056" t="b">
        <v>0</v>
      </c>
    </row>
    <row r="1057" spans="1:20">
      <c r="A1057" t="s">
        <v>90</v>
      </c>
      <c r="B1057">
        <v>52</v>
      </c>
      <c r="C1057">
        <v>415</v>
      </c>
      <c r="D1057" t="s">
        <v>62</v>
      </c>
      <c r="E1057" t="s">
        <v>63</v>
      </c>
      <c r="F1057">
        <v>24</v>
      </c>
      <c r="G1057">
        <v>170.9</v>
      </c>
      <c r="H1057">
        <v>71</v>
      </c>
      <c r="I1057">
        <v>29.05</v>
      </c>
      <c r="J1057">
        <v>201.4</v>
      </c>
      <c r="K1057">
        <v>80</v>
      </c>
      <c r="L1057">
        <v>17.12</v>
      </c>
      <c r="M1057">
        <v>159</v>
      </c>
      <c r="N1057">
        <v>124</v>
      </c>
      <c r="O1057">
        <v>7.15</v>
      </c>
      <c r="P1057">
        <v>4.1</v>
      </c>
      <c r="Q1057">
        <v>5</v>
      </c>
      <c r="R1057">
        <v>1.11</v>
      </c>
      <c r="S1057">
        <v>2</v>
      </c>
      <c r="T1057" t="b">
        <v>0</v>
      </c>
    </row>
    <row r="1058" spans="1:20">
      <c r="A1058" t="s">
        <v>91</v>
      </c>
      <c r="B1058">
        <v>73</v>
      </c>
      <c r="C1058">
        <v>510</v>
      </c>
      <c r="D1058" t="s">
        <v>62</v>
      </c>
      <c r="E1058" t="s">
        <v>62</v>
      </c>
      <c r="F1058">
        <v>0</v>
      </c>
      <c r="G1058">
        <v>254.7</v>
      </c>
      <c r="H1058">
        <v>80</v>
      </c>
      <c r="I1058">
        <v>43.3</v>
      </c>
      <c r="J1058">
        <v>90.2</v>
      </c>
      <c r="K1058">
        <v>79</v>
      </c>
      <c r="L1058">
        <v>7.67</v>
      </c>
      <c r="M1058">
        <v>153.4</v>
      </c>
      <c r="N1058">
        <v>60</v>
      </c>
      <c r="O1058">
        <v>6.9</v>
      </c>
      <c r="P1058">
        <v>10.6</v>
      </c>
      <c r="Q1058">
        <v>8</v>
      </c>
      <c r="R1058">
        <v>2.86</v>
      </c>
      <c r="S1058">
        <v>0</v>
      </c>
      <c r="T1058" t="b">
        <v>0</v>
      </c>
    </row>
    <row r="1059" spans="1:20">
      <c r="A1059" t="s">
        <v>99</v>
      </c>
      <c r="B1059">
        <v>98</v>
      </c>
      <c r="C1059">
        <v>415</v>
      </c>
      <c r="D1059" t="s">
        <v>62</v>
      </c>
      <c r="E1059" t="s">
        <v>62</v>
      </c>
      <c r="F1059">
        <v>0</v>
      </c>
      <c r="G1059">
        <v>0</v>
      </c>
      <c r="H1059">
        <v>0</v>
      </c>
      <c r="I1059">
        <v>0</v>
      </c>
      <c r="J1059">
        <v>159.6</v>
      </c>
      <c r="K1059">
        <v>130</v>
      </c>
      <c r="L1059">
        <v>13.57</v>
      </c>
      <c r="M1059">
        <v>167.1</v>
      </c>
      <c r="N1059">
        <v>88</v>
      </c>
      <c r="O1059">
        <v>7.52</v>
      </c>
      <c r="P1059">
        <v>6.8</v>
      </c>
      <c r="Q1059">
        <v>1</v>
      </c>
      <c r="R1059">
        <v>1.84</v>
      </c>
      <c r="S1059">
        <v>4</v>
      </c>
      <c r="T1059" t="b">
        <v>1</v>
      </c>
    </row>
    <row r="1060" spans="1:20">
      <c r="A1060" t="s">
        <v>113</v>
      </c>
      <c r="B1060">
        <v>106</v>
      </c>
      <c r="C1060">
        <v>408</v>
      </c>
      <c r="D1060" t="s">
        <v>63</v>
      </c>
      <c r="E1060" t="s">
        <v>62</v>
      </c>
      <c r="F1060">
        <v>0</v>
      </c>
      <c r="G1060">
        <v>133.7</v>
      </c>
      <c r="H1060">
        <v>45</v>
      </c>
      <c r="I1060">
        <v>22.73</v>
      </c>
      <c r="J1060">
        <v>187.8</v>
      </c>
      <c r="K1060">
        <v>107</v>
      </c>
      <c r="L1060">
        <v>15.96</v>
      </c>
      <c r="M1060">
        <v>181.9</v>
      </c>
      <c r="N1060">
        <v>89</v>
      </c>
      <c r="O1060">
        <v>8.19</v>
      </c>
      <c r="P1060">
        <v>10.7</v>
      </c>
      <c r="Q1060">
        <v>2</v>
      </c>
      <c r="R1060">
        <v>2.89</v>
      </c>
      <c r="S1060">
        <v>1</v>
      </c>
      <c r="T1060" t="b">
        <v>1</v>
      </c>
    </row>
    <row r="1061" spans="1:20">
      <c r="A1061" t="s">
        <v>100</v>
      </c>
      <c r="B1061">
        <v>111</v>
      </c>
      <c r="C1061">
        <v>408</v>
      </c>
      <c r="D1061" t="s">
        <v>62</v>
      </c>
      <c r="E1061" t="s">
        <v>62</v>
      </c>
      <c r="F1061">
        <v>0</v>
      </c>
      <c r="G1061">
        <v>224.9</v>
      </c>
      <c r="H1061">
        <v>117</v>
      </c>
      <c r="I1061">
        <v>38.23</v>
      </c>
      <c r="J1061">
        <v>191.9</v>
      </c>
      <c r="K1061">
        <v>127</v>
      </c>
      <c r="L1061">
        <v>16.31</v>
      </c>
      <c r="M1061">
        <v>229.9</v>
      </c>
      <c r="N1061">
        <v>97</v>
      </c>
      <c r="O1061">
        <v>10.35</v>
      </c>
      <c r="P1061">
        <v>10.3</v>
      </c>
      <c r="Q1061">
        <v>3</v>
      </c>
      <c r="R1061">
        <v>2.78</v>
      </c>
      <c r="S1061">
        <v>0</v>
      </c>
      <c r="T1061" t="b">
        <v>0</v>
      </c>
    </row>
    <row r="1062" spans="1:20">
      <c r="A1062" t="s">
        <v>78</v>
      </c>
      <c r="B1062">
        <v>59</v>
      </c>
      <c r="C1062">
        <v>408</v>
      </c>
      <c r="D1062" t="s">
        <v>62</v>
      </c>
      <c r="E1062" t="s">
        <v>62</v>
      </c>
      <c r="F1062">
        <v>0</v>
      </c>
      <c r="G1062">
        <v>151.8</v>
      </c>
      <c r="H1062">
        <v>98</v>
      </c>
      <c r="I1062">
        <v>25.81</v>
      </c>
      <c r="J1062">
        <v>209.9</v>
      </c>
      <c r="K1062">
        <v>92</v>
      </c>
      <c r="L1062">
        <v>17.84</v>
      </c>
      <c r="M1062">
        <v>266.9</v>
      </c>
      <c r="N1062">
        <v>86</v>
      </c>
      <c r="O1062">
        <v>12.01</v>
      </c>
      <c r="P1062">
        <v>11.9</v>
      </c>
      <c r="Q1062">
        <v>5</v>
      </c>
      <c r="R1062">
        <v>3.21</v>
      </c>
      <c r="S1062">
        <v>1</v>
      </c>
      <c r="T1062" t="b">
        <v>0</v>
      </c>
    </row>
    <row r="1063" spans="1:20">
      <c r="A1063" t="s">
        <v>107</v>
      </c>
      <c r="B1063">
        <v>71</v>
      </c>
      <c r="C1063">
        <v>510</v>
      </c>
      <c r="D1063" t="s">
        <v>62</v>
      </c>
      <c r="E1063" t="s">
        <v>63</v>
      </c>
      <c r="F1063">
        <v>22</v>
      </c>
      <c r="G1063">
        <v>141.4</v>
      </c>
      <c r="H1063">
        <v>107</v>
      </c>
      <c r="I1063">
        <v>24.04</v>
      </c>
      <c r="J1063">
        <v>163</v>
      </c>
      <c r="K1063">
        <v>105</v>
      </c>
      <c r="L1063">
        <v>13.86</v>
      </c>
      <c r="M1063">
        <v>220</v>
      </c>
      <c r="N1063">
        <v>99</v>
      </c>
      <c r="O1063">
        <v>9.9</v>
      </c>
      <c r="P1063">
        <v>5.6</v>
      </c>
      <c r="Q1063">
        <v>3</v>
      </c>
      <c r="R1063">
        <v>1.51</v>
      </c>
      <c r="S1063">
        <v>2</v>
      </c>
      <c r="T1063" t="b">
        <v>0</v>
      </c>
    </row>
    <row r="1064" spans="1:20">
      <c r="A1064" t="s">
        <v>101</v>
      </c>
      <c r="B1064">
        <v>55</v>
      </c>
      <c r="C1064">
        <v>408</v>
      </c>
      <c r="D1064" t="s">
        <v>62</v>
      </c>
      <c r="E1064" t="s">
        <v>62</v>
      </c>
      <c r="F1064">
        <v>0</v>
      </c>
      <c r="G1064">
        <v>285.7</v>
      </c>
      <c r="H1064">
        <v>124</v>
      </c>
      <c r="I1064">
        <v>48.57</v>
      </c>
      <c r="J1064">
        <v>230.9</v>
      </c>
      <c r="K1064">
        <v>106</v>
      </c>
      <c r="L1064">
        <v>19.63</v>
      </c>
      <c r="M1064">
        <v>230.7</v>
      </c>
      <c r="N1064">
        <v>140</v>
      </c>
      <c r="O1064">
        <v>10.38</v>
      </c>
      <c r="P1064">
        <v>14.8</v>
      </c>
      <c r="Q1064">
        <v>7</v>
      </c>
      <c r="R1064">
        <v>4</v>
      </c>
      <c r="S1064">
        <v>0</v>
      </c>
      <c r="T1064" t="b">
        <v>1</v>
      </c>
    </row>
    <row r="1065" spans="1:20">
      <c r="A1065" t="s">
        <v>88</v>
      </c>
      <c r="B1065">
        <v>13</v>
      </c>
      <c r="C1065">
        <v>415</v>
      </c>
      <c r="D1065" t="s">
        <v>62</v>
      </c>
      <c r="E1065" t="s">
        <v>62</v>
      </c>
      <c r="F1065">
        <v>0</v>
      </c>
      <c r="G1065">
        <v>58.4</v>
      </c>
      <c r="H1065">
        <v>121</v>
      </c>
      <c r="I1065">
        <v>9.93</v>
      </c>
      <c r="J1065">
        <v>262.2</v>
      </c>
      <c r="K1065">
        <v>64</v>
      </c>
      <c r="L1065">
        <v>22.29</v>
      </c>
      <c r="M1065">
        <v>159</v>
      </c>
      <c r="N1065">
        <v>115</v>
      </c>
      <c r="O1065">
        <v>7.15</v>
      </c>
      <c r="P1065">
        <v>11.9</v>
      </c>
      <c r="Q1065">
        <v>5</v>
      </c>
      <c r="R1065">
        <v>3.21</v>
      </c>
      <c r="S1065">
        <v>1</v>
      </c>
      <c r="T1065" t="b">
        <v>0</v>
      </c>
    </row>
    <row r="1066" spans="1:20">
      <c r="A1066" t="s">
        <v>101</v>
      </c>
      <c r="B1066">
        <v>136</v>
      </c>
      <c r="C1066">
        <v>415</v>
      </c>
      <c r="D1066" t="s">
        <v>62</v>
      </c>
      <c r="E1066" t="s">
        <v>63</v>
      </c>
      <c r="F1066">
        <v>16</v>
      </c>
      <c r="G1066">
        <v>90.4</v>
      </c>
      <c r="H1066">
        <v>105</v>
      </c>
      <c r="I1066">
        <v>15.37</v>
      </c>
      <c r="J1066">
        <v>201.3</v>
      </c>
      <c r="K1066">
        <v>109</v>
      </c>
      <c r="L1066">
        <v>17.11</v>
      </c>
      <c r="M1066">
        <v>227.1</v>
      </c>
      <c r="N1066">
        <v>115</v>
      </c>
      <c r="O1066">
        <v>10.22</v>
      </c>
      <c r="P1066">
        <v>13.1</v>
      </c>
      <c r="Q1066">
        <v>4</v>
      </c>
      <c r="R1066">
        <v>3.54</v>
      </c>
      <c r="S1066">
        <v>0</v>
      </c>
      <c r="T1066" t="b">
        <v>0</v>
      </c>
    </row>
    <row r="1067" spans="1:20">
      <c r="A1067" t="s">
        <v>108</v>
      </c>
      <c r="B1067">
        <v>123</v>
      </c>
      <c r="C1067">
        <v>408</v>
      </c>
      <c r="D1067" t="s">
        <v>62</v>
      </c>
      <c r="E1067" t="s">
        <v>62</v>
      </c>
      <c r="F1067">
        <v>0</v>
      </c>
      <c r="G1067">
        <v>114.4</v>
      </c>
      <c r="H1067">
        <v>91</v>
      </c>
      <c r="I1067">
        <v>19.45</v>
      </c>
      <c r="J1067">
        <v>216.6</v>
      </c>
      <c r="K1067">
        <v>123</v>
      </c>
      <c r="L1067">
        <v>18.41</v>
      </c>
      <c r="M1067">
        <v>250.6</v>
      </c>
      <c r="N1067">
        <v>102</v>
      </c>
      <c r="O1067">
        <v>11.28</v>
      </c>
      <c r="P1067">
        <v>11</v>
      </c>
      <c r="Q1067">
        <v>3</v>
      </c>
      <c r="R1067">
        <v>2.97</v>
      </c>
      <c r="S1067">
        <v>0</v>
      </c>
      <c r="T1067" t="b">
        <v>0</v>
      </c>
    </row>
    <row r="1068" spans="1:20">
      <c r="A1068" t="s">
        <v>93</v>
      </c>
      <c r="B1068">
        <v>105</v>
      </c>
      <c r="C1068">
        <v>408</v>
      </c>
      <c r="D1068" t="s">
        <v>62</v>
      </c>
      <c r="E1068" t="s">
        <v>62</v>
      </c>
      <c r="F1068">
        <v>0</v>
      </c>
      <c r="G1068">
        <v>147.7</v>
      </c>
      <c r="H1068">
        <v>103</v>
      </c>
      <c r="I1068">
        <v>25.11</v>
      </c>
      <c r="J1068">
        <v>222.7</v>
      </c>
      <c r="K1068">
        <v>78</v>
      </c>
      <c r="L1068">
        <v>18.93</v>
      </c>
      <c r="M1068">
        <v>163.5</v>
      </c>
      <c r="N1068">
        <v>102</v>
      </c>
      <c r="O1068">
        <v>7.36</v>
      </c>
      <c r="P1068">
        <v>12.8</v>
      </c>
      <c r="Q1068">
        <v>3</v>
      </c>
      <c r="R1068">
        <v>3.46</v>
      </c>
      <c r="S1068">
        <v>2</v>
      </c>
      <c r="T1068" t="b">
        <v>0</v>
      </c>
    </row>
    <row r="1069" spans="1:20">
      <c r="A1069" t="s">
        <v>80</v>
      </c>
      <c r="B1069">
        <v>50</v>
      </c>
      <c r="C1069">
        <v>408</v>
      </c>
      <c r="D1069" t="s">
        <v>62</v>
      </c>
      <c r="E1069" t="s">
        <v>63</v>
      </c>
      <c r="F1069">
        <v>31</v>
      </c>
      <c r="G1069">
        <v>302.7</v>
      </c>
      <c r="H1069">
        <v>93</v>
      </c>
      <c r="I1069">
        <v>51.46</v>
      </c>
      <c r="J1069">
        <v>240.5</v>
      </c>
      <c r="K1069">
        <v>119</v>
      </c>
      <c r="L1069">
        <v>20.44</v>
      </c>
      <c r="M1069">
        <v>193.9</v>
      </c>
      <c r="N1069">
        <v>103</v>
      </c>
      <c r="O1069">
        <v>8.73</v>
      </c>
      <c r="P1069">
        <v>13.6</v>
      </c>
      <c r="Q1069">
        <v>14</v>
      </c>
      <c r="R1069">
        <v>3.67</v>
      </c>
      <c r="S1069">
        <v>3</v>
      </c>
      <c r="T1069" t="b">
        <v>0</v>
      </c>
    </row>
    <row r="1070" spans="1:20">
      <c r="A1070" t="s">
        <v>75</v>
      </c>
      <c r="B1070">
        <v>118</v>
      </c>
      <c r="C1070">
        <v>415</v>
      </c>
      <c r="D1070" t="s">
        <v>62</v>
      </c>
      <c r="E1070" t="s">
        <v>62</v>
      </c>
      <c r="F1070">
        <v>0</v>
      </c>
      <c r="G1070">
        <v>136.1</v>
      </c>
      <c r="H1070">
        <v>120</v>
      </c>
      <c r="I1070">
        <v>23.14</v>
      </c>
      <c r="J1070">
        <v>204.2</v>
      </c>
      <c r="K1070">
        <v>103</v>
      </c>
      <c r="L1070">
        <v>17.36</v>
      </c>
      <c r="M1070">
        <v>228.2</v>
      </c>
      <c r="N1070">
        <v>90</v>
      </c>
      <c r="O1070">
        <v>10.27</v>
      </c>
      <c r="P1070">
        <v>11.3</v>
      </c>
      <c r="Q1070">
        <v>4</v>
      </c>
      <c r="R1070">
        <v>3.05</v>
      </c>
      <c r="S1070">
        <v>1</v>
      </c>
      <c r="T1070" t="b">
        <v>0</v>
      </c>
    </row>
    <row r="1071" spans="1:20">
      <c r="A1071" t="s">
        <v>78</v>
      </c>
      <c r="B1071">
        <v>73</v>
      </c>
      <c r="C1071">
        <v>415</v>
      </c>
      <c r="D1071" t="s">
        <v>62</v>
      </c>
      <c r="E1071" t="s">
        <v>62</v>
      </c>
      <c r="F1071">
        <v>0</v>
      </c>
      <c r="G1071">
        <v>217.8</v>
      </c>
      <c r="H1071">
        <v>91</v>
      </c>
      <c r="I1071">
        <v>37.03</v>
      </c>
      <c r="J1071">
        <v>220.6</v>
      </c>
      <c r="K1071">
        <v>97</v>
      </c>
      <c r="L1071">
        <v>18.75</v>
      </c>
      <c r="M1071">
        <v>277.3</v>
      </c>
      <c r="N1071">
        <v>89</v>
      </c>
      <c r="O1071">
        <v>12.48</v>
      </c>
      <c r="P1071">
        <v>10.3</v>
      </c>
      <c r="Q1071">
        <v>6</v>
      </c>
      <c r="R1071">
        <v>2.78</v>
      </c>
      <c r="S1071">
        <v>1</v>
      </c>
      <c r="T1071" t="b">
        <v>1</v>
      </c>
    </row>
    <row r="1072" spans="1:20">
      <c r="A1072" t="s">
        <v>114</v>
      </c>
      <c r="B1072">
        <v>35</v>
      </c>
      <c r="C1072">
        <v>415</v>
      </c>
      <c r="D1072" t="s">
        <v>62</v>
      </c>
      <c r="E1072" t="s">
        <v>62</v>
      </c>
      <c r="F1072">
        <v>0</v>
      </c>
      <c r="G1072">
        <v>124.2</v>
      </c>
      <c r="H1072">
        <v>102</v>
      </c>
      <c r="I1072">
        <v>21.11</v>
      </c>
      <c r="J1072">
        <v>123.9</v>
      </c>
      <c r="K1072">
        <v>115</v>
      </c>
      <c r="L1072">
        <v>10.53</v>
      </c>
      <c r="M1072">
        <v>135.7</v>
      </c>
      <c r="N1072">
        <v>100</v>
      </c>
      <c r="O1072">
        <v>6.11</v>
      </c>
      <c r="P1072">
        <v>13.1</v>
      </c>
      <c r="Q1072">
        <v>8</v>
      </c>
      <c r="R1072">
        <v>3.54</v>
      </c>
      <c r="S1072">
        <v>2</v>
      </c>
      <c r="T1072" t="b">
        <v>0</v>
      </c>
    </row>
    <row r="1073" spans="1:20">
      <c r="A1073" t="s">
        <v>85</v>
      </c>
      <c r="B1073">
        <v>64</v>
      </c>
      <c r="C1073">
        <v>415</v>
      </c>
      <c r="D1073" t="s">
        <v>62</v>
      </c>
      <c r="E1073" t="s">
        <v>62</v>
      </c>
      <c r="F1073">
        <v>0</v>
      </c>
      <c r="G1073">
        <v>206.2</v>
      </c>
      <c r="H1073">
        <v>76</v>
      </c>
      <c r="I1073">
        <v>35.05</v>
      </c>
      <c r="J1073">
        <v>232.4</v>
      </c>
      <c r="K1073">
        <v>76</v>
      </c>
      <c r="L1073">
        <v>19.75</v>
      </c>
      <c r="M1073">
        <v>251.6</v>
      </c>
      <c r="N1073">
        <v>96</v>
      </c>
      <c r="O1073">
        <v>11.32</v>
      </c>
      <c r="P1073">
        <v>13.6</v>
      </c>
      <c r="Q1073">
        <v>2</v>
      </c>
      <c r="R1073">
        <v>3.67</v>
      </c>
      <c r="S1073">
        <v>1</v>
      </c>
      <c r="T1073" t="b">
        <v>0</v>
      </c>
    </row>
    <row r="1074" spans="1:20">
      <c r="A1074" t="s">
        <v>71</v>
      </c>
      <c r="B1074">
        <v>63</v>
      </c>
      <c r="C1074">
        <v>510</v>
      </c>
      <c r="D1074" t="s">
        <v>62</v>
      </c>
      <c r="E1074" t="s">
        <v>62</v>
      </c>
      <c r="F1074">
        <v>0</v>
      </c>
      <c r="G1074">
        <v>132.9</v>
      </c>
      <c r="H1074">
        <v>122</v>
      </c>
      <c r="I1074">
        <v>22.59</v>
      </c>
      <c r="J1074">
        <v>67</v>
      </c>
      <c r="K1074">
        <v>62</v>
      </c>
      <c r="L1074">
        <v>5.7</v>
      </c>
      <c r="M1074">
        <v>160.4</v>
      </c>
      <c r="N1074">
        <v>121</v>
      </c>
      <c r="O1074">
        <v>7.22</v>
      </c>
      <c r="P1074">
        <v>9.9</v>
      </c>
      <c r="Q1074">
        <v>2</v>
      </c>
      <c r="R1074">
        <v>2.67</v>
      </c>
      <c r="S1074">
        <v>3</v>
      </c>
      <c r="T1074" t="b">
        <v>0</v>
      </c>
    </row>
    <row r="1075" spans="1:20">
      <c r="A1075" t="s">
        <v>66</v>
      </c>
      <c r="B1075">
        <v>117</v>
      </c>
      <c r="C1075">
        <v>415</v>
      </c>
      <c r="D1075" t="s">
        <v>62</v>
      </c>
      <c r="E1075" t="s">
        <v>63</v>
      </c>
      <c r="F1075">
        <v>31</v>
      </c>
      <c r="G1075">
        <v>104.9</v>
      </c>
      <c r="H1075">
        <v>115</v>
      </c>
      <c r="I1075">
        <v>17.83</v>
      </c>
      <c r="J1075">
        <v>237.6</v>
      </c>
      <c r="K1075">
        <v>125</v>
      </c>
      <c r="L1075">
        <v>20.2</v>
      </c>
      <c r="M1075">
        <v>263.4</v>
      </c>
      <c r="N1075">
        <v>104</v>
      </c>
      <c r="O1075">
        <v>11.85</v>
      </c>
      <c r="P1075">
        <v>7.7</v>
      </c>
      <c r="Q1075">
        <v>6</v>
      </c>
      <c r="R1075">
        <v>2.08</v>
      </c>
      <c r="S1075">
        <v>3</v>
      </c>
      <c r="T1075" t="b">
        <v>0</v>
      </c>
    </row>
    <row r="1076" spans="1:20">
      <c r="A1076" t="s">
        <v>116</v>
      </c>
      <c r="B1076">
        <v>115</v>
      </c>
      <c r="C1076">
        <v>415</v>
      </c>
      <c r="D1076" t="s">
        <v>62</v>
      </c>
      <c r="E1076" t="s">
        <v>62</v>
      </c>
      <c r="F1076">
        <v>0</v>
      </c>
      <c r="G1076">
        <v>245</v>
      </c>
      <c r="H1076">
        <v>97</v>
      </c>
      <c r="I1076">
        <v>41.65</v>
      </c>
      <c r="J1076">
        <v>250.7</v>
      </c>
      <c r="K1076">
        <v>75</v>
      </c>
      <c r="L1076">
        <v>21.31</v>
      </c>
      <c r="M1076">
        <v>270.2</v>
      </c>
      <c r="N1076">
        <v>124</v>
      </c>
      <c r="O1076">
        <v>12.16</v>
      </c>
      <c r="P1076">
        <v>13.7</v>
      </c>
      <c r="Q1076">
        <v>8</v>
      </c>
      <c r="R1076">
        <v>3.7</v>
      </c>
      <c r="S1076">
        <v>1</v>
      </c>
      <c r="T1076" t="b">
        <v>1</v>
      </c>
    </row>
    <row r="1077" spans="1:20">
      <c r="A1077" t="s">
        <v>97</v>
      </c>
      <c r="B1077">
        <v>162</v>
      </c>
      <c r="C1077">
        <v>408</v>
      </c>
      <c r="D1077" t="s">
        <v>62</v>
      </c>
      <c r="E1077" t="s">
        <v>62</v>
      </c>
      <c r="F1077">
        <v>0</v>
      </c>
      <c r="G1077">
        <v>184.5</v>
      </c>
      <c r="H1077">
        <v>118</v>
      </c>
      <c r="I1077">
        <v>31.37</v>
      </c>
      <c r="J1077">
        <v>224</v>
      </c>
      <c r="K1077">
        <v>95</v>
      </c>
      <c r="L1077">
        <v>19.04</v>
      </c>
      <c r="M1077">
        <v>180.5</v>
      </c>
      <c r="N1077">
        <v>82</v>
      </c>
      <c r="O1077">
        <v>8.12</v>
      </c>
      <c r="P1077">
        <v>11.6</v>
      </c>
      <c r="Q1077">
        <v>3</v>
      </c>
      <c r="R1077">
        <v>3.13</v>
      </c>
      <c r="S1077">
        <v>1</v>
      </c>
      <c r="T1077" t="b">
        <v>0</v>
      </c>
    </row>
    <row r="1078" spans="1:20">
      <c r="A1078" t="s">
        <v>106</v>
      </c>
      <c r="B1078">
        <v>89</v>
      </c>
      <c r="C1078">
        <v>415</v>
      </c>
      <c r="D1078" t="s">
        <v>62</v>
      </c>
      <c r="E1078" t="s">
        <v>62</v>
      </c>
      <c r="F1078">
        <v>0</v>
      </c>
      <c r="G1078">
        <v>89.5</v>
      </c>
      <c r="H1078">
        <v>66</v>
      </c>
      <c r="I1078">
        <v>15.22</v>
      </c>
      <c r="J1078">
        <v>179.3</v>
      </c>
      <c r="K1078">
        <v>104</v>
      </c>
      <c r="L1078">
        <v>15.24</v>
      </c>
      <c r="M1078">
        <v>225.1</v>
      </c>
      <c r="N1078">
        <v>116</v>
      </c>
      <c r="O1078">
        <v>10.13</v>
      </c>
      <c r="P1078">
        <v>12.3</v>
      </c>
      <c r="Q1078">
        <v>1</v>
      </c>
      <c r="R1078">
        <v>3.32</v>
      </c>
      <c r="S1078">
        <v>3</v>
      </c>
      <c r="T1078" t="b">
        <v>0</v>
      </c>
    </row>
    <row r="1079" spans="1:20">
      <c r="A1079" t="s">
        <v>79</v>
      </c>
      <c r="B1079">
        <v>94</v>
      </c>
      <c r="C1079">
        <v>415</v>
      </c>
      <c r="D1079" t="s">
        <v>63</v>
      </c>
      <c r="E1079" t="s">
        <v>62</v>
      </c>
      <c r="F1079">
        <v>0</v>
      </c>
      <c r="G1079">
        <v>235.6</v>
      </c>
      <c r="H1079">
        <v>131</v>
      </c>
      <c r="I1079">
        <v>40.05</v>
      </c>
      <c r="J1079">
        <v>194.8</v>
      </c>
      <c r="K1079">
        <v>107</v>
      </c>
      <c r="L1079">
        <v>16.56</v>
      </c>
      <c r="M1079">
        <v>170.6</v>
      </c>
      <c r="N1079">
        <v>93</v>
      </c>
      <c r="O1079">
        <v>7.68</v>
      </c>
      <c r="P1079">
        <v>8.6</v>
      </c>
      <c r="Q1079">
        <v>4</v>
      </c>
      <c r="R1079">
        <v>2.32</v>
      </c>
      <c r="S1079">
        <v>1</v>
      </c>
      <c r="T1079" t="b">
        <v>0</v>
      </c>
    </row>
    <row r="1080" spans="1:20">
      <c r="A1080" t="s">
        <v>78</v>
      </c>
      <c r="B1080">
        <v>129</v>
      </c>
      <c r="C1080">
        <v>408</v>
      </c>
      <c r="D1080" t="s">
        <v>62</v>
      </c>
      <c r="E1080" t="s">
        <v>62</v>
      </c>
      <c r="F1080">
        <v>0</v>
      </c>
      <c r="G1080">
        <v>186</v>
      </c>
      <c r="H1080">
        <v>127</v>
      </c>
      <c r="I1080">
        <v>31.62</v>
      </c>
      <c r="J1080">
        <v>262.3</v>
      </c>
      <c r="K1080">
        <v>96</v>
      </c>
      <c r="L1080">
        <v>22.3</v>
      </c>
      <c r="M1080">
        <v>98.9</v>
      </c>
      <c r="N1080">
        <v>63</v>
      </c>
      <c r="O1080">
        <v>4.45</v>
      </c>
      <c r="P1080">
        <v>11.5</v>
      </c>
      <c r="Q1080">
        <v>6</v>
      </c>
      <c r="R1080">
        <v>3.11</v>
      </c>
      <c r="S1080">
        <v>4</v>
      </c>
      <c r="T1080" t="b">
        <v>0</v>
      </c>
    </row>
    <row r="1081" spans="1:20">
      <c r="A1081" t="s">
        <v>113</v>
      </c>
      <c r="B1081">
        <v>96</v>
      </c>
      <c r="C1081">
        <v>510</v>
      </c>
      <c r="D1081" t="s">
        <v>62</v>
      </c>
      <c r="E1081" t="s">
        <v>62</v>
      </c>
      <c r="F1081">
        <v>0</v>
      </c>
      <c r="G1081">
        <v>179.5</v>
      </c>
      <c r="H1081">
        <v>125</v>
      </c>
      <c r="I1081">
        <v>30.52</v>
      </c>
      <c r="J1081">
        <v>162.3</v>
      </c>
      <c r="K1081">
        <v>139</v>
      </c>
      <c r="L1081">
        <v>13.8</v>
      </c>
      <c r="M1081">
        <v>264.5</v>
      </c>
      <c r="N1081">
        <v>133</v>
      </c>
      <c r="O1081">
        <v>11.9</v>
      </c>
      <c r="P1081">
        <v>6.6</v>
      </c>
      <c r="Q1081">
        <v>2</v>
      </c>
      <c r="R1081">
        <v>1.78</v>
      </c>
      <c r="S1081">
        <v>1</v>
      </c>
      <c r="T1081" t="b">
        <v>0</v>
      </c>
    </row>
    <row r="1082" spans="1:20">
      <c r="A1082" t="s">
        <v>111</v>
      </c>
      <c r="B1082">
        <v>108</v>
      </c>
      <c r="C1082">
        <v>415</v>
      </c>
      <c r="D1082" t="s">
        <v>62</v>
      </c>
      <c r="E1082" t="s">
        <v>62</v>
      </c>
      <c r="F1082">
        <v>0</v>
      </c>
      <c r="G1082">
        <v>112</v>
      </c>
      <c r="H1082">
        <v>105</v>
      </c>
      <c r="I1082">
        <v>19.04</v>
      </c>
      <c r="J1082">
        <v>193.7</v>
      </c>
      <c r="K1082">
        <v>110</v>
      </c>
      <c r="L1082">
        <v>16.46</v>
      </c>
      <c r="M1082">
        <v>208.9</v>
      </c>
      <c r="N1082">
        <v>93</v>
      </c>
      <c r="O1082">
        <v>9.4</v>
      </c>
      <c r="P1082">
        <v>4.1</v>
      </c>
      <c r="Q1082">
        <v>4</v>
      </c>
      <c r="R1082">
        <v>1.11</v>
      </c>
      <c r="S1082">
        <v>4</v>
      </c>
      <c r="T1082" t="b">
        <v>1</v>
      </c>
    </row>
    <row r="1083" spans="1:20">
      <c r="A1083" t="s">
        <v>110</v>
      </c>
      <c r="B1083">
        <v>97</v>
      </c>
      <c r="C1083">
        <v>408</v>
      </c>
      <c r="D1083" t="s">
        <v>62</v>
      </c>
      <c r="E1083" t="s">
        <v>63</v>
      </c>
      <c r="F1083">
        <v>32</v>
      </c>
      <c r="G1083">
        <v>168.4</v>
      </c>
      <c r="H1083">
        <v>129</v>
      </c>
      <c r="I1083">
        <v>28.63</v>
      </c>
      <c r="J1083">
        <v>225.9</v>
      </c>
      <c r="K1083">
        <v>97</v>
      </c>
      <c r="L1083">
        <v>19.2</v>
      </c>
      <c r="M1083">
        <v>191.8</v>
      </c>
      <c r="N1083">
        <v>95</v>
      </c>
      <c r="O1083">
        <v>8.63</v>
      </c>
      <c r="P1083">
        <v>8.5</v>
      </c>
      <c r="Q1083">
        <v>7</v>
      </c>
      <c r="R1083">
        <v>2.3</v>
      </c>
      <c r="S1083">
        <v>0</v>
      </c>
      <c r="T1083" t="b">
        <v>0</v>
      </c>
    </row>
    <row r="1084" spans="1:20">
      <c r="A1084" t="s">
        <v>78</v>
      </c>
      <c r="B1084">
        <v>84</v>
      </c>
      <c r="C1084">
        <v>415</v>
      </c>
      <c r="D1084" t="s">
        <v>62</v>
      </c>
      <c r="E1084" t="s">
        <v>63</v>
      </c>
      <c r="F1084">
        <v>42</v>
      </c>
      <c r="G1084">
        <v>214.3</v>
      </c>
      <c r="H1084">
        <v>112</v>
      </c>
      <c r="I1084">
        <v>36.43</v>
      </c>
      <c r="J1084">
        <v>188.2</v>
      </c>
      <c r="K1084">
        <v>107</v>
      </c>
      <c r="L1084">
        <v>16</v>
      </c>
      <c r="M1084">
        <v>333.5</v>
      </c>
      <c r="N1084">
        <v>117</v>
      </c>
      <c r="O1084">
        <v>15.01</v>
      </c>
      <c r="P1084">
        <v>11.3</v>
      </c>
      <c r="Q1084">
        <v>10</v>
      </c>
      <c r="R1084">
        <v>3.05</v>
      </c>
      <c r="S1084">
        <v>0</v>
      </c>
      <c r="T1084" t="b">
        <v>0</v>
      </c>
    </row>
    <row r="1085" spans="1:20">
      <c r="A1085" t="s">
        <v>64</v>
      </c>
      <c r="B1085">
        <v>65</v>
      </c>
      <c r="C1085">
        <v>415</v>
      </c>
      <c r="D1085" t="s">
        <v>62</v>
      </c>
      <c r="E1085" t="s">
        <v>62</v>
      </c>
      <c r="F1085">
        <v>0</v>
      </c>
      <c r="G1085">
        <v>245.7</v>
      </c>
      <c r="H1085">
        <v>139</v>
      </c>
      <c r="I1085">
        <v>41.77</v>
      </c>
      <c r="J1085">
        <v>241.9</v>
      </c>
      <c r="K1085">
        <v>113</v>
      </c>
      <c r="L1085">
        <v>20.56</v>
      </c>
      <c r="M1085">
        <v>285.3</v>
      </c>
      <c r="N1085">
        <v>117</v>
      </c>
      <c r="O1085">
        <v>12.84</v>
      </c>
      <c r="P1085">
        <v>4.2</v>
      </c>
      <c r="Q1085">
        <v>5</v>
      </c>
      <c r="R1085">
        <v>1.13</v>
      </c>
      <c r="S1085">
        <v>4</v>
      </c>
      <c r="T1085" t="b">
        <v>1</v>
      </c>
    </row>
    <row r="1086" spans="1:20">
      <c r="A1086" t="s">
        <v>78</v>
      </c>
      <c r="B1086">
        <v>131</v>
      </c>
      <c r="C1086">
        <v>415</v>
      </c>
      <c r="D1086" t="s">
        <v>62</v>
      </c>
      <c r="E1086" t="s">
        <v>63</v>
      </c>
      <c r="F1086">
        <v>34</v>
      </c>
      <c r="G1086">
        <v>156.6</v>
      </c>
      <c r="H1086">
        <v>134</v>
      </c>
      <c r="I1086">
        <v>26.62</v>
      </c>
      <c r="J1086">
        <v>71</v>
      </c>
      <c r="K1086">
        <v>95</v>
      </c>
      <c r="L1086">
        <v>6.04</v>
      </c>
      <c r="M1086">
        <v>261.7</v>
      </c>
      <c r="N1086">
        <v>120</v>
      </c>
      <c r="O1086">
        <v>11.78</v>
      </c>
      <c r="P1086">
        <v>13.4</v>
      </c>
      <c r="Q1086">
        <v>10</v>
      </c>
      <c r="R1086">
        <v>3.62</v>
      </c>
      <c r="S1086">
        <v>1</v>
      </c>
      <c r="T1086" t="b">
        <v>0</v>
      </c>
    </row>
    <row r="1087" spans="1:20">
      <c r="A1087" t="s">
        <v>86</v>
      </c>
      <c r="B1087">
        <v>58</v>
      </c>
      <c r="C1087">
        <v>415</v>
      </c>
      <c r="D1087" t="s">
        <v>63</v>
      </c>
      <c r="E1087" t="s">
        <v>63</v>
      </c>
      <c r="F1087">
        <v>43</v>
      </c>
      <c r="G1087">
        <v>142.8</v>
      </c>
      <c r="H1087">
        <v>96</v>
      </c>
      <c r="I1087">
        <v>24.28</v>
      </c>
      <c r="J1087">
        <v>272.3</v>
      </c>
      <c r="K1087">
        <v>100</v>
      </c>
      <c r="L1087">
        <v>23.15</v>
      </c>
      <c r="M1087">
        <v>193.4</v>
      </c>
      <c r="N1087">
        <v>105</v>
      </c>
      <c r="O1087">
        <v>8.7</v>
      </c>
      <c r="P1087">
        <v>8.9</v>
      </c>
      <c r="Q1087">
        <v>4</v>
      </c>
      <c r="R1087">
        <v>2.4</v>
      </c>
      <c r="S1087">
        <v>1</v>
      </c>
      <c r="T1087" t="b">
        <v>0</v>
      </c>
    </row>
    <row r="1088" spans="1:20">
      <c r="A1088" t="s">
        <v>93</v>
      </c>
      <c r="B1088">
        <v>54</v>
      </c>
      <c r="C1088">
        <v>415</v>
      </c>
      <c r="D1088" t="s">
        <v>62</v>
      </c>
      <c r="E1088" t="s">
        <v>62</v>
      </c>
      <c r="F1088">
        <v>0</v>
      </c>
      <c r="G1088">
        <v>116.8</v>
      </c>
      <c r="H1088">
        <v>119</v>
      </c>
      <c r="I1088">
        <v>19.86</v>
      </c>
      <c r="J1088">
        <v>123.1</v>
      </c>
      <c r="K1088">
        <v>123</v>
      </c>
      <c r="L1088">
        <v>10.46</v>
      </c>
      <c r="M1088">
        <v>217.5</v>
      </c>
      <c r="N1088">
        <v>101</v>
      </c>
      <c r="O1088">
        <v>9.79</v>
      </c>
      <c r="P1088">
        <v>12</v>
      </c>
      <c r="Q1088">
        <v>2</v>
      </c>
      <c r="R1088">
        <v>3.24</v>
      </c>
      <c r="S1088">
        <v>1</v>
      </c>
      <c r="T1088" t="b">
        <v>0</v>
      </c>
    </row>
    <row r="1089" spans="1:20">
      <c r="A1089" t="s">
        <v>89</v>
      </c>
      <c r="B1089">
        <v>125</v>
      </c>
      <c r="C1089">
        <v>415</v>
      </c>
      <c r="D1089" t="s">
        <v>62</v>
      </c>
      <c r="E1089" t="s">
        <v>63</v>
      </c>
      <c r="F1089">
        <v>39</v>
      </c>
      <c r="G1089">
        <v>236.1</v>
      </c>
      <c r="H1089">
        <v>107</v>
      </c>
      <c r="I1089">
        <v>40.14</v>
      </c>
      <c r="J1089">
        <v>289.2</v>
      </c>
      <c r="K1089">
        <v>110</v>
      </c>
      <c r="L1089">
        <v>24.58</v>
      </c>
      <c r="M1089">
        <v>175.4</v>
      </c>
      <c r="N1089">
        <v>107</v>
      </c>
      <c r="O1089">
        <v>7.89</v>
      </c>
      <c r="P1089">
        <v>9.1</v>
      </c>
      <c r="Q1089">
        <v>4</v>
      </c>
      <c r="R1089">
        <v>2.46</v>
      </c>
      <c r="S1089">
        <v>2</v>
      </c>
      <c r="T1089" t="b">
        <v>0</v>
      </c>
    </row>
    <row r="1090" spans="1:20">
      <c r="A1090" t="s">
        <v>78</v>
      </c>
      <c r="B1090">
        <v>72</v>
      </c>
      <c r="C1090">
        <v>415</v>
      </c>
      <c r="D1090" t="s">
        <v>62</v>
      </c>
      <c r="E1090" t="s">
        <v>63</v>
      </c>
      <c r="F1090">
        <v>21</v>
      </c>
      <c r="G1090">
        <v>138.1</v>
      </c>
      <c r="H1090">
        <v>113</v>
      </c>
      <c r="I1090">
        <v>23.48</v>
      </c>
      <c r="J1090">
        <v>260.1</v>
      </c>
      <c r="K1090">
        <v>83</v>
      </c>
      <c r="L1090">
        <v>22.11</v>
      </c>
      <c r="M1090">
        <v>135.4</v>
      </c>
      <c r="N1090">
        <v>118</v>
      </c>
      <c r="O1090">
        <v>6.09</v>
      </c>
      <c r="P1090">
        <v>8.2</v>
      </c>
      <c r="Q1090">
        <v>2</v>
      </c>
      <c r="R1090">
        <v>2.21</v>
      </c>
      <c r="S1090">
        <v>2</v>
      </c>
      <c r="T1090" t="b">
        <v>0</v>
      </c>
    </row>
    <row r="1091" spans="1:20">
      <c r="A1091" t="s">
        <v>116</v>
      </c>
      <c r="B1091">
        <v>141</v>
      </c>
      <c r="C1091">
        <v>408</v>
      </c>
      <c r="D1091" t="s">
        <v>62</v>
      </c>
      <c r="E1091" t="s">
        <v>62</v>
      </c>
      <c r="F1091">
        <v>0</v>
      </c>
      <c r="G1091">
        <v>51.9</v>
      </c>
      <c r="H1091">
        <v>108</v>
      </c>
      <c r="I1091">
        <v>8.82</v>
      </c>
      <c r="J1091">
        <v>162</v>
      </c>
      <c r="K1091">
        <v>83</v>
      </c>
      <c r="L1091">
        <v>13.77</v>
      </c>
      <c r="M1091">
        <v>223.5</v>
      </c>
      <c r="N1091">
        <v>115</v>
      </c>
      <c r="O1091">
        <v>10.06</v>
      </c>
      <c r="P1091">
        <v>10.1</v>
      </c>
      <c r="Q1091">
        <v>3</v>
      </c>
      <c r="R1091">
        <v>2.73</v>
      </c>
      <c r="S1091">
        <v>3</v>
      </c>
      <c r="T1091" t="b">
        <v>0</v>
      </c>
    </row>
    <row r="1092" spans="1:20">
      <c r="A1092" t="s">
        <v>83</v>
      </c>
      <c r="B1092">
        <v>113</v>
      </c>
      <c r="C1092">
        <v>510</v>
      </c>
      <c r="D1092" t="s">
        <v>62</v>
      </c>
      <c r="E1092" t="s">
        <v>62</v>
      </c>
      <c r="F1092">
        <v>0</v>
      </c>
      <c r="G1092">
        <v>81.3</v>
      </c>
      <c r="H1092">
        <v>116</v>
      </c>
      <c r="I1092">
        <v>13.82</v>
      </c>
      <c r="J1092">
        <v>220.6</v>
      </c>
      <c r="K1092">
        <v>124</v>
      </c>
      <c r="L1092">
        <v>18.75</v>
      </c>
      <c r="M1092">
        <v>235.7</v>
      </c>
      <c r="N1092">
        <v>113</v>
      </c>
      <c r="O1092">
        <v>10.61</v>
      </c>
      <c r="P1092">
        <v>8.9</v>
      </c>
      <c r="Q1092">
        <v>3</v>
      </c>
      <c r="R1092">
        <v>2.4</v>
      </c>
      <c r="S1092">
        <v>0</v>
      </c>
      <c r="T1092" t="b">
        <v>0</v>
      </c>
    </row>
    <row r="1093" spans="1:20">
      <c r="A1093" t="s">
        <v>99</v>
      </c>
      <c r="B1093">
        <v>20</v>
      </c>
      <c r="C1093">
        <v>415</v>
      </c>
      <c r="D1093" t="s">
        <v>62</v>
      </c>
      <c r="E1093" t="s">
        <v>63</v>
      </c>
      <c r="F1093">
        <v>35</v>
      </c>
      <c r="G1093">
        <v>171.5</v>
      </c>
      <c r="H1093">
        <v>98</v>
      </c>
      <c r="I1093">
        <v>29.16</v>
      </c>
      <c r="J1093">
        <v>153.1</v>
      </c>
      <c r="K1093">
        <v>127</v>
      </c>
      <c r="L1093">
        <v>13.01</v>
      </c>
      <c r="M1093">
        <v>165.6</v>
      </c>
      <c r="N1093">
        <v>125</v>
      </c>
      <c r="O1093">
        <v>7.45</v>
      </c>
      <c r="P1093">
        <v>7.1</v>
      </c>
      <c r="Q1093">
        <v>3</v>
      </c>
      <c r="R1093">
        <v>1.92</v>
      </c>
      <c r="S1093">
        <v>0</v>
      </c>
      <c r="T1093" t="b">
        <v>0</v>
      </c>
    </row>
    <row r="1094" spans="1:20">
      <c r="A1094" t="s">
        <v>116</v>
      </c>
      <c r="B1094">
        <v>212</v>
      </c>
      <c r="C1094">
        <v>415</v>
      </c>
      <c r="D1094" t="s">
        <v>62</v>
      </c>
      <c r="E1094" t="s">
        <v>62</v>
      </c>
      <c r="F1094">
        <v>0</v>
      </c>
      <c r="G1094">
        <v>126</v>
      </c>
      <c r="H1094">
        <v>96</v>
      </c>
      <c r="I1094">
        <v>21.42</v>
      </c>
      <c r="J1094">
        <v>144.3</v>
      </c>
      <c r="K1094">
        <v>80</v>
      </c>
      <c r="L1094">
        <v>12.27</v>
      </c>
      <c r="M1094">
        <v>302.8</v>
      </c>
      <c r="N1094">
        <v>102</v>
      </c>
      <c r="O1094">
        <v>13.63</v>
      </c>
      <c r="P1094">
        <v>7.6</v>
      </c>
      <c r="Q1094">
        <v>3</v>
      </c>
      <c r="R1094">
        <v>2.05</v>
      </c>
      <c r="S1094">
        <v>1</v>
      </c>
      <c r="T1094" t="b">
        <v>0</v>
      </c>
    </row>
    <row r="1095" spans="1:20">
      <c r="A1095" t="s">
        <v>96</v>
      </c>
      <c r="B1095">
        <v>99</v>
      </c>
      <c r="C1095">
        <v>415</v>
      </c>
      <c r="D1095" t="s">
        <v>63</v>
      </c>
      <c r="E1095" t="s">
        <v>62</v>
      </c>
      <c r="F1095">
        <v>0</v>
      </c>
      <c r="G1095">
        <v>197.2</v>
      </c>
      <c r="H1095">
        <v>127</v>
      </c>
      <c r="I1095">
        <v>33.52</v>
      </c>
      <c r="J1095">
        <v>156</v>
      </c>
      <c r="K1095">
        <v>92</v>
      </c>
      <c r="L1095">
        <v>13.26</v>
      </c>
      <c r="M1095">
        <v>204.1</v>
      </c>
      <c r="N1095">
        <v>99</v>
      </c>
      <c r="O1095">
        <v>9.18</v>
      </c>
      <c r="P1095">
        <v>9.9</v>
      </c>
      <c r="Q1095">
        <v>6</v>
      </c>
      <c r="R1095">
        <v>2.67</v>
      </c>
      <c r="S1095">
        <v>4</v>
      </c>
      <c r="T1095" t="b">
        <v>0</v>
      </c>
    </row>
    <row r="1096" spans="1:20">
      <c r="A1096" t="s">
        <v>64</v>
      </c>
      <c r="B1096">
        <v>94</v>
      </c>
      <c r="C1096">
        <v>510</v>
      </c>
      <c r="D1096" t="s">
        <v>62</v>
      </c>
      <c r="E1096" t="s">
        <v>62</v>
      </c>
      <c r="F1096">
        <v>0</v>
      </c>
      <c r="G1096">
        <v>194.1</v>
      </c>
      <c r="H1096">
        <v>62</v>
      </c>
      <c r="I1096">
        <v>33</v>
      </c>
      <c r="J1096">
        <v>227.2</v>
      </c>
      <c r="K1096">
        <v>54</v>
      </c>
      <c r="L1096">
        <v>19.31</v>
      </c>
      <c r="M1096">
        <v>190.4</v>
      </c>
      <c r="N1096">
        <v>115</v>
      </c>
      <c r="O1096">
        <v>8.57</v>
      </c>
      <c r="P1096">
        <v>15.3</v>
      </c>
      <c r="Q1096">
        <v>4</v>
      </c>
      <c r="R1096">
        <v>4.13</v>
      </c>
      <c r="S1096">
        <v>1</v>
      </c>
      <c r="T1096" t="b">
        <v>0</v>
      </c>
    </row>
    <row r="1097" spans="1:20">
      <c r="A1097" t="s">
        <v>106</v>
      </c>
      <c r="B1097">
        <v>40</v>
      </c>
      <c r="C1097">
        <v>510</v>
      </c>
      <c r="D1097" t="s">
        <v>62</v>
      </c>
      <c r="E1097" t="s">
        <v>62</v>
      </c>
      <c r="F1097">
        <v>0</v>
      </c>
      <c r="G1097">
        <v>115.7</v>
      </c>
      <c r="H1097">
        <v>105</v>
      </c>
      <c r="I1097">
        <v>19.67</v>
      </c>
      <c r="J1097">
        <v>127.8</v>
      </c>
      <c r="K1097">
        <v>113</v>
      </c>
      <c r="L1097">
        <v>10.86</v>
      </c>
      <c r="M1097">
        <v>107.5</v>
      </c>
      <c r="N1097">
        <v>91</v>
      </c>
      <c r="O1097">
        <v>4.84</v>
      </c>
      <c r="P1097">
        <v>9.3</v>
      </c>
      <c r="Q1097">
        <v>6</v>
      </c>
      <c r="R1097">
        <v>2.51</v>
      </c>
      <c r="S1097">
        <v>1</v>
      </c>
      <c r="T1097" t="b">
        <v>0</v>
      </c>
    </row>
    <row r="1098" spans="1:20">
      <c r="A1098" t="s">
        <v>84</v>
      </c>
      <c r="B1098">
        <v>86</v>
      </c>
      <c r="C1098">
        <v>510</v>
      </c>
      <c r="D1098" t="s">
        <v>62</v>
      </c>
      <c r="E1098" t="s">
        <v>63</v>
      </c>
      <c r="F1098">
        <v>29</v>
      </c>
      <c r="G1098">
        <v>157.2</v>
      </c>
      <c r="H1098">
        <v>118</v>
      </c>
      <c r="I1098">
        <v>26.72</v>
      </c>
      <c r="J1098">
        <v>196.3</v>
      </c>
      <c r="K1098">
        <v>136</v>
      </c>
      <c r="L1098">
        <v>16.69</v>
      </c>
      <c r="M1098">
        <v>226.7</v>
      </c>
      <c r="N1098">
        <v>109</v>
      </c>
      <c r="O1098">
        <v>10.2</v>
      </c>
      <c r="P1098">
        <v>8.4</v>
      </c>
      <c r="Q1098">
        <v>5</v>
      </c>
      <c r="R1098">
        <v>2.27</v>
      </c>
      <c r="S1098">
        <v>3</v>
      </c>
      <c r="T1098" t="b">
        <v>0</v>
      </c>
    </row>
    <row r="1099" spans="1:20">
      <c r="A1099" t="s">
        <v>66</v>
      </c>
      <c r="B1099">
        <v>101</v>
      </c>
      <c r="C1099">
        <v>415</v>
      </c>
      <c r="D1099" t="s">
        <v>62</v>
      </c>
      <c r="E1099" t="s">
        <v>62</v>
      </c>
      <c r="F1099">
        <v>0</v>
      </c>
      <c r="G1099">
        <v>269.7</v>
      </c>
      <c r="H1099">
        <v>85</v>
      </c>
      <c r="I1099">
        <v>45.85</v>
      </c>
      <c r="J1099">
        <v>207.6</v>
      </c>
      <c r="K1099">
        <v>86</v>
      </c>
      <c r="L1099">
        <v>17.65</v>
      </c>
      <c r="M1099">
        <v>214.2</v>
      </c>
      <c r="N1099">
        <v>107</v>
      </c>
      <c r="O1099">
        <v>9.64</v>
      </c>
      <c r="P1099">
        <v>4.5</v>
      </c>
      <c r="Q1099">
        <v>15</v>
      </c>
      <c r="R1099">
        <v>1.22</v>
      </c>
      <c r="S1099">
        <v>3</v>
      </c>
      <c r="T1099" t="b">
        <v>1</v>
      </c>
    </row>
    <row r="1100" spans="1:20">
      <c r="A1100" t="s">
        <v>114</v>
      </c>
      <c r="B1100">
        <v>105</v>
      </c>
      <c r="C1100">
        <v>510</v>
      </c>
      <c r="D1100" t="s">
        <v>62</v>
      </c>
      <c r="E1100" t="s">
        <v>62</v>
      </c>
      <c r="F1100">
        <v>0</v>
      </c>
      <c r="G1100">
        <v>227.4</v>
      </c>
      <c r="H1100">
        <v>121</v>
      </c>
      <c r="I1100">
        <v>38.66</v>
      </c>
      <c r="J1100">
        <v>268.5</v>
      </c>
      <c r="K1100">
        <v>89</v>
      </c>
      <c r="L1100">
        <v>22.82</v>
      </c>
      <c r="M1100">
        <v>143.3</v>
      </c>
      <c r="N1100">
        <v>82</v>
      </c>
      <c r="O1100">
        <v>6.45</v>
      </c>
      <c r="P1100">
        <v>13</v>
      </c>
      <c r="Q1100">
        <v>4</v>
      </c>
      <c r="R1100">
        <v>3.51</v>
      </c>
      <c r="S1100">
        <v>1</v>
      </c>
      <c r="T1100" t="b">
        <v>0</v>
      </c>
    </row>
    <row r="1101" spans="1:20">
      <c r="A1101" t="s">
        <v>91</v>
      </c>
      <c r="B1101">
        <v>140</v>
      </c>
      <c r="C1101">
        <v>415</v>
      </c>
      <c r="D1101" t="s">
        <v>63</v>
      </c>
      <c r="E1101" t="s">
        <v>63</v>
      </c>
      <c r="F1101">
        <v>27</v>
      </c>
      <c r="G1101">
        <v>188.9</v>
      </c>
      <c r="H1101">
        <v>124</v>
      </c>
      <c r="I1101">
        <v>32.11</v>
      </c>
      <c r="J1101">
        <v>160.9</v>
      </c>
      <c r="K1101">
        <v>102</v>
      </c>
      <c r="L1101">
        <v>13.68</v>
      </c>
      <c r="M1101">
        <v>197.7</v>
      </c>
      <c r="N1101">
        <v>100</v>
      </c>
      <c r="O1101">
        <v>8.9</v>
      </c>
      <c r="P1101">
        <v>11.5</v>
      </c>
      <c r="Q1101">
        <v>5</v>
      </c>
      <c r="R1101">
        <v>3.11</v>
      </c>
      <c r="S1101">
        <v>4</v>
      </c>
      <c r="T1101" t="b">
        <v>0</v>
      </c>
    </row>
    <row r="1102" spans="1:20">
      <c r="A1102" t="s">
        <v>78</v>
      </c>
      <c r="B1102">
        <v>101</v>
      </c>
      <c r="C1102">
        <v>510</v>
      </c>
      <c r="D1102" t="s">
        <v>62</v>
      </c>
      <c r="E1102" t="s">
        <v>62</v>
      </c>
      <c r="F1102">
        <v>0</v>
      </c>
      <c r="G1102">
        <v>0</v>
      </c>
      <c r="H1102">
        <v>0</v>
      </c>
      <c r="I1102">
        <v>0</v>
      </c>
      <c r="J1102">
        <v>192.1</v>
      </c>
      <c r="K1102">
        <v>119</v>
      </c>
      <c r="L1102">
        <v>16.33</v>
      </c>
      <c r="M1102">
        <v>168.8</v>
      </c>
      <c r="N1102">
        <v>95</v>
      </c>
      <c r="O1102">
        <v>7.6</v>
      </c>
      <c r="P1102">
        <v>7.2</v>
      </c>
      <c r="Q1102">
        <v>4</v>
      </c>
      <c r="R1102">
        <v>1.94</v>
      </c>
      <c r="S1102">
        <v>1</v>
      </c>
      <c r="T1102" t="b">
        <v>0</v>
      </c>
    </row>
    <row r="1103" spans="1:20">
      <c r="A1103" t="s">
        <v>80</v>
      </c>
      <c r="B1103">
        <v>98</v>
      </c>
      <c r="C1103">
        <v>408</v>
      </c>
      <c r="D1103" t="s">
        <v>62</v>
      </c>
      <c r="E1103" t="s">
        <v>63</v>
      </c>
      <c r="F1103">
        <v>19</v>
      </c>
      <c r="G1103">
        <v>110.5</v>
      </c>
      <c r="H1103">
        <v>87</v>
      </c>
      <c r="I1103">
        <v>18.79</v>
      </c>
      <c r="J1103">
        <v>227.8</v>
      </c>
      <c r="K1103">
        <v>97</v>
      </c>
      <c r="L1103">
        <v>19.36</v>
      </c>
      <c r="M1103">
        <v>243.6</v>
      </c>
      <c r="N1103">
        <v>84</v>
      </c>
      <c r="O1103">
        <v>10.96</v>
      </c>
      <c r="P1103">
        <v>11</v>
      </c>
      <c r="Q1103">
        <v>4</v>
      </c>
      <c r="R1103">
        <v>2.97</v>
      </c>
      <c r="S1103">
        <v>1</v>
      </c>
      <c r="T1103" t="b">
        <v>0</v>
      </c>
    </row>
    <row r="1104" spans="1:20">
      <c r="A1104" t="s">
        <v>83</v>
      </c>
      <c r="B1104">
        <v>104</v>
      </c>
      <c r="C1104">
        <v>408</v>
      </c>
      <c r="D1104" t="s">
        <v>62</v>
      </c>
      <c r="E1104" t="s">
        <v>62</v>
      </c>
      <c r="F1104">
        <v>0</v>
      </c>
      <c r="G1104">
        <v>167.6</v>
      </c>
      <c r="H1104">
        <v>116</v>
      </c>
      <c r="I1104">
        <v>28.49</v>
      </c>
      <c r="J1104">
        <v>219.2</v>
      </c>
      <c r="K1104">
        <v>112</v>
      </c>
      <c r="L1104">
        <v>18.63</v>
      </c>
      <c r="M1104">
        <v>215.9</v>
      </c>
      <c r="N1104">
        <v>94</v>
      </c>
      <c r="O1104">
        <v>9.72</v>
      </c>
      <c r="P1104">
        <v>11.7</v>
      </c>
      <c r="Q1104">
        <v>2</v>
      </c>
      <c r="R1104">
        <v>3.16</v>
      </c>
      <c r="S1104">
        <v>4</v>
      </c>
      <c r="T1104" t="b">
        <v>0</v>
      </c>
    </row>
    <row r="1105" spans="1:20">
      <c r="A1105" t="s">
        <v>79</v>
      </c>
      <c r="B1105">
        <v>115</v>
      </c>
      <c r="C1105">
        <v>415</v>
      </c>
      <c r="D1105" t="s">
        <v>62</v>
      </c>
      <c r="E1105" t="s">
        <v>62</v>
      </c>
      <c r="F1105">
        <v>0</v>
      </c>
      <c r="G1105">
        <v>132</v>
      </c>
      <c r="H1105">
        <v>90</v>
      </c>
      <c r="I1105">
        <v>22.44</v>
      </c>
      <c r="J1105">
        <v>197.5</v>
      </c>
      <c r="K1105">
        <v>75</v>
      </c>
      <c r="L1105">
        <v>16.79</v>
      </c>
      <c r="M1105">
        <v>175.8</v>
      </c>
      <c r="N1105">
        <v>114</v>
      </c>
      <c r="O1105">
        <v>7.91</v>
      </c>
      <c r="P1105">
        <v>0</v>
      </c>
      <c r="Q1105">
        <v>0</v>
      </c>
      <c r="R1105">
        <v>0</v>
      </c>
      <c r="S1105">
        <v>3</v>
      </c>
      <c r="T1105" t="b">
        <v>0</v>
      </c>
    </row>
    <row r="1106" spans="1:20">
      <c r="A1106" t="s">
        <v>84</v>
      </c>
      <c r="B1106">
        <v>70</v>
      </c>
      <c r="C1106">
        <v>415</v>
      </c>
      <c r="D1106" t="s">
        <v>62</v>
      </c>
      <c r="E1106" t="s">
        <v>62</v>
      </c>
      <c r="F1106">
        <v>0</v>
      </c>
      <c r="G1106">
        <v>213.4</v>
      </c>
      <c r="H1106">
        <v>86</v>
      </c>
      <c r="I1106">
        <v>36.28</v>
      </c>
      <c r="J1106">
        <v>204.7</v>
      </c>
      <c r="K1106">
        <v>77</v>
      </c>
      <c r="L1106">
        <v>17.4</v>
      </c>
      <c r="M1106">
        <v>256.6</v>
      </c>
      <c r="N1106">
        <v>101</v>
      </c>
      <c r="O1106">
        <v>11.55</v>
      </c>
      <c r="P1106">
        <v>5.7</v>
      </c>
      <c r="Q1106">
        <v>4</v>
      </c>
      <c r="R1106">
        <v>1.54</v>
      </c>
      <c r="S1106">
        <v>1</v>
      </c>
      <c r="T1106" t="b">
        <v>0</v>
      </c>
    </row>
    <row r="1107" spans="1:20">
      <c r="A1107" t="s">
        <v>107</v>
      </c>
      <c r="B1107">
        <v>126</v>
      </c>
      <c r="C1107">
        <v>510</v>
      </c>
      <c r="D1107" t="s">
        <v>62</v>
      </c>
      <c r="E1107" t="s">
        <v>62</v>
      </c>
      <c r="F1107">
        <v>0</v>
      </c>
      <c r="G1107">
        <v>175.4</v>
      </c>
      <c r="H1107">
        <v>120</v>
      </c>
      <c r="I1107">
        <v>29.82</v>
      </c>
      <c r="J1107">
        <v>98.3</v>
      </c>
      <c r="K1107">
        <v>71</v>
      </c>
      <c r="L1107">
        <v>8.36</v>
      </c>
      <c r="M1107">
        <v>201.9</v>
      </c>
      <c r="N1107">
        <v>93</v>
      </c>
      <c r="O1107">
        <v>9.09</v>
      </c>
      <c r="P1107">
        <v>10.6</v>
      </c>
      <c r="Q1107">
        <v>1</v>
      </c>
      <c r="R1107">
        <v>2.86</v>
      </c>
      <c r="S1107">
        <v>0</v>
      </c>
      <c r="T1107" t="b">
        <v>0</v>
      </c>
    </row>
    <row r="1108" spans="1:20">
      <c r="A1108" t="s">
        <v>104</v>
      </c>
      <c r="B1108">
        <v>87</v>
      </c>
      <c r="C1108">
        <v>510</v>
      </c>
      <c r="D1108" t="s">
        <v>62</v>
      </c>
      <c r="E1108" t="s">
        <v>63</v>
      </c>
      <c r="F1108">
        <v>39</v>
      </c>
      <c r="G1108">
        <v>82.6</v>
      </c>
      <c r="H1108">
        <v>113</v>
      </c>
      <c r="I1108">
        <v>14.04</v>
      </c>
      <c r="J1108">
        <v>224.4</v>
      </c>
      <c r="K1108">
        <v>63</v>
      </c>
      <c r="L1108">
        <v>19.07</v>
      </c>
      <c r="M1108">
        <v>163.6</v>
      </c>
      <c r="N1108">
        <v>88</v>
      </c>
      <c r="O1108">
        <v>7.36</v>
      </c>
      <c r="P1108">
        <v>9.5</v>
      </c>
      <c r="Q1108">
        <v>1</v>
      </c>
      <c r="R1108">
        <v>2.57</v>
      </c>
      <c r="S1108">
        <v>3</v>
      </c>
      <c r="T1108" t="b">
        <v>0</v>
      </c>
    </row>
    <row r="1109" spans="1:20">
      <c r="A1109" t="s">
        <v>69</v>
      </c>
      <c r="B1109">
        <v>86</v>
      </c>
      <c r="C1109">
        <v>415</v>
      </c>
      <c r="D1109" t="s">
        <v>62</v>
      </c>
      <c r="E1109" t="s">
        <v>62</v>
      </c>
      <c r="F1109">
        <v>0</v>
      </c>
      <c r="G1109">
        <v>125.5</v>
      </c>
      <c r="H1109">
        <v>139</v>
      </c>
      <c r="I1109">
        <v>21.34</v>
      </c>
      <c r="J1109">
        <v>269.8</v>
      </c>
      <c r="K1109">
        <v>93</v>
      </c>
      <c r="L1109">
        <v>22.93</v>
      </c>
      <c r="M1109">
        <v>235.8</v>
      </c>
      <c r="N1109">
        <v>110</v>
      </c>
      <c r="O1109">
        <v>10.61</v>
      </c>
      <c r="P1109">
        <v>8.9</v>
      </c>
      <c r="Q1109">
        <v>8</v>
      </c>
      <c r="R1109">
        <v>2.4</v>
      </c>
      <c r="S1109">
        <v>1</v>
      </c>
      <c r="T1109" t="b">
        <v>0</v>
      </c>
    </row>
    <row r="1110" spans="1:20">
      <c r="A1110" t="s">
        <v>65</v>
      </c>
      <c r="B1110">
        <v>1</v>
      </c>
      <c r="C1110">
        <v>415</v>
      </c>
      <c r="D1110" t="s">
        <v>62</v>
      </c>
      <c r="E1110" t="s">
        <v>63</v>
      </c>
      <c r="F1110">
        <v>30</v>
      </c>
      <c r="G1110">
        <v>183.1</v>
      </c>
      <c r="H1110">
        <v>95</v>
      </c>
      <c r="I1110">
        <v>31.13</v>
      </c>
      <c r="J1110">
        <v>232.6</v>
      </c>
      <c r="K1110">
        <v>110</v>
      </c>
      <c r="L1110">
        <v>19.77</v>
      </c>
      <c r="M1110">
        <v>248.3</v>
      </c>
      <c r="N1110">
        <v>110</v>
      </c>
      <c r="O1110">
        <v>11.17</v>
      </c>
      <c r="P1110">
        <v>8.4</v>
      </c>
      <c r="Q1110">
        <v>2</v>
      </c>
      <c r="R1110">
        <v>2.27</v>
      </c>
      <c r="S1110">
        <v>0</v>
      </c>
      <c r="T1110" t="b">
        <v>0</v>
      </c>
    </row>
    <row r="1111" spans="1:20">
      <c r="A1111" t="s">
        <v>87</v>
      </c>
      <c r="B1111">
        <v>133</v>
      </c>
      <c r="C1111">
        <v>408</v>
      </c>
      <c r="D1111" t="s">
        <v>62</v>
      </c>
      <c r="E1111" t="s">
        <v>62</v>
      </c>
      <c r="F1111">
        <v>0</v>
      </c>
      <c r="G1111">
        <v>162.1</v>
      </c>
      <c r="H1111">
        <v>91</v>
      </c>
      <c r="I1111">
        <v>27.56</v>
      </c>
      <c r="J1111">
        <v>212.1</v>
      </c>
      <c r="K1111">
        <v>94</v>
      </c>
      <c r="L1111">
        <v>18.03</v>
      </c>
      <c r="M1111">
        <v>260.4</v>
      </c>
      <c r="N1111">
        <v>78</v>
      </c>
      <c r="O1111">
        <v>11.72</v>
      </c>
      <c r="P1111">
        <v>12.2</v>
      </c>
      <c r="Q1111">
        <v>5</v>
      </c>
      <c r="R1111">
        <v>3.29</v>
      </c>
      <c r="S1111">
        <v>1</v>
      </c>
      <c r="T1111" t="b">
        <v>0</v>
      </c>
    </row>
    <row r="1112" spans="1:20">
      <c r="A1112" t="s">
        <v>100</v>
      </c>
      <c r="B1112">
        <v>103</v>
      </c>
      <c r="C1112">
        <v>510</v>
      </c>
      <c r="D1112" t="s">
        <v>62</v>
      </c>
      <c r="E1112" t="s">
        <v>62</v>
      </c>
      <c r="F1112">
        <v>0</v>
      </c>
      <c r="G1112">
        <v>166.6</v>
      </c>
      <c r="H1112">
        <v>84</v>
      </c>
      <c r="I1112">
        <v>28.32</v>
      </c>
      <c r="J1112">
        <v>192.4</v>
      </c>
      <c r="K1112">
        <v>91</v>
      </c>
      <c r="L1112">
        <v>16.35</v>
      </c>
      <c r="M1112">
        <v>167.9</v>
      </c>
      <c r="N1112">
        <v>115</v>
      </c>
      <c r="O1112">
        <v>7.56</v>
      </c>
      <c r="P1112">
        <v>7.7</v>
      </c>
      <c r="Q1112">
        <v>6</v>
      </c>
      <c r="R1112">
        <v>2.08</v>
      </c>
      <c r="S1112">
        <v>1</v>
      </c>
      <c r="T1112" t="b">
        <v>0</v>
      </c>
    </row>
    <row r="1113" spans="1:20">
      <c r="A1113" t="s">
        <v>76</v>
      </c>
      <c r="B1113">
        <v>131</v>
      </c>
      <c r="C1113">
        <v>415</v>
      </c>
      <c r="D1113" t="s">
        <v>62</v>
      </c>
      <c r="E1113" t="s">
        <v>63</v>
      </c>
      <c r="F1113">
        <v>24</v>
      </c>
      <c r="G1113">
        <v>135.9</v>
      </c>
      <c r="H1113">
        <v>60</v>
      </c>
      <c r="I1113">
        <v>23.1</v>
      </c>
      <c r="J1113">
        <v>233.2</v>
      </c>
      <c r="K1113">
        <v>78</v>
      </c>
      <c r="L1113">
        <v>19.82</v>
      </c>
      <c r="M1113">
        <v>210.6</v>
      </c>
      <c r="N1113">
        <v>121</v>
      </c>
      <c r="O1113">
        <v>9.48</v>
      </c>
      <c r="P1113">
        <v>9.4</v>
      </c>
      <c r="Q1113">
        <v>4</v>
      </c>
      <c r="R1113">
        <v>2.54</v>
      </c>
      <c r="S1113">
        <v>1</v>
      </c>
      <c r="T1113" t="b">
        <v>0</v>
      </c>
    </row>
    <row r="1114" spans="1:20">
      <c r="A1114" t="s">
        <v>88</v>
      </c>
      <c r="B1114">
        <v>99</v>
      </c>
      <c r="C1114">
        <v>510</v>
      </c>
      <c r="D1114" t="s">
        <v>62</v>
      </c>
      <c r="E1114" t="s">
        <v>62</v>
      </c>
      <c r="F1114">
        <v>0</v>
      </c>
      <c r="G1114">
        <v>142.3</v>
      </c>
      <c r="H1114">
        <v>89</v>
      </c>
      <c r="I1114">
        <v>24.19</v>
      </c>
      <c r="J1114">
        <v>204.5</v>
      </c>
      <c r="K1114">
        <v>95</v>
      </c>
      <c r="L1114">
        <v>17.38</v>
      </c>
      <c r="M1114">
        <v>203.1</v>
      </c>
      <c r="N1114">
        <v>114</v>
      </c>
      <c r="O1114">
        <v>9.14</v>
      </c>
      <c r="P1114">
        <v>9.1</v>
      </c>
      <c r="Q1114">
        <v>1</v>
      </c>
      <c r="R1114">
        <v>2.46</v>
      </c>
      <c r="S1114">
        <v>0</v>
      </c>
      <c r="T1114" t="b">
        <v>0</v>
      </c>
    </row>
    <row r="1115" spans="1:20">
      <c r="A1115" t="s">
        <v>104</v>
      </c>
      <c r="B1115">
        <v>27</v>
      </c>
      <c r="C1115">
        <v>510</v>
      </c>
      <c r="D1115" t="s">
        <v>62</v>
      </c>
      <c r="E1115" t="s">
        <v>62</v>
      </c>
      <c r="F1115">
        <v>0</v>
      </c>
      <c r="G1115">
        <v>177.6</v>
      </c>
      <c r="H1115">
        <v>121</v>
      </c>
      <c r="I1115">
        <v>30.19</v>
      </c>
      <c r="J1115">
        <v>296.8</v>
      </c>
      <c r="K1115">
        <v>92</v>
      </c>
      <c r="L1115">
        <v>25.23</v>
      </c>
      <c r="M1115">
        <v>192.9</v>
      </c>
      <c r="N1115">
        <v>106</v>
      </c>
      <c r="O1115">
        <v>8.68</v>
      </c>
      <c r="P1115">
        <v>7.6</v>
      </c>
      <c r="Q1115">
        <v>3</v>
      </c>
      <c r="R1115">
        <v>2.05</v>
      </c>
      <c r="S1115">
        <v>3</v>
      </c>
      <c r="T1115" t="b">
        <v>0</v>
      </c>
    </row>
    <row r="1116" spans="1:20">
      <c r="A1116" t="s">
        <v>90</v>
      </c>
      <c r="B1116">
        <v>141</v>
      </c>
      <c r="C1116">
        <v>408</v>
      </c>
      <c r="D1116" t="s">
        <v>62</v>
      </c>
      <c r="E1116" t="s">
        <v>62</v>
      </c>
      <c r="F1116">
        <v>0</v>
      </c>
      <c r="G1116">
        <v>83.2</v>
      </c>
      <c r="H1116">
        <v>74</v>
      </c>
      <c r="I1116">
        <v>14.14</v>
      </c>
      <c r="J1116">
        <v>190.6</v>
      </c>
      <c r="K1116">
        <v>104</v>
      </c>
      <c r="L1116">
        <v>16.2</v>
      </c>
      <c r="M1116">
        <v>150.5</v>
      </c>
      <c r="N1116">
        <v>79</v>
      </c>
      <c r="O1116">
        <v>6.77</v>
      </c>
      <c r="P1116">
        <v>10.7</v>
      </c>
      <c r="Q1116">
        <v>7</v>
      </c>
      <c r="R1116">
        <v>2.89</v>
      </c>
      <c r="S1116">
        <v>1</v>
      </c>
      <c r="T1116" t="b">
        <v>0</v>
      </c>
    </row>
    <row r="1117" spans="1:20">
      <c r="A1117" t="s">
        <v>64</v>
      </c>
      <c r="B1117">
        <v>29</v>
      </c>
      <c r="C1117">
        <v>415</v>
      </c>
      <c r="D1117" t="s">
        <v>63</v>
      </c>
      <c r="E1117" t="s">
        <v>63</v>
      </c>
      <c r="F1117">
        <v>37</v>
      </c>
      <c r="G1117">
        <v>235</v>
      </c>
      <c r="H1117">
        <v>101</v>
      </c>
      <c r="I1117">
        <v>39.95</v>
      </c>
      <c r="J1117">
        <v>183.3</v>
      </c>
      <c r="K1117">
        <v>79</v>
      </c>
      <c r="L1117">
        <v>15.58</v>
      </c>
      <c r="M1117">
        <v>139.8</v>
      </c>
      <c r="N1117">
        <v>106</v>
      </c>
      <c r="O1117">
        <v>6.29</v>
      </c>
      <c r="P1117">
        <v>5.7</v>
      </c>
      <c r="Q1117">
        <v>7</v>
      </c>
      <c r="R1117">
        <v>1.54</v>
      </c>
      <c r="S1117">
        <v>2</v>
      </c>
      <c r="T1117" t="b">
        <v>0</v>
      </c>
    </row>
    <row r="1118" spans="1:20">
      <c r="A1118" t="s">
        <v>103</v>
      </c>
      <c r="B1118">
        <v>65</v>
      </c>
      <c r="C1118">
        <v>415</v>
      </c>
      <c r="D1118" t="s">
        <v>62</v>
      </c>
      <c r="E1118" t="s">
        <v>62</v>
      </c>
      <c r="F1118">
        <v>0</v>
      </c>
      <c r="G1118">
        <v>105.7</v>
      </c>
      <c r="H1118">
        <v>95</v>
      </c>
      <c r="I1118">
        <v>17.97</v>
      </c>
      <c r="J1118">
        <v>141.8</v>
      </c>
      <c r="K1118">
        <v>100</v>
      </c>
      <c r="L1118">
        <v>12.05</v>
      </c>
      <c r="M1118">
        <v>180.5</v>
      </c>
      <c r="N1118">
        <v>105</v>
      </c>
      <c r="O1118">
        <v>8.12</v>
      </c>
      <c r="P1118">
        <v>6.6</v>
      </c>
      <c r="Q1118">
        <v>12</v>
      </c>
      <c r="R1118">
        <v>1.78</v>
      </c>
      <c r="S1118">
        <v>2</v>
      </c>
      <c r="T1118" t="b">
        <v>0</v>
      </c>
    </row>
    <row r="1119" spans="1:20">
      <c r="A1119" t="s">
        <v>110</v>
      </c>
      <c r="B1119">
        <v>81</v>
      </c>
      <c r="C1119">
        <v>415</v>
      </c>
      <c r="D1119" t="s">
        <v>63</v>
      </c>
      <c r="E1119" t="s">
        <v>62</v>
      </c>
      <c r="F1119">
        <v>0</v>
      </c>
      <c r="G1119">
        <v>149.4</v>
      </c>
      <c r="H1119">
        <v>68</v>
      </c>
      <c r="I1119">
        <v>25.4</v>
      </c>
      <c r="J1119">
        <v>171.9</v>
      </c>
      <c r="K1119">
        <v>98</v>
      </c>
      <c r="L1119">
        <v>14.61</v>
      </c>
      <c r="M1119">
        <v>214.5</v>
      </c>
      <c r="N1119">
        <v>97</v>
      </c>
      <c r="O1119">
        <v>9.65</v>
      </c>
      <c r="P1119">
        <v>17.9</v>
      </c>
      <c r="Q1119">
        <v>3</v>
      </c>
      <c r="R1119">
        <v>4.83</v>
      </c>
      <c r="S1119">
        <v>3</v>
      </c>
      <c r="T1119" t="b">
        <v>1</v>
      </c>
    </row>
    <row r="1120" spans="1:20">
      <c r="A1120" t="s">
        <v>102</v>
      </c>
      <c r="B1120">
        <v>37</v>
      </c>
      <c r="C1120">
        <v>415</v>
      </c>
      <c r="D1120" t="s">
        <v>62</v>
      </c>
      <c r="E1120" t="s">
        <v>63</v>
      </c>
      <c r="F1120">
        <v>20</v>
      </c>
      <c r="G1120">
        <v>264.7</v>
      </c>
      <c r="H1120">
        <v>81</v>
      </c>
      <c r="I1120">
        <v>45</v>
      </c>
      <c r="J1120">
        <v>216.5</v>
      </c>
      <c r="K1120">
        <v>110</v>
      </c>
      <c r="L1120">
        <v>18.4</v>
      </c>
      <c r="M1120">
        <v>210.7</v>
      </c>
      <c r="N1120">
        <v>102</v>
      </c>
      <c r="O1120">
        <v>9.48</v>
      </c>
      <c r="P1120">
        <v>10.4</v>
      </c>
      <c r="Q1120">
        <v>7</v>
      </c>
      <c r="R1120">
        <v>2.81</v>
      </c>
      <c r="S1120">
        <v>0</v>
      </c>
      <c r="T1120" t="b">
        <v>0</v>
      </c>
    </row>
    <row r="1121" spans="1:20">
      <c r="A1121" t="s">
        <v>85</v>
      </c>
      <c r="B1121">
        <v>107</v>
      </c>
      <c r="C1121">
        <v>510</v>
      </c>
      <c r="D1121" t="s">
        <v>62</v>
      </c>
      <c r="E1121" t="s">
        <v>63</v>
      </c>
      <c r="F1121">
        <v>31</v>
      </c>
      <c r="G1121">
        <v>160.3</v>
      </c>
      <c r="H1121">
        <v>45</v>
      </c>
      <c r="I1121">
        <v>27.25</v>
      </c>
      <c r="J1121">
        <v>221.5</v>
      </c>
      <c r="K1121">
        <v>70</v>
      </c>
      <c r="L1121">
        <v>18.83</v>
      </c>
      <c r="M1121">
        <v>261.6</v>
      </c>
      <c r="N1121">
        <v>109</v>
      </c>
      <c r="O1121">
        <v>11.77</v>
      </c>
      <c r="P1121">
        <v>5.6</v>
      </c>
      <c r="Q1121">
        <v>1</v>
      </c>
      <c r="R1121">
        <v>1.51</v>
      </c>
      <c r="S1121">
        <v>1</v>
      </c>
      <c r="T1121" t="b">
        <v>0</v>
      </c>
    </row>
    <row r="1122" spans="1:20">
      <c r="A1122" t="s">
        <v>85</v>
      </c>
      <c r="B1122">
        <v>127</v>
      </c>
      <c r="C1122">
        <v>415</v>
      </c>
      <c r="D1122" t="s">
        <v>63</v>
      </c>
      <c r="E1122" t="s">
        <v>63</v>
      </c>
      <c r="F1122">
        <v>28</v>
      </c>
      <c r="G1122">
        <v>95.9</v>
      </c>
      <c r="H1122">
        <v>117</v>
      </c>
      <c r="I1122">
        <v>16.3</v>
      </c>
      <c r="J1122">
        <v>159.5</v>
      </c>
      <c r="K1122">
        <v>131</v>
      </c>
      <c r="L1122">
        <v>13.56</v>
      </c>
      <c r="M1122">
        <v>152.8</v>
      </c>
      <c r="N1122">
        <v>132</v>
      </c>
      <c r="O1122">
        <v>6.88</v>
      </c>
      <c r="P1122">
        <v>10.4</v>
      </c>
      <c r="Q1122">
        <v>3</v>
      </c>
      <c r="R1122">
        <v>2.81</v>
      </c>
      <c r="S1122">
        <v>1</v>
      </c>
      <c r="T1122" t="b">
        <v>0</v>
      </c>
    </row>
    <row r="1123" spans="1:20">
      <c r="A1123" t="s">
        <v>101</v>
      </c>
      <c r="B1123">
        <v>78</v>
      </c>
      <c r="C1123">
        <v>408</v>
      </c>
      <c r="D1123" t="s">
        <v>62</v>
      </c>
      <c r="E1123" t="s">
        <v>62</v>
      </c>
      <c r="F1123">
        <v>0</v>
      </c>
      <c r="G1123">
        <v>140.7</v>
      </c>
      <c r="H1123">
        <v>77</v>
      </c>
      <c r="I1123">
        <v>23.92</v>
      </c>
      <c r="J1123">
        <v>195.2</v>
      </c>
      <c r="K1123">
        <v>114</v>
      </c>
      <c r="L1123">
        <v>16.59</v>
      </c>
      <c r="M1123">
        <v>252.9</v>
      </c>
      <c r="N1123">
        <v>107</v>
      </c>
      <c r="O1123">
        <v>11.38</v>
      </c>
      <c r="P1123">
        <v>11.7</v>
      </c>
      <c r="Q1123">
        <v>5</v>
      </c>
      <c r="R1123">
        <v>3.16</v>
      </c>
      <c r="S1123">
        <v>0</v>
      </c>
      <c r="T1123" t="b">
        <v>0</v>
      </c>
    </row>
    <row r="1124" spans="1:20">
      <c r="A1124" t="s">
        <v>73</v>
      </c>
      <c r="B1124">
        <v>176</v>
      </c>
      <c r="C1124">
        <v>415</v>
      </c>
      <c r="D1124" t="s">
        <v>62</v>
      </c>
      <c r="E1124" t="s">
        <v>62</v>
      </c>
      <c r="F1124">
        <v>0</v>
      </c>
      <c r="G1124">
        <v>250.9</v>
      </c>
      <c r="H1124">
        <v>108</v>
      </c>
      <c r="I1124">
        <v>42.65</v>
      </c>
      <c r="J1124">
        <v>171.4</v>
      </c>
      <c r="K1124">
        <v>100</v>
      </c>
      <c r="L1124">
        <v>14.57</v>
      </c>
      <c r="M1124">
        <v>148.6</v>
      </c>
      <c r="N1124">
        <v>85</v>
      </c>
      <c r="O1124">
        <v>6.69</v>
      </c>
      <c r="P1124">
        <v>9.6</v>
      </c>
      <c r="Q1124">
        <v>6</v>
      </c>
      <c r="R1124">
        <v>2.59</v>
      </c>
      <c r="S1124">
        <v>2</v>
      </c>
      <c r="T1124" t="b">
        <v>0</v>
      </c>
    </row>
    <row r="1125" spans="1:20">
      <c r="A1125" t="s">
        <v>67</v>
      </c>
      <c r="B1125">
        <v>96</v>
      </c>
      <c r="C1125">
        <v>415</v>
      </c>
      <c r="D1125" t="s">
        <v>63</v>
      </c>
      <c r="E1125" t="s">
        <v>62</v>
      </c>
      <c r="F1125">
        <v>0</v>
      </c>
      <c r="G1125">
        <v>200.6</v>
      </c>
      <c r="H1125">
        <v>117</v>
      </c>
      <c r="I1125">
        <v>34.1</v>
      </c>
      <c r="J1125">
        <v>289.5</v>
      </c>
      <c r="K1125">
        <v>120</v>
      </c>
      <c r="L1125">
        <v>24.61</v>
      </c>
      <c r="M1125">
        <v>98.3</v>
      </c>
      <c r="N1125">
        <v>95</v>
      </c>
      <c r="O1125">
        <v>4.42</v>
      </c>
      <c r="P1125">
        <v>11.2</v>
      </c>
      <c r="Q1125">
        <v>5</v>
      </c>
      <c r="R1125">
        <v>3.02</v>
      </c>
      <c r="S1125">
        <v>2</v>
      </c>
      <c r="T1125" t="b">
        <v>0</v>
      </c>
    </row>
    <row r="1126" spans="1:20">
      <c r="A1126" t="s">
        <v>71</v>
      </c>
      <c r="B1126">
        <v>11</v>
      </c>
      <c r="C1126">
        <v>510</v>
      </c>
      <c r="D1126" t="s">
        <v>62</v>
      </c>
      <c r="E1126" t="s">
        <v>63</v>
      </c>
      <c r="F1126">
        <v>38</v>
      </c>
      <c r="G1126">
        <v>209.8</v>
      </c>
      <c r="H1126">
        <v>130</v>
      </c>
      <c r="I1126">
        <v>35.67</v>
      </c>
      <c r="J1126">
        <v>196.6</v>
      </c>
      <c r="K1126">
        <v>84</v>
      </c>
      <c r="L1126">
        <v>16.71</v>
      </c>
      <c r="M1126">
        <v>233</v>
      </c>
      <c r="N1126">
        <v>79</v>
      </c>
      <c r="O1126">
        <v>10.49</v>
      </c>
      <c r="P1126">
        <v>7</v>
      </c>
      <c r="Q1126">
        <v>7</v>
      </c>
      <c r="R1126">
        <v>1.89</v>
      </c>
      <c r="S1126">
        <v>1</v>
      </c>
      <c r="T1126" t="b">
        <v>0</v>
      </c>
    </row>
    <row r="1127" spans="1:20">
      <c r="A1127" t="s">
        <v>71</v>
      </c>
      <c r="B1127">
        <v>48</v>
      </c>
      <c r="C1127">
        <v>415</v>
      </c>
      <c r="D1127" t="s">
        <v>62</v>
      </c>
      <c r="E1127" t="s">
        <v>63</v>
      </c>
      <c r="F1127">
        <v>34</v>
      </c>
      <c r="G1127">
        <v>198</v>
      </c>
      <c r="H1127">
        <v>70</v>
      </c>
      <c r="I1127">
        <v>33.66</v>
      </c>
      <c r="J1127">
        <v>273.7</v>
      </c>
      <c r="K1127">
        <v>121</v>
      </c>
      <c r="L1127">
        <v>23.26</v>
      </c>
      <c r="M1127">
        <v>217.9</v>
      </c>
      <c r="N1127">
        <v>71</v>
      </c>
      <c r="O1127">
        <v>9.81</v>
      </c>
      <c r="P1127">
        <v>7.6</v>
      </c>
      <c r="Q1127">
        <v>4</v>
      </c>
      <c r="R1127">
        <v>2.05</v>
      </c>
      <c r="S1127">
        <v>1</v>
      </c>
      <c r="T1127" t="b">
        <v>0</v>
      </c>
    </row>
    <row r="1128" spans="1:20">
      <c r="A1128" t="s">
        <v>97</v>
      </c>
      <c r="B1128">
        <v>47</v>
      </c>
      <c r="C1128">
        <v>408</v>
      </c>
      <c r="D1128" t="s">
        <v>62</v>
      </c>
      <c r="E1128" t="s">
        <v>63</v>
      </c>
      <c r="F1128">
        <v>37</v>
      </c>
      <c r="G1128">
        <v>112.8</v>
      </c>
      <c r="H1128">
        <v>150</v>
      </c>
      <c r="I1128">
        <v>19.18</v>
      </c>
      <c r="J1128">
        <v>243.9</v>
      </c>
      <c r="K1128">
        <v>97</v>
      </c>
      <c r="L1128">
        <v>20.73</v>
      </c>
      <c r="M1128">
        <v>178.7</v>
      </c>
      <c r="N1128">
        <v>112</v>
      </c>
      <c r="O1128">
        <v>8.04</v>
      </c>
      <c r="P1128">
        <v>13.2</v>
      </c>
      <c r="Q1128">
        <v>6</v>
      </c>
      <c r="R1128">
        <v>3.56</v>
      </c>
      <c r="S1128">
        <v>2</v>
      </c>
      <c r="T1128" t="b">
        <v>0</v>
      </c>
    </row>
    <row r="1129" spans="1:20">
      <c r="A1129" t="s">
        <v>86</v>
      </c>
      <c r="B1129">
        <v>89</v>
      </c>
      <c r="C1129">
        <v>415</v>
      </c>
      <c r="D1129" t="s">
        <v>63</v>
      </c>
      <c r="E1129" t="s">
        <v>63</v>
      </c>
      <c r="F1129">
        <v>19</v>
      </c>
      <c r="G1129">
        <v>112.6</v>
      </c>
      <c r="H1129">
        <v>114</v>
      </c>
      <c r="I1129">
        <v>19.14</v>
      </c>
      <c r="J1129">
        <v>261.7</v>
      </c>
      <c r="K1129">
        <v>132</v>
      </c>
      <c r="L1129">
        <v>22.24</v>
      </c>
      <c r="M1129">
        <v>123.5</v>
      </c>
      <c r="N1129">
        <v>116</v>
      </c>
      <c r="O1129">
        <v>5.56</v>
      </c>
      <c r="P1129">
        <v>11.1</v>
      </c>
      <c r="Q1129">
        <v>2</v>
      </c>
      <c r="R1129">
        <v>3</v>
      </c>
      <c r="S1129">
        <v>0</v>
      </c>
      <c r="T1129" t="b">
        <v>1</v>
      </c>
    </row>
    <row r="1130" spans="1:20">
      <c r="A1130" t="s">
        <v>110</v>
      </c>
      <c r="B1130">
        <v>83</v>
      </c>
      <c r="C1130">
        <v>510</v>
      </c>
      <c r="D1130" t="s">
        <v>62</v>
      </c>
      <c r="E1130" t="s">
        <v>63</v>
      </c>
      <c r="F1130">
        <v>26</v>
      </c>
      <c r="G1130">
        <v>226.4</v>
      </c>
      <c r="H1130">
        <v>117</v>
      </c>
      <c r="I1130">
        <v>38.49</v>
      </c>
      <c r="J1130">
        <v>234.7</v>
      </c>
      <c r="K1130">
        <v>97</v>
      </c>
      <c r="L1130">
        <v>19.95</v>
      </c>
      <c r="M1130">
        <v>133.6</v>
      </c>
      <c r="N1130">
        <v>82</v>
      </c>
      <c r="O1130">
        <v>6.01</v>
      </c>
      <c r="P1130">
        <v>10.8</v>
      </c>
      <c r="Q1130">
        <v>7</v>
      </c>
      <c r="R1130">
        <v>2.92</v>
      </c>
      <c r="S1130">
        <v>1</v>
      </c>
      <c r="T1130" t="b">
        <v>0</v>
      </c>
    </row>
    <row r="1131" spans="1:20">
      <c r="A1131" t="s">
        <v>93</v>
      </c>
      <c r="B1131">
        <v>126</v>
      </c>
      <c r="C1131">
        <v>415</v>
      </c>
      <c r="D1131" t="s">
        <v>63</v>
      </c>
      <c r="E1131" t="s">
        <v>63</v>
      </c>
      <c r="F1131">
        <v>34</v>
      </c>
      <c r="G1131">
        <v>244.9</v>
      </c>
      <c r="H1131">
        <v>118</v>
      </c>
      <c r="I1131">
        <v>41.63</v>
      </c>
      <c r="J1131">
        <v>219.6</v>
      </c>
      <c r="K1131">
        <v>105</v>
      </c>
      <c r="L1131">
        <v>18.67</v>
      </c>
      <c r="M1131">
        <v>210.8</v>
      </c>
      <c r="N1131">
        <v>136</v>
      </c>
      <c r="O1131">
        <v>9.49</v>
      </c>
      <c r="P1131">
        <v>9.7</v>
      </c>
      <c r="Q1131">
        <v>6</v>
      </c>
      <c r="R1131">
        <v>2.62</v>
      </c>
      <c r="S1131">
        <v>4</v>
      </c>
      <c r="T1131" t="b">
        <v>0</v>
      </c>
    </row>
    <row r="1132" spans="1:20">
      <c r="A1132" t="s">
        <v>115</v>
      </c>
      <c r="B1132">
        <v>60</v>
      </c>
      <c r="C1132">
        <v>510</v>
      </c>
      <c r="D1132" t="s">
        <v>62</v>
      </c>
      <c r="E1132" t="s">
        <v>62</v>
      </c>
      <c r="F1132">
        <v>0</v>
      </c>
      <c r="G1132">
        <v>203.2</v>
      </c>
      <c r="H1132">
        <v>99</v>
      </c>
      <c r="I1132">
        <v>34.54</v>
      </c>
      <c r="J1132">
        <v>235.8</v>
      </c>
      <c r="K1132">
        <v>131</v>
      </c>
      <c r="L1132">
        <v>20.04</v>
      </c>
      <c r="M1132">
        <v>224.9</v>
      </c>
      <c r="N1132">
        <v>112</v>
      </c>
      <c r="O1132">
        <v>10.12</v>
      </c>
      <c r="P1132">
        <v>15.1</v>
      </c>
      <c r="Q1132">
        <v>6</v>
      </c>
      <c r="R1132">
        <v>4.08</v>
      </c>
      <c r="S1132">
        <v>2</v>
      </c>
      <c r="T1132" t="b">
        <v>0</v>
      </c>
    </row>
    <row r="1133" spans="1:20">
      <c r="A1133" t="s">
        <v>78</v>
      </c>
      <c r="B1133">
        <v>122</v>
      </c>
      <c r="C1133">
        <v>415</v>
      </c>
      <c r="D1133" t="s">
        <v>62</v>
      </c>
      <c r="E1133" t="s">
        <v>62</v>
      </c>
      <c r="F1133">
        <v>0</v>
      </c>
      <c r="G1133">
        <v>136.7</v>
      </c>
      <c r="H1133">
        <v>115</v>
      </c>
      <c r="I1133">
        <v>23.24</v>
      </c>
      <c r="J1133">
        <v>243.1</v>
      </c>
      <c r="K1133">
        <v>137</v>
      </c>
      <c r="L1133">
        <v>20.66</v>
      </c>
      <c r="M1133">
        <v>188.9</v>
      </c>
      <c r="N1133">
        <v>110</v>
      </c>
      <c r="O1133">
        <v>8.5</v>
      </c>
      <c r="P1133">
        <v>8.6</v>
      </c>
      <c r="Q1133">
        <v>4</v>
      </c>
      <c r="R1133">
        <v>2.32</v>
      </c>
      <c r="S1133">
        <v>0</v>
      </c>
      <c r="T1133" t="b">
        <v>0</v>
      </c>
    </row>
    <row r="1134" spans="1:20">
      <c r="A1134" t="s">
        <v>101</v>
      </c>
      <c r="B1134">
        <v>136</v>
      </c>
      <c r="C1134">
        <v>408</v>
      </c>
      <c r="D1134" t="s">
        <v>62</v>
      </c>
      <c r="E1134" t="s">
        <v>62</v>
      </c>
      <c r="F1134">
        <v>0</v>
      </c>
      <c r="G1134">
        <v>152.6</v>
      </c>
      <c r="H1134">
        <v>97</v>
      </c>
      <c r="I1134">
        <v>25.94</v>
      </c>
      <c r="J1134">
        <v>208.9</v>
      </c>
      <c r="K1134">
        <v>85</v>
      </c>
      <c r="L1134">
        <v>17.76</v>
      </c>
      <c r="M1134">
        <v>119.1</v>
      </c>
      <c r="N1134">
        <v>99</v>
      </c>
      <c r="O1134">
        <v>5.36</v>
      </c>
      <c r="P1134">
        <v>5</v>
      </c>
      <c r="Q1134">
        <v>10</v>
      </c>
      <c r="R1134">
        <v>1.35</v>
      </c>
      <c r="S1134">
        <v>1</v>
      </c>
      <c r="T1134" t="b">
        <v>0</v>
      </c>
    </row>
    <row r="1135" spans="1:20">
      <c r="A1135" t="s">
        <v>100</v>
      </c>
      <c r="B1135">
        <v>172</v>
      </c>
      <c r="C1135">
        <v>408</v>
      </c>
      <c r="D1135" t="s">
        <v>62</v>
      </c>
      <c r="E1135" t="s">
        <v>63</v>
      </c>
      <c r="F1135">
        <v>47</v>
      </c>
      <c r="G1135">
        <v>274.9</v>
      </c>
      <c r="H1135">
        <v>102</v>
      </c>
      <c r="I1135">
        <v>46.73</v>
      </c>
      <c r="J1135">
        <v>186.6</v>
      </c>
      <c r="K1135">
        <v>118</v>
      </c>
      <c r="L1135">
        <v>15.86</v>
      </c>
      <c r="M1135">
        <v>245</v>
      </c>
      <c r="N1135">
        <v>123</v>
      </c>
      <c r="O1135">
        <v>11.03</v>
      </c>
      <c r="P1135">
        <v>8.8</v>
      </c>
      <c r="Q1135">
        <v>2</v>
      </c>
      <c r="R1135">
        <v>2.38</v>
      </c>
      <c r="S1135">
        <v>1</v>
      </c>
      <c r="T1135" t="b">
        <v>0</v>
      </c>
    </row>
    <row r="1136" spans="1:20">
      <c r="A1136" t="s">
        <v>108</v>
      </c>
      <c r="B1136">
        <v>102</v>
      </c>
      <c r="C1136">
        <v>510</v>
      </c>
      <c r="D1136" t="s">
        <v>62</v>
      </c>
      <c r="E1136" t="s">
        <v>62</v>
      </c>
      <c r="F1136">
        <v>0</v>
      </c>
      <c r="G1136">
        <v>195.7</v>
      </c>
      <c r="H1136">
        <v>116</v>
      </c>
      <c r="I1136">
        <v>33.27</v>
      </c>
      <c r="J1136">
        <v>209.1</v>
      </c>
      <c r="K1136">
        <v>87</v>
      </c>
      <c r="L1136">
        <v>17.77</v>
      </c>
      <c r="M1136">
        <v>201.1</v>
      </c>
      <c r="N1136">
        <v>73</v>
      </c>
      <c r="O1136">
        <v>9.05</v>
      </c>
      <c r="P1136">
        <v>8.3</v>
      </c>
      <c r="Q1136">
        <v>3</v>
      </c>
      <c r="R1136">
        <v>2.24</v>
      </c>
      <c r="S1136">
        <v>1</v>
      </c>
      <c r="T1136" t="b">
        <v>1</v>
      </c>
    </row>
    <row r="1137" spans="1:20">
      <c r="A1137" t="s">
        <v>99</v>
      </c>
      <c r="B1137">
        <v>113</v>
      </c>
      <c r="C1137">
        <v>415</v>
      </c>
      <c r="D1137" t="s">
        <v>63</v>
      </c>
      <c r="E1137" t="s">
        <v>62</v>
      </c>
      <c r="F1137">
        <v>0</v>
      </c>
      <c r="G1137">
        <v>204.3</v>
      </c>
      <c r="H1137">
        <v>82</v>
      </c>
      <c r="I1137">
        <v>34.73</v>
      </c>
      <c r="J1137">
        <v>188.8</v>
      </c>
      <c r="K1137">
        <v>115</v>
      </c>
      <c r="L1137">
        <v>16.05</v>
      </c>
      <c r="M1137">
        <v>139.4</v>
      </c>
      <c r="N1137">
        <v>97</v>
      </c>
      <c r="O1137">
        <v>6.27</v>
      </c>
      <c r="P1137">
        <v>9.2</v>
      </c>
      <c r="Q1137">
        <v>7</v>
      </c>
      <c r="R1137">
        <v>2.48</v>
      </c>
      <c r="S1137">
        <v>1</v>
      </c>
      <c r="T1137" t="b">
        <v>0</v>
      </c>
    </row>
    <row r="1138" spans="1:20">
      <c r="A1138" t="s">
        <v>71</v>
      </c>
      <c r="B1138">
        <v>79</v>
      </c>
      <c r="C1138">
        <v>415</v>
      </c>
      <c r="D1138" t="s">
        <v>62</v>
      </c>
      <c r="E1138" t="s">
        <v>62</v>
      </c>
      <c r="F1138">
        <v>0</v>
      </c>
      <c r="G1138">
        <v>222.3</v>
      </c>
      <c r="H1138">
        <v>99</v>
      </c>
      <c r="I1138">
        <v>37.79</v>
      </c>
      <c r="J1138">
        <v>146.2</v>
      </c>
      <c r="K1138">
        <v>82</v>
      </c>
      <c r="L1138">
        <v>12.43</v>
      </c>
      <c r="M1138">
        <v>275.6</v>
      </c>
      <c r="N1138">
        <v>82</v>
      </c>
      <c r="O1138">
        <v>12.4</v>
      </c>
      <c r="P1138">
        <v>8.9</v>
      </c>
      <c r="Q1138">
        <v>4</v>
      </c>
      <c r="R1138">
        <v>2.4</v>
      </c>
      <c r="S1138">
        <v>3</v>
      </c>
      <c r="T1138" t="b">
        <v>0</v>
      </c>
    </row>
    <row r="1139" spans="1:20">
      <c r="A1139" t="s">
        <v>77</v>
      </c>
      <c r="B1139">
        <v>55</v>
      </c>
      <c r="C1139">
        <v>510</v>
      </c>
      <c r="D1139" t="s">
        <v>62</v>
      </c>
      <c r="E1139" t="s">
        <v>63</v>
      </c>
      <c r="F1139">
        <v>8</v>
      </c>
      <c r="G1139">
        <v>222.5</v>
      </c>
      <c r="H1139">
        <v>104</v>
      </c>
      <c r="I1139">
        <v>37.83</v>
      </c>
      <c r="J1139">
        <v>171.5</v>
      </c>
      <c r="K1139">
        <v>94</v>
      </c>
      <c r="L1139">
        <v>14.58</v>
      </c>
      <c r="M1139">
        <v>377.5</v>
      </c>
      <c r="N1139">
        <v>114</v>
      </c>
      <c r="O1139">
        <v>16.99</v>
      </c>
      <c r="P1139">
        <v>9.7</v>
      </c>
      <c r="Q1139">
        <v>2</v>
      </c>
      <c r="R1139">
        <v>2.62</v>
      </c>
      <c r="S1139">
        <v>1</v>
      </c>
      <c r="T1139" t="b">
        <v>0</v>
      </c>
    </row>
    <row r="1140" spans="1:20">
      <c r="A1140" t="s">
        <v>89</v>
      </c>
      <c r="B1140">
        <v>160</v>
      </c>
      <c r="C1140">
        <v>415</v>
      </c>
      <c r="D1140" t="s">
        <v>62</v>
      </c>
      <c r="E1140" t="s">
        <v>62</v>
      </c>
      <c r="F1140">
        <v>0</v>
      </c>
      <c r="G1140">
        <v>174.3</v>
      </c>
      <c r="H1140">
        <v>105</v>
      </c>
      <c r="I1140">
        <v>29.63</v>
      </c>
      <c r="J1140">
        <v>171.3</v>
      </c>
      <c r="K1140">
        <v>107</v>
      </c>
      <c r="L1140">
        <v>14.56</v>
      </c>
      <c r="M1140">
        <v>220.8</v>
      </c>
      <c r="N1140">
        <v>131</v>
      </c>
      <c r="O1140">
        <v>9.94</v>
      </c>
      <c r="P1140">
        <v>8.3</v>
      </c>
      <c r="Q1140">
        <v>2</v>
      </c>
      <c r="R1140">
        <v>2.24</v>
      </c>
      <c r="S1140">
        <v>0</v>
      </c>
      <c r="T1140" t="b">
        <v>0</v>
      </c>
    </row>
    <row r="1141" spans="1:20">
      <c r="A1141" t="s">
        <v>81</v>
      </c>
      <c r="B1141">
        <v>110</v>
      </c>
      <c r="C1141">
        <v>415</v>
      </c>
      <c r="D1141" t="s">
        <v>62</v>
      </c>
      <c r="E1141" t="s">
        <v>62</v>
      </c>
      <c r="F1141">
        <v>0</v>
      </c>
      <c r="G1141">
        <v>242.5</v>
      </c>
      <c r="H1141">
        <v>110</v>
      </c>
      <c r="I1141">
        <v>41.23</v>
      </c>
      <c r="J1141">
        <v>162.3</v>
      </c>
      <c r="K1141">
        <v>140</v>
      </c>
      <c r="L1141">
        <v>13.8</v>
      </c>
      <c r="M1141">
        <v>184.1</v>
      </c>
      <c r="N1141">
        <v>86</v>
      </c>
      <c r="O1141">
        <v>8.28</v>
      </c>
      <c r="P1141">
        <v>7.8</v>
      </c>
      <c r="Q1141">
        <v>3</v>
      </c>
      <c r="R1141">
        <v>2.11</v>
      </c>
      <c r="S1141">
        <v>4</v>
      </c>
      <c r="T1141" t="b">
        <v>0</v>
      </c>
    </row>
    <row r="1142" spans="1:20">
      <c r="A1142" t="s">
        <v>82</v>
      </c>
      <c r="B1142">
        <v>192</v>
      </c>
      <c r="C1142">
        <v>415</v>
      </c>
      <c r="D1142" t="s">
        <v>62</v>
      </c>
      <c r="E1142" t="s">
        <v>62</v>
      </c>
      <c r="F1142">
        <v>0</v>
      </c>
      <c r="G1142">
        <v>221.6</v>
      </c>
      <c r="H1142">
        <v>101</v>
      </c>
      <c r="I1142">
        <v>37.67</v>
      </c>
      <c r="J1142">
        <v>285.2</v>
      </c>
      <c r="K1142">
        <v>50</v>
      </c>
      <c r="L1142">
        <v>24.24</v>
      </c>
      <c r="M1142">
        <v>167.4</v>
      </c>
      <c r="N1142">
        <v>83</v>
      </c>
      <c r="O1142">
        <v>7.53</v>
      </c>
      <c r="P1142">
        <v>12.7</v>
      </c>
      <c r="Q1142">
        <v>6</v>
      </c>
      <c r="R1142">
        <v>3.43</v>
      </c>
      <c r="S1142">
        <v>4</v>
      </c>
      <c r="T1142" t="b">
        <v>0</v>
      </c>
    </row>
    <row r="1143" spans="1:20">
      <c r="A1143" t="s">
        <v>104</v>
      </c>
      <c r="B1143">
        <v>93</v>
      </c>
      <c r="C1143">
        <v>408</v>
      </c>
      <c r="D1143" t="s">
        <v>62</v>
      </c>
      <c r="E1143" t="s">
        <v>62</v>
      </c>
      <c r="F1143">
        <v>0</v>
      </c>
      <c r="G1143">
        <v>114.3</v>
      </c>
      <c r="H1143">
        <v>100</v>
      </c>
      <c r="I1143">
        <v>19.43</v>
      </c>
      <c r="J1143">
        <v>221.1</v>
      </c>
      <c r="K1143">
        <v>103</v>
      </c>
      <c r="L1143">
        <v>18.79</v>
      </c>
      <c r="M1143">
        <v>126.3</v>
      </c>
      <c r="N1143">
        <v>88</v>
      </c>
      <c r="O1143">
        <v>5.68</v>
      </c>
      <c r="P1143">
        <v>10.9</v>
      </c>
      <c r="Q1143">
        <v>9</v>
      </c>
      <c r="R1143">
        <v>2.94</v>
      </c>
      <c r="S1143">
        <v>0</v>
      </c>
      <c r="T1143" t="b">
        <v>0</v>
      </c>
    </row>
    <row r="1144" spans="1:20">
      <c r="A1144" t="s">
        <v>96</v>
      </c>
      <c r="B1144">
        <v>101</v>
      </c>
      <c r="C1144">
        <v>415</v>
      </c>
      <c r="D1144" t="s">
        <v>62</v>
      </c>
      <c r="E1144" t="s">
        <v>63</v>
      </c>
      <c r="F1144">
        <v>33</v>
      </c>
      <c r="G1144">
        <v>219.7</v>
      </c>
      <c r="H1144">
        <v>137</v>
      </c>
      <c r="I1144">
        <v>37.35</v>
      </c>
      <c r="J1144">
        <v>186.8</v>
      </c>
      <c r="K1144">
        <v>94</v>
      </c>
      <c r="L1144">
        <v>15.88</v>
      </c>
      <c r="M1144">
        <v>184.5</v>
      </c>
      <c r="N1144">
        <v>113</v>
      </c>
      <c r="O1144">
        <v>8.3</v>
      </c>
      <c r="P1144">
        <v>9.5</v>
      </c>
      <c r="Q1144">
        <v>2</v>
      </c>
      <c r="R1144">
        <v>2.57</v>
      </c>
      <c r="S1144">
        <v>2</v>
      </c>
      <c r="T1144" t="b">
        <v>0</v>
      </c>
    </row>
    <row r="1145" spans="1:20">
      <c r="A1145" t="s">
        <v>79</v>
      </c>
      <c r="B1145">
        <v>77</v>
      </c>
      <c r="C1145">
        <v>510</v>
      </c>
      <c r="D1145" t="s">
        <v>62</v>
      </c>
      <c r="E1145" t="s">
        <v>62</v>
      </c>
      <c r="F1145">
        <v>0</v>
      </c>
      <c r="G1145">
        <v>144.9</v>
      </c>
      <c r="H1145">
        <v>136</v>
      </c>
      <c r="I1145">
        <v>24.63</v>
      </c>
      <c r="J1145">
        <v>151.3</v>
      </c>
      <c r="K1145">
        <v>115</v>
      </c>
      <c r="L1145">
        <v>12.86</v>
      </c>
      <c r="M1145">
        <v>252.4</v>
      </c>
      <c r="N1145">
        <v>73</v>
      </c>
      <c r="O1145">
        <v>11.36</v>
      </c>
      <c r="P1145">
        <v>12.3</v>
      </c>
      <c r="Q1145">
        <v>3</v>
      </c>
      <c r="R1145">
        <v>3.32</v>
      </c>
      <c r="S1145">
        <v>2</v>
      </c>
      <c r="T1145" t="b">
        <v>0</v>
      </c>
    </row>
    <row r="1146" spans="1:20">
      <c r="A1146" t="s">
        <v>97</v>
      </c>
      <c r="B1146">
        <v>105</v>
      </c>
      <c r="C1146">
        <v>415</v>
      </c>
      <c r="D1146" t="s">
        <v>62</v>
      </c>
      <c r="E1146" t="s">
        <v>63</v>
      </c>
      <c r="F1146">
        <v>40</v>
      </c>
      <c r="G1146">
        <v>236.5</v>
      </c>
      <c r="H1146">
        <v>111</v>
      </c>
      <c r="I1146">
        <v>40.21</v>
      </c>
      <c r="J1146">
        <v>117</v>
      </c>
      <c r="K1146">
        <v>110</v>
      </c>
      <c r="L1146">
        <v>9.95</v>
      </c>
      <c r="M1146">
        <v>221.1</v>
      </c>
      <c r="N1146">
        <v>115</v>
      </c>
      <c r="O1146">
        <v>9.95</v>
      </c>
      <c r="P1146">
        <v>8.1</v>
      </c>
      <c r="Q1146">
        <v>3</v>
      </c>
      <c r="R1146">
        <v>2.19</v>
      </c>
      <c r="S1146">
        <v>2</v>
      </c>
      <c r="T1146" t="b">
        <v>0</v>
      </c>
    </row>
    <row r="1147" spans="1:20">
      <c r="A1147" t="s">
        <v>97</v>
      </c>
      <c r="B1147">
        <v>133</v>
      </c>
      <c r="C1147">
        <v>408</v>
      </c>
      <c r="D1147" t="s">
        <v>62</v>
      </c>
      <c r="E1147" t="s">
        <v>63</v>
      </c>
      <c r="F1147">
        <v>44</v>
      </c>
      <c r="G1147">
        <v>174</v>
      </c>
      <c r="H1147">
        <v>80</v>
      </c>
      <c r="I1147">
        <v>29.58</v>
      </c>
      <c r="J1147">
        <v>209.4</v>
      </c>
      <c r="K1147">
        <v>113</v>
      </c>
      <c r="L1147">
        <v>17.8</v>
      </c>
      <c r="M1147">
        <v>224.1</v>
      </c>
      <c r="N1147">
        <v>87</v>
      </c>
      <c r="O1147">
        <v>10.08</v>
      </c>
      <c r="P1147">
        <v>14.1</v>
      </c>
      <c r="Q1147">
        <v>7</v>
      </c>
      <c r="R1147">
        <v>3.81</v>
      </c>
      <c r="S1147">
        <v>2</v>
      </c>
      <c r="T1147" t="b">
        <v>1</v>
      </c>
    </row>
    <row r="1148" spans="1:20">
      <c r="A1148" t="s">
        <v>69</v>
      </c>
      <c r="B1148">
        <v>131</v>
      </c>
      <c r="C1148">
        <v>408</v>
      </c>
      <c r="D1148" t="s">
        <v>62</v>
      </c>
      <c r="E1148" t="s">
        <v>62</v>
      </c>
      <c r="F1148">
        <v>0</v>
      </c>
      <c r="G1148">
        <v>109.5</v>
      </c>
      <c r="H1148">
        <v>95</v>
      </c>
      <c r="I1148">
        <v>18.62</v>
      </c>
      <c r="J1148">
        <v>332.1</v>
      </c>
      <c r="K1148">
        <v>48</v>
      </c>
      <c r="L1148">
        <v>28.23</v>
      </c>
      <c r="M1148">
        <v>258.6</v>
      </c>
      <c r="N1148">
        <v>108</v>
      </c>
      <c r="O1148">
        <v>11.64</v>
      </c>
      <c r="P1148">
        <v>6.6</v>
      </c>
      <c r="Q1148">
        <v>7</v>
      </c>
      <c r="R1148">
        <v>1.78</v>
      </c>
      <c r="S1148">
        <v>1</v>
      </c>
      <c r="T1148" t="b">
        <v>0</v>
      </c>
    </row>
    <row r="1149" spans="1:20">
      <c r="A1149" t="s">
        <v>116</v>
      </c>
      <c r="B1149">
        <v>106</v>
      </c>
      <c r="C1149">
        <v>510</v>
      </c>
      <c r="D1149" t="s">
        <v>62</v>
      </c>
      <c r="E1149" t="s">
        <v>63</v>
      </c>
      <c r="F1149">
        <v>33</v>
      </c>
      <c r="G1149">
        <v>81.6</v>
      </c>
      <c r="H1149">
        <v>120</v>
      </c>
      <c r="I1149">
        <v>13.87</v>
      </c>
      <c r="J1149">
        <v>235.6</v>
      </c>
      <c r="K1149">
        <v>85</v>
      </c>
      <c r="L1149">
        <v>20.03</v>
      </c>
      <c r="M1149">
        <v>150.9</v>
      </c>
      <c r="N1149">
        <v>113</v>
      </c>
      <c r="O1149">
        <v>6.79</v>
      </c>
      <c r="P1149">
        <v>9.9</v>
      </c>
      <c r="Q1149">
        <v>4</v>
      </c>
      <c r="R1149">
        <v>2.67</v>
      </c>
      <c r="S1149">
        <v>1</v>
      </c>
      <c r="T1149" t="b">
        <v>0</v>
      </c>
    </row>
    <row r="1150" spans="1:20">
      <c r="A1150" t="s">
        <v>114</v>
      </c>
      <c r="B1150">
        <v>118</v>
      </c>
      <c r="C1150">
        <v>415</v>
      </c>
      <c r="D1150" t="s">
        <v>62</v>
      </c>
      <c r="E1150" t="s">
        <v>62</v>
      </c>
      <c r="F1150">
        <v>0</v>
      </c>
      <c r="G1150">
        <v>133.4</v>
      </c>
      <c r="H1150">
        <v>113</v>
      </c>
      <c r="I1150">
        <v>22.68</v>
      </c>
      <c r="J1150">
        <v>121</v>
      </c>
      <c r="K1150">
        <v>92</v>
      </c>
      <c r="L1150">
        <v>10.29</v>
      </c>
      <c r="M1150">
        <v>254.7</v>
      </c>
      <c r="N1150">
        <v>129</v>
      </c>
      <c r="O1150">
        <v>11.46</v>
      </c>
      <c r="P1150">
        <v>5.9</v>
      </c>
      <c r="Q1150">
        <v>4</v>
      </c>
      <c r="R1150">
        <v>1.59</v>
      </c>
      <c r="S1150">
        <v>1</v>
      </c>
      <c r="T1150" t="b">
        <v>0</v>
      </c>
    </row>
    <row r="1151" spans="1:20">
      <c r="A1151" t="s">
        <v>91</v>
      </c>
      <c r="B1151">
        <v>125</v>
      </c>
      <c r="C1151">
        <v>408</v>
      </c>
      <c r="D1151" t="s">
        <v>62</v>
      </c>
      <c r="E1151" t="s">
        <v>62</v>
      </c>
      <c r="F1151">
        <v>0</v>
      </c>
      <c r="G1151">
        <v>137.1</v>
      </c>
      <c r="H1151">
        <v>94</v>
      </c>
      <c r="I1151">
        <v>23.31</v>
      </c>
      <c r="J1151">
        <v>209.8</v>
      </c>
      <c r="K1151">
        <v>83</v>
      </c>
      <c r="L1151">
        <v>17.83</v>
      </c>
      <c r="M1151">
        <v>238.4</v>
      </c>
      <c r="N1151">
        <v>114</v>
      </c>
      <c r="O1151">
        <v>10.73</v>
      </c>
      <c r="P1151">
        <v>8.6</v>
      </c>
      <c r="Q1151">
        <v>4</v>
      </c>
      <c r="R1151">
        <v>2.32</v>
      </c>
      <c r="S1151">
        <v>1</v>
      </c>
      <c r="T1151" t="b">
        <v>0</v>
      </c>
    </row>
    <row r="1152" spans="1:20">
      <c r="A1152" t="s">
        <v>79</v>
      </c>
      <c r="B1152">
        <v>95</v>
      </c>
      <c r="C1152">
        <v>415</v>
      </c>
      <c r="D1152" t="s">
        <v>62</v>
      </c>
      <c r="E1152" t="s">
        <v>62</v>
      </c>
      <c r="F1152">
        <v>0</v>
      </c>
      <c r="G1152">
        <v>197</v>
      </c>
      <c r="H1152">
        <v>88</v>
      </c>
      <c r="I1152">
        <v>33.49</v>
      </c>
      <c r="J1152">
        <v>190.4</v>
      </c>
      <c r="K1152">
        <v>68</v>
      </c>
      <c r="L1152">
        <v>16.18</v>
      </c>
      <c r="M1152">
        <v>211.9</v>
      </c>
      <c r="N1152">
        <v>104</v>
      </c>
      <c r="O1152">
        <v>9.54</v>
      </c>
      <c r="P1152">
        <v>16.1</v>
      </c>
      <c r="Q1152">
        <v>8</v>
      </c>
      <c r="R1152">
        <v>4.35</v>
      </c>
      <c r="S1152">
        <v>0</v>
      </c>
      <c r="T1152" t="b">
        <v>0</v>
      </c>
    </row>
    <row r="1153" spans="1:20">
      <c r="A1153" t="s">
        <v>76</v>
      </c>
      <c r="B1153">
        <v>80</v>
      </c>
      <c r="C1153">
        <v>415</v>
      </c>
      <c r="D1153" t="s">
        <v>62</v>
      </c>
      <c r="E1153" t="s">
        <v>62</v>
      </c>
      <c r="F1153">
        <v>0</v>
      </c>
      <c r="G1153">
        <v>198.1</v>
      </c>
      <c r="H1153">
        <v>160</v>
      </c>
      <c r="I1153">
        <v>33.68</v>
      </c>
      <c r="J1153">
        <v>156.7</v>
      </c>
      <c r="K1153">
        <v>87</v>
      </c>
      <c r="L1153">
        <v>13.32</v>
      </c>
      <c r="M1153">
        <v>182.1</v>
      </c>
      <c r="N1153">
        <v>76</v>
      </c>
      <c r="O1153">
        <v>8.19</v>
      </c>
      <c r="P1153">
        <v>9.3</v>
      </c>
      <c r="Q1153">
        <v>3</v>
      </c>
      <c r="R1153">
        <v>2.51</v>
      </c>
      <c r="S1153">
        <v>3</v>
      </c>
      <c r="T1153" t="b">
        <v>0</v>
      </c>
    </row>
    <row r="1154" spans="1:20">
      <c r="A1154" t="s">
        <v>111</v>
      </c>
      <c r="B1154">
        <v>145</v>
      </c>
      <c r="C1154">
        <v>408</v>
      </c>
      <c r="D1154" t="s">
        <v>62</v>
      </c>
      <c r="E1154" t="s">
        <v>62</v>
      </c>
      <c r="F1154">
        <v>0</v>
      </c>
      <c r="G1154">
        <v>39.5</v>
      </c>
      <c r="H1154">
        <v>78</v>
      </c>
      <c r="I1154">
        <v>6.72</v>
      </c>
      <c r="J1154">
        <v>264.3</v>
      </c>
      <c r="K1154">
        <v>106</v>
      </c>
      <c r="L1154">
        <v>22.47</v>
      </c>
      <c r="M1154">
        <v>185.8</v>
      </c>
      <c r="N1154">
        <v>90</v>
      </c>
      <c r="O1154">
        <v>8.36</v>
      </c>
      <c r="P1154">
        <v>10</v>
      </c>
      <c r="Q1154">
        <v>6</v>
      </c>
      <c r="R1154">
        <v>2.7</v>
      </c>
      <c r="S1154">
        <v>0</v>
      </c>
      <c r="T1154" t="b">
        <v>0</v>
      </c>
    </row>
    <row r="1155" spans="1:20">
      <c r="A1155" t="s">
        <v>82</v>
      </c>
      <c r="B1155">
        <v>37</v>
      </c>
      <c r="C1155">
        <v>408</v>
      </c>
      <c r="D1155" t="s">
        <v>62</v>
      </c>
      <c r="E1155" t="s">
        <v>62</v>
      </c>
      <c r="F1155">
        <v>0</v>
      </c>
      <c r="G1155">
        <v>199.5</v>
      </c>
      <c r="H1155">
        <v>107</v>
      </c>
      <c r="I1155">
        <v>33.92</v>
      </c>
      <c r="J1155">
        <v>207.5</v>
      </c>
      <c r="K1155">
        <v>110</v>
      </c>
      <c r="L1155">
        <v>17.64</v>
      </c>
      <c r="M1155">
        <v>83.9</v>
      </c>
      <c r="N1155">
        <v>123</v>
      </c>
      <c r="O1155">
        <v>3.78</v>
      </c>
      <c r="P1155">
        <v>8.1</v>
      </c>
      <c r="Q1155">
        <v>4</v>
      </c>
      <c r="R1155">
        <v>2.19</v>
      </c>
      <c r="S1155">
        <v>2</v>
      </c>
      <c r="T1155" t="b">
        <v>0</v>
      </c>
    </row>
    <row r="1156" spans="1:20">
      <c r="A1156" t="s">
        <v>77</v>
      </c>
      <c r="B1156">
        <v>87</v>
      </c>
      <c r="C1156">
        <v>415</v>
      </c>
      <c r="D1156" t="s">
        <v>62</v>
      </c>
      <c r="E1156" t="s">
        <v>62</v>
      </c>
      <c r="F1156">
        <v>0</v>
      </c>
      <c r="G1156">
        <v>156.8</v>
      </c>
      <c r="H1156">
        <v>93</v>
      </c>
      <c r="I1156">
        <v>26.66</v>
      </c>
      <c r="J1156">
        <v>215.8</v>
      </c>
      <c r="K1156">
        <v>68</v>
      </c>
      <c r="L1156">
        <v>18.34</v>
      </c>
      <c r="M1156">
        <v>223.3</v>
      </c>
      <c r="N1156">
        <v>77</v>
      </c>
      <c r="O1156">
        <v>10.05</v>
      </c>
      <c r="P1156">
        <v>7.6</v>
      </c>
      <c r="Q1156">
        <v>6</v>
      </c>
      <c r="R1156">
        <v>2.05</v>
      </c>
      <c r="S1156">
        <v>1</v>
      </c>
      <c r="T1156" t="b">
        <v>0</v>
      </c>
    </row>
    <row r="1157" spans="1:20">
      <c r="A1157" t="s">
        <v>67</v>
      </c>
      <c r="B1157">
        <v>69</v>
      </c>
      <c r="C1157">
        <v>415</v>
      </c>
      <c r="D1157" t="s">
        <v>62</v>
      </c>
      <c r="E1157" t="s">
        <v>62</v>
      </c>
      <c r="F1157">
        <v>0</v>
      </c>
      <c r="G1157">
        <v>183.4</v>
      </c>
      <c r="H1157">
        <v>85</v>
      </c>
      <c r="I1157">
        <v>31.18</v>
      </c>
      <c r="J1157">
        <v>237.6</v>
      </c>
      <c r="K1157">
        <v>100</v>
      </c>
      <c r="L1157">
        <v>20.2</v>
      </c>
      <c r="M1157">
        <v>228</v>
      </c>
      <c r="N1157">
        <v>94</v>
      </c>
      <c r="O1157">
        <v>10.26</v>
      </c>
      <c r="P1157">
        <v>9</v>
      </c>
      <c r="Q1157">
        <v>5</v>
      </c>
      <c r="R1157">
        <v>2.43</v>
      </c>
      <c r="S1157">
        <v>3</v>
      </c>
      <c r="T1157" t="b">
        <v>0</v>
      </c>
    </row>
    <row r="1158" spans="1:20">
      <c r="A1158" t="s">
        <v>82</v>
      </c>
      <c r="B1158">
        <v>83</v>
      </c>
      <c r="C1158">
        <v>510</v>
      </c>
      <c r="D1158" t="s">
        <v>62</v>
      </c>
      <c r="E1158" t="s">
        <v>62</v>
      </c>
      <c r="F1158">
        <v>0</v>
      </c>
      <c r="G1158">
        <v>132.4</v>
      </c>
      <c r="H1158">
        <v>120</v>
      </c>
      <c r="I1158">
        <v>22.51</v>
      </c>
      <c r="J1158">
        <v>121.6</v>
      </c>
      <c r="K1158">
        <v>101</v>
      </c>
      <c r="L1158">
        <v>10.34</v>
      </c>
      <c r="M1158">
        <v>197.7</v>
      </c>
      <c r="N1158">
        <v>84</v>
      </c>
      <c r="O1158">
        <v>8.9</v>
      </c>
      <c r="P1158">
        <v>8.6</v>
      </c>
      <c r="Q1158">
        <v>2</v>
      </c>
      <c r="R1158">
        <v>2.32</v>
      </c>
      <c r="S1158">
        <v>1</v>
      </c>
      <c r="T1158" t="b">
        <v>0</v>
      </c>
    </row>
    <row r="1159" spans="1:20">
      <c r="A1159" t="s">
        <v>97</v>
      </c>
      <c r="B1159">
        <v>195</v>
      </c>
      <c r="C1159">
        <v>415</v>
      </c>
      <c r="D1159" t="s">
        <v>62</v>
      </c>
      <c r="E1159" t="s">
        <v>62</v>
      </c>
      <c r="F1159">
        <v>0</v>
      </c>
      <c r="G1159">
        <v>63.2</v>
      </c>
      <c r="H1159">
        <v>108</v>
      </c>
      <c r="I1159">
        <v>10.74</v>
      </c>
      <c r="J1159">
        <v>220.2</v>
      </c>
      <c r="K1159">
        <v>88</v>
      </c>
      <c r="L1159">
        <v>18.72</v>
      </c>
      <c r="M1159">
        <v>184</v>
      </c>
      <c r="N1159">
        <v>99</v>
      </c>
      <c r="O1159">
        <v>8.28</v>
      </c>
      <c r="P1159">
        <v>5.1</v>
      </c>
      <c r="Q1159">
        <v>3</v>
      </c>
      <c r="R1159">
        <v>1.38</v>
      </c>
      <c r="S1159">
        <v>0</v>
      </c>
      <c r="T1159" t="b">
        <v>0</v>
      </c>
    </row>
    <row r="1160" spans="1:20">
      <c r="A1160" t="s">
        <v>95</v>
      </c>
      <c r="B1160">
        <v>67</v>
      </c>
      <c r="C1160">
        <v>415</v>
      </c>
      <c r="D1160" t="s">
        <v>63</v>
      </c>
      <c r="E1160" t="s">
        <v>63</v>
      </c>
      <c r="F1160">
        <v>35</v>
      </c>
      <c r="G1160">
        <v>181.1</v>
      </c>
      <c r="H1160">
        <v>59</v>
      </c>
      <c r="I1160">
        <v>30.79</v>
      </c>
      <c r="J1160">
        <v>215.9</v>
      </c>
      <c r="K1160">
        <v>116</v>
      </c>
      <c r="L1160">
        <v>18.35</v>
      </c>
      <c r="M1160">
        <v>216.3</v>
      </c>
      <c r="N1160">
        <v>106</v>
      </c>
      <c r="O1160">
        <v>9.73</v>
      </c>
      <c r="P1160">
        <v>16.9</v>
      </c>
      <c r="Q1160">
        <v>4</v>
      </c>
      <c r="R1160">
        <v>4.56</v>
      </c>
      <c r="S1160">
        <v>0</v>
      </c>
      <c r="T1160" t="b">
        <v>1</v>
      </c>
    </row>
    <row r="1161" spans="1:20">
      <c r="A1161" t="s">
        <v>64</v>
      </c>
      <c r="B1161">
        <v>75</v>
      </c>
      <c r="C1161">
        <v>510</v>
      </c>
      <c r="D1161" t="s">
        <v>62</v>
      </c>
      <c r="E1161" t="s">
        <v>63</v>
      </c>
      <c r="F1161">
        <v>27</v>
      </c>
      <c r="G1161">
        <v>117.5</v>
      </c>
      <c r="H1161">
        <v>102</v>
      </c>
      <c r="I1161">
        <v>19.98</v>
      </c>
      <c r="J1161">
        <v>206.8</v>
      </c>
      <c r="K1161">
        <v>127</v>
      </c>
      <c r="L1161">
        <v>17.58</v>
      </c>
      <c r="M1161">
        <v>194.4</v>
      </c>
      <c r="N1161">
        <v>114</v>
      </c>
      <c r="O1161">
        <v>8.75</v>
      </c>
      <c r="P1161">
        <v>4.2</v>
      </c>
      <c r="Q1161">
        <v>7</v>
      </c>
      <c r="R1161">
        <v>1.13</v>
      </c>
      <c r="S1161">
        <v>3</v>
      </c>
      <c r="T1161" t="b">
        <v>0</v>
      </c>
    </row>
    <row r="1162" spans="1:20">
      <c r="A1162" t="s">
        <v>73</v>
      </c>
      <c r="B1162">
        <v>123</v>
      </c>
      <c r="C1162">
        <v>415</v>
      </c>
      <c r="D1162" t="s">
        <v>62</v>
      </c>
      <c r="E1162" t="s">
        <v>63</v>
      </c>
      <c r="F1162">
        <v>27</v>
      </c>
      <c r="G1162">
        <v>218.7</v>
      </c>
      <c r="H1162">
        <v>79</v>
      </c>
      <c r="I1162">
        <v>37.18</v>
      </c>
      <c r="J1162">
        <v>163.4</v>
      </c>
      <c r="K1162">
        <v>78</v>
      </c>
      <c r="L1162">
        <v>13.89</v>
      </c>
      <c r="M1162">
        <v>173.8</v>
      </c>
      <c r="N1162">
        <v>116</v>
      </c>
      <c r="O1162">
        <v>7.82</v>
      </c>
      <c r="P1162">
        <v>15</v>
      </c>
      <c r="Q1162">
        <v>1</v>
      </c>
      <c r="R1162">
        <v>4.05</v>
      </c>
      <c r="S1162">
        <v>0</v>
      </c>
      <c r="T1162" t="b">
        <v>0</v>
      </c>
    </row>
    <row r="1163" spans="1:20">
      <c r="A1163" t="s">
        <v>81</v>
      </c>
      <c r="B1163">
        <v>41</v>
      </c>
      <c r="C1163">
        <v>415</v>
      </c>
      <c r="D1163" t="s">
        <v>62</v>
      </c>
      <c r="E1163" t="s">
        <v>63</v>
      </c>
      <c r="F1163">
        <v>41</v>
      </c>
      <c r="G1163">
        <v>207.3</v>
      </c>
      <c r="H1163">
        <v>95</v>
      </c>
      <c r="I1163">
        <v>35.24</v>
      </c>
      <c r="J1163">
        <v>137.3</v>
      </c>
      <c r="K1163">
        <v>120</v>
      </c>
      <c r="L1163">
        <v>11.67</v>
      </c>
      <c r="M1163">
        <v>115.7</v>
      </c>
      <c r="N1163">
        <v>74</v>
      </c>
      <c r="O1163">
        <v>5.21</v>
      </c>
      <c r="P1163">
        <v>5.9</v>
      </c>
      <c r="Q1163">
        <v>3</v>
      </c>
      <c r="R1163">
        <v>1.59</v>
      </c>
      <c r="S1163">
        <v>1</v>
      </c>
      <c r="T1163" t="b">
        <v>0</v>
      </c>
    </row>
    <row r="1164" spans="1:20">
      <c r="A1164" t="s">
        <v>64</v>
      </c>
      <c r="B1164">
        <v>75</v>
      </c>
      <c r="C1164">
        <v>415</v>
      </c>
      <c r="D1164" t="s">
        <v>62</v>
      </c>
      <c r="E1164" t="s">
        <v>62</v>
      </c>
      <c r="F1164">
        <v>0</v>
      </c>
      <c r="G1164">
        <v>150.6</v>
      </c>
      <c r="H1164">
        <v>99</v>
      </c>
      <c r="I1164">
        <v>25.6</v>
      </c>
      <c r="J1164">
        <v>301.5</v>
      </c>
      <c r="K1164">
        <v>83</v>
      </c>
      <c r="L1164">
        <v>25.63</v>
      </c>
      <c r="M1164">
        <v>158.7</v>
      </c>
      <c r="N1164">
        <v>104</v>
      </c>
      <c r="O1164">
        <v>7.14</v>
      </c>
      <c r="P1164">
        <v>8.1</v>
      </c>
      <c r="Q1164">
        <v>5</v>
      </c>
      <c r="R1164">
        <v>2.19</v>
      </c>
      <c r="S1164">
        <v>0</v>
      </c>
      <c r="T1164" t="b">
        <v>0</v>
      </c>
    </row>
    <row r="1165" spans="1:20">
      <c r="A1165" t="s">
        <v>91</v>
      </c>
      <c r="B1165">
        <v>76</v>
      </c>
      <c r="C1165">
        <v>415</v>
      </c>
      <c r="D1165" t="s">
        <v>63</v>
      </c>
      <c r="E1165" t="s">
        <v>62</v>
      </c>
      <c r="F1165">
        <v>0</v>
      </c>
      <c r="G1165">
        <v>273.3</v>
      </c>
      <c r="H1165">
        <v>66</v>
      </c>
      <c r="I1165">
        <v>46.46</v>
      </c>
      <c r="J1165">
        <v>263.6</v>
      </c>
      <c r="K1165">
        <v>121</v>
      </c>
      <c r="L1165">
        <v>22.41</v>
      </c>
      <c r="M1165">
        <v>165.2</v>
      </c>
      <c r="N1165">
        <v>84</v>
      </c>
      <c r="O1165">
        <v>7.43</v>
      </c>
      <c r="P1165">
        <v>12</v>
      </c>
      <c r="Q1165">
        <v>7</v>
      </c>
      <c r="R1165">
        <v>3.24</v>
      </c>
      <c r="S1165">
        <v>1</v>
      </c>
      <c r="T1165" t="b">
        <v>1</v>
      </c>
    </row>
    <row r="1166" spans="1:20">
      <c r="A1166" t="s">
        <v>86</v>
      </c>
      <c r="B1166">
        <v>86</v>
      </c>
      <c r="C1166">
        <v>415</v>
      </c>
      <c r="D1166" t="s">
        <v>63</v>
      </c>
      <c r="E1166" t="s">
        <v>62</v>
      </c>
      <c r="F1166">
        <v>0</v>
      </c>
      <c r="G1166">
        <v>266.1</v>
      </c>
      <c r="H1166">
        <v>120</v>
      </c>
      <c r="I1166">
        <v>45.24</v>
      </c>
      <c r="J1166">
        <v>182</v>
      </c>
      <c r="K1166">
        <v>92</v>
      </c>
      <c r="L1166">
        <v>15.47</v>
      </c>
      <c r="M1166">
        <v>206.5</v>
      </c>
      <c r="N1166">
        <v>103</v>
      </c>
      <c r="O1166">
        <v>9.29</v>
      </c>
      <c r="P1166">
        <v>10.3</v>
      </c>
      <c r="Q1166">
        <v>4</v>
      </c>
      <c r="R1166">
        <v>2.78</v>
      </c>
      <c r="S1166">
        <v>1</v>
      </c>
      <c r="T1166" t="b">
        <v>0</v>
      </c>
    </row>
    <row r="1167" spans="1:20">
      <c r="A1167" t="s">
        <v>113</v>
      </c>
      <c r="B1167">
        <v>140</v>
      </c>
      <c r="C1167">
        <v>408</v>
      </c>
      <c r="D1167" t="s">
        <v>62</v>
      </c>
      <c r="E1167" t="s">
        <v>62</v>
      </c>
      <c r="F1167">
        <v>0</v>
      </c>
      <c r="G1167">
        <v>112.8</v>
      </c>
      <c r="H1167">
        <v>89</v>
      </c>
      <c r="I1167">
        <v>19.18</v>
      </c>
      <c r="J1167">
        <v>156.7</v>
      </c>
      <c r="K1167">
        <v>65</v>
      </c>
      <c r="L1167">
        <v>13.32</v>
      </c>
      <c r="M1167">
        <v>249.6</v>
      </c>
      <c r="N1167">
        <v>85</v>
      </c>
      <c r="O1167">
        <v>11.23</v>
      </c>
      <c r="P1167">
        <v>16.3</v>
      </c>
      <c r="Q1167">
        <v>6</v>
      </c>
      <c r="R1167">
        <v>4.4</v>
      </c>
      <c r="S1167">
        <v>0</v>
      </c>
      <c r="T1167" t="b">
        <v>0</v>
      </c>
    </row>
    <row r="1168" spans="1:20">
      <c r="A1168" t="s">
        <v>83</v>
      </c>
      <c r="B1168">
        <v>70</v>
      </c>
      <c r="C1168">
        <v>415</v>
      </c>
      <c r="D1168" t="s">
        <v>62</v>
      </c>
      <c r="E1168" t="s">
        <v>62</v>
      </c>
      <c r="F1168">
        <v>0</v>
      </c>
      <c r="G1168">
        <v>104.7</v>
      </c>
      <c r="H1168">
        <v>112</v>
      </c>
      <c r="I1168">
        <v>17.8</v>
      </c>
      <c r="J1168">
        <v>82.2</v>
      </c>
      <c r="K1168">
        <v>104</v>
      </c>
      <c r="L1168">
        <v>6.99</v>
      </c>
      <c r="M1168">
        <v>169.4</v>
      </c>
      <c r="N1168">
        <v>110</v>
      </c>
      <c r="O1168">
        <v>7.62</v>
      </c>
      <c r="P1168">
        <v>15.8</v>
      </c>
      <c r="Q1168">
        <v>7</v>
      </c>
      <c r="R1168">
        <v>4.27</v>
      </c>
      <c r="S1168">
        <v>3</v>
      </c>
      <c r="T1168" t="b">
        <v>0</v>
      </c>
    </row>
    <row r="1169" spans="1:20">
      <c r="A1169" t="s">
        <v>114</v>
      </c>
      <c r="B1169">
        <v>118</v>
      </c>
      <c r="C1169">
        <v>415</v>
      </c>
      <c r="D1169" t="s">
        <v>62</v>
      </c>
      <c r="E1169" t="s">
        <v>62</v>
      </c>
      <c r="F1169">
        <v>0</v>
      </c>
      <c r="G1169">
        <v>253.2</v>
      </c>
      <c r="H1169">
        <v>122</v>
      </c>
      <c r="I1169">
        <v>43.04</v>
      </c>
      <c r="J1169">
        <v>201</v>
      </c>
      <c r="K1169">
        <v>78</v>
      </c>
      <c r="L1169">
        <v>17.09</v>
      </c>
      <c r="M1169">
        <v>195.3</v>
      </c>
      <c r="N1169">
        <v>108</v>
      </c>
      <c r="O1169">
        <v>8.79</v>
      </c>
      <c r="P1169">
        <v>9.7</v>
      </c>
      <c r="Q1169">
        <v>7</v>
      </c>
      <c r="R1169">
        <v>2.62</v>
      </c>
      <c r="S1169">
        <v>2</v>
      </c>
      <c r="T1169" t="b">
        <v>0</v>
      </c>
    </row>
    <row r="1170" spans="1:20">
      <c r="A1170" t="s">
        <v>65</v>
      </c>
      <c r="B1170">
        <v>66</v>
      </c>
      <c r="C1170">
        <v>415</v>
      </c>
      <c r="D1170" t="s">
        <v>62</v>
      </c>
      <c r="E1170" t="s">
        <v>63</v>
      </c>
      <c r="F1170">
        <v>16</v>
      </c>
      <c r="G1170">
        <v>174.7</v>
      </c>
      <c r="H1170">
        <v>92</v>
      </c>
      <c r="I1170">
        <v>29.7</v>
      </c>
      <c r="J1170">
        <v>232.1</v>
      </c>
      <c r="K1170">
        <v>105</v>
      </c>
      <c r="L1170">
        <v>19.73</v>
      </c>
      <c r="M1170">
        <v>305.4</v>
      </c>
      <c r="N1170">
        <v>98</v>
      </c>
      <c r="O1170">
        <v>13.74</v>
      </c>
      <c r="P1170">
        <v>8.9</v>
      </c>
      <c r="Q1170">
        <v>2</v>
      </c>
      <c r="R1170">
        <v>2.4</v>
      </c>
      <c r="S1170">
        <v>1</v>
      </c>
      <c r="T1170" t="b">
        <v>0</v>
      </c>
    </row>
    <row r="1171" spans="1:20">
      <c r="A1171" t="s">
        <v>93</v>
      </c>
      <c r="B1171">
        <v>78</v>
      </c>
      <c r="C1171">
        <v>408</v>
      </c>
      <c r="D1171" t="s">
        <v>62</v>
      </c>
      <c r="E1171" t="s">
        <v>62</v>
      </c>
      <c r="F1171">
        <v>0</v>
      </c>
      <c r="G1171">
        <v>87</v>
      </c>
      <c r="H1171">
        <v>102</v>
      </c>
      <c r="I1171">
        <v>14.79</v>
      </c>
      <c r="J1171">
        <v>193.6</v>
      </c>
      <c r="K1171">
        <v>64</v>
      </c>
      <c r="L1171">
        <v>16.46</v>
      </c>
      <c r="M1171">
        <v>205.8</v>
      </c>
      <c r="N1171">
        <v>120</v>
      </c>
      <c r="O1171">
        <v>9.26</v>
      </c>
      <c r="P1171">
        <v>11</v>
      </c>
      <c r="Q1171">
        <v>5</v>
      </c>
      <c r="R1171">
        <v>2.97</v>
      </c>
      <c r="S1171">
        <v>0</v>
      </c>
      <c r="T1171" t="b">
        <v>0</v>
      </c>
    </row>
    <row r="1172" spans="1:20">
      <c r="A1172" t="s">
        <v>91</v>
      </c>
      <c r="B1172">
        <v>129</v>
      </c>
      <c r="C1172">
        <v>415</v>
      </c>
      <c r="D1172" t="s">
        <v>62</v>
      </c>
      <c r="E1172" t="s">
        <v>63</v>
      </c>
      <c r="F1172">
        <v>34</v>
      </c>
      <c r="G1172">
        <v>204.5</v>
      </c>
      <c r="H1172">
        <v>79</v>
      </c>
      <c r="I1172">
        <v>34.77</v>
      </c>
      <c r="J1172">
        <v>132.8</v>
      </c>
      <c r="K1172">
        <v>113</v>
      </c>
      <c r="L1172">
        <v>11.29</v>
      </c>
      <c r="M1172">
        <v>190.1</v>
      </c>
      <c r="N1172">
        <v>117</v>
      </c>
      <c r="O1172">
        <v>8.55</v>
      </c>
      <c r="P1172">
        <v>14.8</v>
      </c>
      <c r="Q1172">
        <v>9</v>
      </c>
      <c r="R1172">
        <v>4</v>
      </c>
      <c r="S1172">
        <v>2</v>
      </c>
      <c r="T1172" t="b">
        <v>0</v>
      </c>
    </row>
    <row r="1173" spans="1:20">
      <c r="A1173" t="s">
        <v>94</v>
      </c>
      <c r="B1173">
        <v>6</v>
      </c>
      <c r="C1173">
        <v>408</v>
      </c>
      <c r="D1173" t="s">
        <v>62</v>
      </c>
      <c r="E1173" t="s">
        <v>62</v>
      </c>
      <c r="F1173">
        <v>0</v>
      </c>
      <c r="G1173">
        <v>226.5</v>
      </c>
      <c r="H1173">
        <v>93</v>
      </c>
      <c r="I1173">
        <v>38.51</v>
      </c>
      <c r="J1173">
        <v>152.1</v>
      </c>
      <c r="K1173">
        <v>122</v>
      </c>
      <c r="L1173">
        <v>12.93</v>
      </c>
      <c r="M1173">
        <v>164.4</v>
      </c>
      <c r="N1173">
        <v>98</v>
      </c>
      <c r="O1173">
        <v>7.4</v>
      </c>
      <c r="P1173">
        <v>9.4</v>
      </c>
      <c r="Q1173">
        <v>4</v>
      </c>
      <c r="R1173">
        <v>2.54</v>
      </c>
      <c r="S1173">
        <v>3</v>
      </c>
      <c r="T1173" t="b">
        <v>0</v>
      </c>
    </row>
    <row r="1174" spans="1:20">
      <c r="A1174" t="s">
        <v>104</v>
      </c>
      <c r="B1174">
        <v>107</v>
      </c>
      <c r="C1174">
        <v>510</v>
      </c>
      <c r="D1174" t="s">
        <v>63</v>
      </c>
      <c r="E1174" t="s">
        <v>62</v>
      </c>
      <c r="F1174">
        <v>0</v>
      </c>
      <c r="G1174">
        <v>234.1</v>
      </c>
      <c r="H1174">
        <v>91</v>
      </c>
      <c r="I1174">
        <v>39.8</v>
      </c>
      <c r="J1174">
        <v>163.1</v>
      </c>
      <c r="K1174">
        <v>105</v>
      </c>
      <c r="L1174">
        <v>13.86</v>
      </c>
      <c r="M1174">
        <v>282.5</v>
      </c>
      <c r="N1174">
        <v>100</v>
      </c>
      <c r="O1174">
        <v>12.71</v>
      </c>
      <c r="P1174">
        <v>10</v>
      </c>
      <c r="Q1174">
        <v>3</v>
      </c>
      <c r="R1174">
        <v>2.7</v>
      </c>
      <c r="S1174">
        <v>1</v>
      </c>
      <c r="T1174" t="b">
        <v>0</v>
      </c>
    </row>
    <row r="1175" spans="1:20">
      <c r="A1175" t="s">
        <v>92</v>
      </c>
      <c r="B1175">
        <v>107</v>
      </c>
      <c r="C1175">
        <v>415</v>
      </c>
      <c r="D1175" t="s">
        <v>63</v>
      </c>
      <c r="E1175" t="s">
        <v>62</v>
      </c>
      <c r="F1175">
        <v>0</v>
      </c>
      <c r="G1175">
        <v>133.3</v>
      </c>
      <c r="H1175">
        <v>106</v>
      </c>
      <c r="I1175">
        <v>22.66</v>
      </c>
      <c r="J1175">
        <v>182.9</v>
      </c>
      <c r="K1175">
        <v>89</v>
      </c>
      <c r="L1175">
        <v>15.55</v>
      </c>
      <c r="M1175">
        <v>241.1</v>
      </c>
      <c r="N1175">
        <v>123</v>
      </c>
      <c r="O1175">
        <v>10.85</v>
      </c>
      <c r="P1175">
        <v>12.9</v>
      </c>
      <c r="Q1175">
        <v>2</v>
      </c>
      <c r="R1175">
        <v>3.48</v>
      </c>
      <c r="S1175">
        <v>3</v>
      </c>
      <c r="T1175" t="b">
        <v>1</v>
      </c>
    </row>
    <row r="1176" spans="1:20">
      <c r="A1176" t="s">
        <v>76</v>
      </c>
      <c r="B1176">
        <v>138</v>
      </c>
      <c r="C1176">
        <v>415</v>
      </c>
      <c r="D1176" t="s">
        <v>62</v>
      </c>
      <c r="E1176" t="s">
        <v>62</v>
      </c>
      <c r="F1176">
        <v>0</v>
      </c>
      <c r="G1176">
        <v>133.9</v>
      </c>
      <c r="H1176">
        <v>87</v>
      </c>
      <c r="I1176">
        <v>22.76</v>
      </c>
      <c r="J1176">
        <v>166.4</v>
      </c>
      <c r="K1176">
        <v>110</v>
      </c>
      <c r="L1176">
        <v>14.14</v>
      </c>
      <c r="M1176">
        <v>193.5</v>
      </c>
      <c r="N1176">
        <v>139</v>
      </c>
      <c r="O1176">
        <v>8.71</v>
      </c>
      <c r="P1176">
        <v>15.4</v>
      </c>
      <c r="Q1176">
        <v>3</v>
      </c>
      <c r="R1176">
        <v>4.16</v>
      </c>
      <c r="S1176">
        <v>1</v>
      </c>
      <c r="T1176" t="b">
        <v>0</v>
      </c>
    </row>
    <row r="1177" spans="1:20">
      <c r="A1177" t="s">
        <v>116</v>
      </c>
      <c r="B1177">
        <v>103</v>
      </c>
      <c r="C1177">
        <v>510</v>
      </c>
      <c r="D1177" t="s">
        <v>62</v>
      </c>
      <c r="E1177" t="s">
        <v>62</v>
      </c>
      <c r="F1177">
        <v>0</v>
      </c>
      <c r="G1177">
        <v>160.2</v>
      </c>
      <c r="H1177">
        <v>104</v>
      </c>
      <c r="I1177">
        <v>27.23</v>
      </c>
      <c r="J1177">
        <v>138.9</v>
      </c>
      <c r="K1177">
        <v>70</v>
      </c>
      <c r="L1177">
        <v>11.81</v>
      </c>
      <c r="M1177">
        <v>312.5</v>
      </c>
      <c r="N1177">
        <v>97</v>
      </c>
      <c r="O1177">
        <v>14.06</v>
      </c>
      <c r="P1177">
        <v>9.7</v>
      </c>
      <c r="Q1177">
        <v>2</v>
      </c>
      <c r="R1177">
        <v>2.62</v>
      </c>
      <c r="S1177">
        <v>0</v>
      </c>
      <c r="T1177" t="b">
        <v>0</v>
      </c>
    </row>
    <row r="1178" spans="1:20">
      <c r="A1178" t="s">
        <v>97</v>
      </c>
      <c r="B1178">
        <v>116</v>
      </c>
      <c r="C1178">
        <v>415</v>
      </c>
      <c r="D1178" t="s">
        <v>62</v>
      </c>
      <c r="E1178" t="s">
        <v>63</v>
      </c>
      <c r="F1178">
        <v>44</v>
      </c>
      <c r="G1178">
        <v>230.6</v>
      </c>
      <c r="H1178">
        <v>94</v>
      </c>
      <c r="I1178">
        <v>39.2</v>
      </c>
      <c r="J1178">
        <v>224.1</v>
      </c>
      <c r="K1178">
        <v>103</v>
      </c>
      <c r="L1178">
        <v>19.05</v>
      </c>
      <c r="M1178">
        <v>244</v>
      </c>
      <c r="N1178">
        <v>76</v>
      </c>
      <c r="O1178">
        <v>10.98</v>
      </c>
      <c r="P1178">
        <v>11.1</v>
      </c>
      <c r="Q1178">
        <v>2</v>
      </c>
      <c r="R1178">
        <v>3</v>
      </c>
      <c r="S1178">
        <v>0</v>
      </c>
      <c r="T1178" t="b">
        <v>0</v>
      </c>
    </row>
    <row r="1179" spans="1:20">
      <c r="A1179" t="s">
        <v>89</v>
      </c>
      <c r="B1179">
        <v>189</v>
      </c>
      <c r="C1179">
        <v>408</v>
      </c>
      <c r="D1179" t="s">
        <v>62</v>
      </c>
      <c r="E1179" t="s">
        <v>62</v>
      </c>
      <c r="F1179">
        <v>0</v>
      </c>
      <c r="G1179">
        <v>227.4</v>
      </c>
      <c r="H1179">
        <v>84</v>
      </c>
      <c r="I1179">
        <v>38.66</v>
      </c>
      <c r="J1179">
        <v>176</v>
      </c>
      <c r="K1179">
        <v>81</v>
      </c>
      <c r="L1179">
        <v>14.96</v>
      </c>
      <c r="M1179">
        <v>206.1</v>
      </c>
      <c r="N1179">
        <v>120</v>
      </c>
      <c r="O1179">
        <v>9.27</v>
      </c>
      <c r="P1179">
        <v>6.3</v>
      </c>
      <c r="Q1179">
        <v>4</v>
      </c>
      <c r="R1179">
        <v>1.7</v>
      </c>
      <c r="S1179">
        <v>2</v>
      </c>
      <c r="T1179" t="b">
        <v>0</v>
      </c>
    </row>
    <row r="1180" spans="1:20">
      <c r="A1180" t="s">
        <v>104</v>
      </c>
      <c r="B1180">
        <v>161</v>
      </c>
      <c r="C1180">
        <v>415</v>
      </c>
      <c r="D1180" t="s">
        <v>62</v>
      </c>
      <c r="E1180" t="s">
        <v>62</v>
      </c>
      <c r="F1180">
        <v>0</v>
      </c>
      <c r="G1180">
        <v>72.8</v>
      </c>
      <c r="H1180">
        <v>120</v>
      </c>
      <c r="I1180">
        <v>12.38</v>
      </c>
      <c r="J1180">
        <v>267.1</v>
      </c>
      <c r="K1180">
        <v>120</v>
      </c>
      <c r="L1180">
        <v>22.7</v>
      </c>
      <c r="M1180">
        <v>222.5</v>
      </c>
      <c r="N1180">
        <v>91</v>
      </c>
      <c r="O1180">
        <v>10.01</v>
      </c>
      <c r="P1180">
        <v>11.8</v>
      </c>
      <c r="Q1180">
        <v>2</v>
      </c>
      <c r="R1180">
        <v>3.19</v>
      </c>
      <c r="S1180">
        <v>2</v>
      </c>
      <c r="T1180" t="b">
        <v>0</v>
      </c>
    </row>
    <row r="1181" spans="1:20">
      <c r="A1181" t="s">
        <v>112</v>
      </c>
      <c r="B1181">
        <v>1</v>
      </c>
      <c r="C1181">
        <v>415</v>
      </c>
      <c r="D1181" t="s">
        <v>62</v>
      </c>
      <c r="E1181" t="s">
        <v>62</v>
      </c>
      <c r="F1181">
        <v>0</v>
      </c>
      <c r="G1181">
        <v>196.1</v>
      </c>
      <c r="H1181">
        <v>107</v>
      </c>
      <c r="I1181">
        <v>33.34</v>
      </c>
      <c r="J1181">
        <v>296.5</v>
      </c>
      <c r="K1181">
        <v>82</v>
      </c>
      <c r="L1181">
        <v>25.2</v>
      </c>
      <c r="M1181">
        <v>211.5</v>
      </c>
      <c r="N1181">
        <v>91</v>
      </c>
      <c r="O1181">
        <v>9.52</v>
      </c>
      <c r="P1181">
        <v>7</v>
      </c>
      <c r="Q1181">
        <v>2</v>
      </c>
      <c r="R1181">
        <v>1.89</v>
      </c>
      <c r="S1181">
        <v>1</v>
      </c>
      <c r="T1181" t="b">
        <v>0</v>
      </c>
    </row>
    <row r="1182" spans="1:20">
      <c r="A1182" t="s">
        <v>95</v>
      </c>
      <c r="B1182">
        <v>89</v>
      </c>
      <c r="C1182">
        <v>408</v>
      </c>
      <c r="D1182" t="s">
        <v>62</v>
      </c>
      <c r="E1182" t="s">
        <v>62</v>
      </c>
      <c r="F1182">
        <v>0</v>
      </c>
      <c r="G1182">
        <v>197.1</v>
      </c>
      <c r="H1182">
        <v>110</v>
      </c>
      <c r="I1182">
        <v>33.51</v>
      </c>
      <c r="J1182">
        <v>165.9</v>
      </c>
      <c r="K1182">
        <v>115</v>
      </c>
      <c r="L1182">
        <v>14.1</v>
      </c>
      <c r="M1182">
        <v>227.3</v>
      </c>
      <c r="N1182">
        <v>106</v>
      </c>
      <c r="O1182">
        <v>10.23</v>
      </c>
      <c r="P1182">
        <v>12.8</v>
      </c>
      <c r="Q1182">
        <v>3</v>
      </c>
      <c r="R1182">
        <v>3.46</v>
      </c>
      <c r="S1182">
        <v>1</v>
      </c>
      <c r="T1182" t="b">
        <v>0</v>
      </c>
    </row>
    <row r="1183" spans="1:20">
      <c r="A1183" t="s">
        <v>106</v>
      </c>
      <c r="B1183">
        <v>64</v>
      </c>
      <c r="C1183">
        <v>408</v>
      </c>
      <c r="D1183" t="s">
        <v>62</v>
      </c>
      <c r="E1183" t="s">
        <v>62</v>
      </c>
      <c r="F1183">
        <v>0</v>
      </c>
      <c r="G1183">
        <v>219.6</v>
      </c>
      <c r="H1183">
        <v>126</v>
      </c>
      <c r="I1183">
        <v>37.33</v>
      </c>
      <c r="J1183">
        <v>303.3</v>
      </c>
      <c r="K1183">
        <v>100</v>
      </c>
      <c r="L1183">
        <v>25.78</v>
      </c>
      <c r="M1183">
        <v>154.5</v>
      </c>
      <c r="N1183">
        <v>65</v>
      </c>
      <c r="O1183">
        <v>6.95</v>
      </c>
      <c r="P1183">
        <v>9.7</v>
      </c>
      <c r="Q1183">
        <v>5</v>
      </c>
      <c r="R1183">
        <v>2.62</v>
      </c>
      <c r="S1183">
        <v>1</v>
      </c>
      <c r="T1183" t="b">
        <v>0</v>
      </c>
    </row>
    <row r="1184" spans="1:20">
      <c r="A1184" t="s">
        <v>76</v>
      </c>
      <c r="B1184">
        <v>126</v>
      </c>
      <c r="C1184">
        <v>415</v>
      </c>
      <c r="D1184" t="s">
        <v>62</v>
      </c>
      <c r="E1184" t="s">
        <v>63</v>
      </c>
      <c r="F1184">
        <v>30</v>
      </c>
      <c r="G1184">
        <v>153.4</v>
      </c>
      <c r="H1184">
        <v>90</v>
      </c>
      <c r="I1184">
        <v>26.08</v>
      </c>
      <c r="J1184">
        <v>151.4</v>
      </c>
      <c r="K1184">
        <v>97</v>
      </c>
      <c r="L1184">
        <v>12.87</v>
      </c>
      <c r="M1184">
        <v>153.8</v>
      </c>
      <c r="N1184">
        <v>97</v>
      </c>
      <c r="O1184">
        <v>6.92</v>
      </c>
      <c r="P1184">
        <v>12.8</v>
      </c>
      <c r="Q1184">
        <v>4</v>
      </c>
      <c r="R1184">
        <v>3.46</v>
      </c>
      <c r="S1184">
        <v>4</v>
      </c>
      <c r="T1184" t="b">
        <v>1</v>
      </c>
    </row>
    <row r="1185" spans="1:20">
      <c r="A1185" t="s">
        <v>75</v>
      </c>
      <c r="B1185">
        <v>129</v>
      </c>
      <c r="C1185">
        <v>415</v>
      </c>
      <c r="D1185" t="s">
        <v>62</v>
      </c>
      <c r="E1185" t="s">
        <v>62</v>
      </c>
      <c r="F1185">
        <v>0</v>
      </c>
      <c r="G1185">
        <v>216</v>
      </c>
      <c r="H1185">
        <v>85</v>
      </c>
      <c r="I1185">
        <v>36.72</v>
      </c>
      <c r="J1185">
        <v>186.9</v>
      </c>
      <c r="K1185">
        <v>114</v>
      </c>
      <c r="L1185">
        <v>15.89</v>
      </c>
      <c r="M1185">
        <v>210.7</v>
      </c>
      <c r="N1185">
        <v>109</v>
      </c>
      <c r="O1185">
        <v>9.48</v>
      </c>
      <c r="P1185">
        <v>4.9</v>
      </c>
      <c r="Q1185">
        <v>10</v>
      </c>
      <c r="R1185">
        <v>1.32</v>
      </c>
      <c r="S1185">
        <v>2</v>
      </c>
      <c r="T1185" t="b">
        <v>0</v>
      </c>
    </row>
    <row r="1186" spans="1:20">
      <c r="A1186" t="s">
        <v>78</v>
      </c>
      <c r="B1186">
        <v>128</v>
      </c>
      <c r="C1186">
        <v>510</v>
      </c>
      <c r="D1186" t="s">
        <v>62</v>
      </c>
      <c r="E1186" t="s">
        <v>63</v>
      </c>
      <c r="F1186">
        <v>32</v>
      </c>
      <c r="G1186">
        <v>222.9</v>
      </c>
      <c r="H1186">
        <v>136</v>
      </c>
      <c r="I1186">
        <v>37.89</v>
      </c>
      <c r="J1186">
        <v>262</v>
      </c>
      <c r="K1186">
        <v>80</v>
      </c>
      <c r="L1186">
        <v>22.27</v>
      </c>
      <c r="M1186">
        <v>191.4</v>
      </c>
      <c r="N1186">
        <v>101</v>
      </c>
      <c r="O1186">
        <v>8.61</v>
      </c>
      <c r="P1186">
        <v>10.8</v>
      </c>
      <c r="Q1186">
        <v>4</v>
      </c>
      <c r="R1186">
        <v>2.92</v>
      </c>
      <c r="S1186">
        <v>0</v>
      </c>
      <c r="T1186" t="b">
        <v>0</v>
      </c>
    </row>
    <row r="1187" spans="1:20">
      <c r="A1187" t="s">
        <v>76</v>
      </c>
      <c r="B1187">
        <v>114</v>
      </c>
      <c r="C1187">
        <v>510</v>
      </c>
      <c r="D1187" t="s">
        <v>62</v>
      </c>
      <c r="E1187" t="s">
        <v>62</v>
      </c>
      <c r="F1187">
        <v>0</v>
      </c>
      <c r="G1187">
        <v>189.8</v>
      </c>
      <c r="H1187">
        <v>101</v>
      </c>
      <c r="I1187">
        <v>32.27</v>
      </c>
      <c r="J1187">
        <v>147.7</v>
      </c>
      <c r="K1187">
        <v>80</v>
      </c>
      <c r="L1187">
        <v>12.55</v>
      </c>
      <c r="M1187">
        <v>172.7</v>
      </c>
      <c r="N1187">
        <v>121</v>
      </c>
      <c r="O1187">
        <v>7.77</v>
      </c>
      <c r="P1187">
        <v>10.6</v>
      </c>
      <c r="Q1187">
        <v>5</v>
      </c>
      <c r="R1187">
        <v>2.86</v>
      </c>
      <c r="S1187">
        <v>1</v>
      </c>
      <c r="T1187" t="b">
        <v>0</v>
      </c>
    </row>
    <row r="1188" spans="1:20">
      <c r="A1188" t="s">
        <v>87</v>
      </c>
      <c r="B1188">
        <v>50</v>
      </c>
      <c r="C1188">
        <v>408</v>
      </c>
      <c r="D1188" t="s">
        <v>62</v>
      </c>
      <c r="E1188" t="s">
        <v>62</v>
      </c>
      <c r="F1188">
        <v>0</v>
      </c>
      <c r="G1188">
        <v>154.7</v>
      </c>
      <c r="H1188">
        <v>102</v>
      </c>
      <c r="I1188">
        <v>26.3</v>
      </c>
      <c r="J1188">
        <v>298</v>
      </c>
      <c r="K1188">
        <v>108</v>
      </c>
      <c r="L1188">
        <v>25.33</v>
      </c>
      <c r="M1188">
        <v>210.2</v>
      </c>
      <c r="N1188">
        <v>95</v>
      </c>
      <c r="O1188">
        <v>9.46</v>
      </c>
      <c r="P1188">
        <v>11.1</v>
      </c>
      <c r="Q1188">
        <v>3</v>
      </c>
      <c r="R1188">
        <v>3</v>
      </c>
      <c r="S1188">
        <v>0</v>
      </c>
      <c r="T1188" t="b">
        <v>0</v>
      </c>
    </row>
    <row r="1189" spans="1:20">
      <c r="A1189" t="s">
        <v>71</v>
      </c>
      <c r="B1189">
        <v>86</v>
      </c>
      <c r="C1189">
        <v>415</v>
      </c>
      <c r="D1189" t="s">
        <v>62</v>
      </c>
      <c r="E1189" t="s">
        <v>62</v>
      </c>
      <c r="F1189">
        <v>0</v>
      </c>
      <c r="G1189">
        <v>136.4</v>
      </c>
      <c r="H1189">
        <v>104</v>
      </c>
      <c r="I1189">
        <v>23.19</v>
      </c>
      <c r="J1189">
        <v>202.5</v>
      </c>
      <c r="K1189">
        <v>110</v>
      </c>
      <c r="L1189">
        <v>17.21</v>
      </c>
      <c r="M1189">
        <v>230.7</v>
      </c>
      <c r="N1189">
        <v>86</v>
      </c>
      <c r="O1189">
        <v>10.38</v>
      </c>
      <c r="P1189">
        <v>11.5</v>
      </c>
      <c r="Q1189">
        <v>1</v>
      </c>
      <c r="R1189">
        <v>3.11</v>
      </c>
      <c r="S1189">
        <v>3</v>
      </c>
      <c r="T1189" t="b">
        <v>0</v>
      </c>
    </row>
    <row r="1190" spans="1:20">
      <c r="A1190" t="s">
        <v>77</v>
      </c>
      <c r="B1190">
        <v>96</v>
      </c>
      <c r="C1190">
        <v>408</v>
      </c>
      <c r="D1190" t="s">
        <v>62</v>
      </c>
      <c r="E1190" t="s">
        <v>62</v>
      </c>
      <c r="F1190">
        <v>0</v>
      </c>
      <c r="G1190">
        <v>170.5</v>
      </c>
      <c r="H1190">
        <v>86</v>
      </c>
      <c r="I1190">
        <v>28.99</v>
      </c>
      <c r="J1190">
        <v>277.5</v>
      </c>
      <c r="K1190">
        <v>88</v>
      </c>
      <c r="L1190">
        <v>23.59</v>
      </c>
      <c r="M1190">
        <v>162.5</v>
      </c>
      <c r="N1190">
        <v>117</v>
      </c>
      <c r="O1190">
        <v>7.31</v>
      </c>
      <c r="P1190">
        <v>12.2</v>
      </c>
      <c r="Q1190">
        <v>6</v>
      </c>
      <c r="R1190">
        <v>3.29</v>
      </c>
      <c r="S1190">
        <v>1</v>
      </c>
      <c r="T1190" t="b">
        <v>0</v>
      </c>
    </row>
    <row r="1191" spans="1:20">
      <c r="A1191" t="s">
        <v>71</v>
      </c>
      <c r="B1191">
        <v>57</v>
      </c>
      <c r="C1191">
        <v>415</v>
      </c>
      <c r="D1191" t="s">
        <v>63</v>
      </c>
      <c r="E1191" t="s">
        <v>63</v>
      </c>
      <c r="F1191">
        <v>17</v>
      </c>
      <c r="G1191">
        <v>236.5</v>
      </c>
      <c r="H1191">
        <v>94</v>
      </c>
      <c r="I1191">
        <v>40.21</v>
      </c>
      <c r="J1191">
        <v>163.1</v>
      </c>
      <c r="K1191">
        <v>94</v>
      </c>
      <c r="L1191">
        <v>13.86</v>
      </c>
      <c r="M1191">
        <v>236.7</v>
      </c>
      <c r="N1191">
        <v>117</v>
      </c>
      <c r="O1191">
        <v>10.65</v>
      </c>
      <c r="P1191">
        <v>12.2</v>
      </c>
      <c r="Q1191">
        <v>3</v>
      </c>
      <c r="R1191">
        <v>3.29</v>
      </c>
      <c r="S1191">
        <v>2</v>
      </c>
      <c r="T1191" t="b">
        <v>0</v>
      </c>
    </row>
    <row r="1192" spans="1:20">
      <c r="A1192" t="s">
        <v>64</v>
      </c>
      <c r="B1192">
        <v>65</v>
      </c>
      <c r="C1192">
        <v>510</v>
      </c>
      <c r="D1192" t="s">
        <v>62</v>
      </c>
      <c r="E1192" t="s">
        <v>62</v>
      </c>
      <c r="F1192">
        <v>0</v>
      </c>
      <c r="G1192">
        <v>153.9</v>
      </c>
      <c r="H1192">
        <v>117</v>
      </c>
      <c r="I1192">
        <v>26.16</v>
      </c>
      <c r="J1192">
        <v>220.1</v>
      </c>
      <c r="K1192">
        <v>122</v>
      </c>
      <c r="L1192">
        <v>18.71</v>
      </c>
      <c r="M1192">
        <v>280.5</v>
      </c>
      <c r="N1192">
        <v>147</v>
      </c>
      <c r="O1192">
        <v>12.62</v>
      </c>
      <c r="P1192">
        <v>8.5</v>
      </c>
      <c r="Q1192">
        <v>3</v>
      </c>
      <c r="R1192">
        <v>2.3</v>
      </c>
      <c r="S1192">
        <v>2</v>
      </c>
      <c r="T1192" t="b">
        <v>0</v>
      </c>
    </row>
    <row r="1193" spans="1:20">
      <c r="A1193" t="s">
        <v>91</v>
      </c>
      <c r="B1193">
        <v>136</v>
      </c>
      <c r="C1193">
        <v>415</v>
      </c>
      <c r="D1193" t="s">
        <v>62</v>
      </c>
      <c r="E1193" t="s">
        <v>62</v>
      </c>
      <c r="F1193">
        <v>0</v>
      </c>
      <c r="G1193">
        <v>252.4</v>
      </c>
      <c r="H1193">
        <v>74</v>
      </c>
      <c r="I1193">
        <v>42.91</v>
      </c>
      <c r="J1193">
        <v>167.9</v>
      </c>
      <c r="K1193">
        <v>81</v>
      </c>
      <c r="L1193">
        <v>14.27</v>
      </c>
      <c r="M1193">
        <v>248.3</v>
      </c>
      <c r="N1193">
        <v>110</v>
      </c>
      <c r="O1193">
        <v>11.17</v>
      </c>
      <c r="P1193">
        <v>10.7</v>
      </c>
      <c r="Q1193">
        <v>3</v>
      </c>
      <c r="R1193">
        <v>2.89</v>
      </c>
      <c r="S1193">
        <v>2</v>
      </c>
      <c r="T1193" t="b">
        <v>0</v>
      </c>
    </row>
    <row r="1194" spans="1:20">
      <c r="A1194" t="s">
        <v>102</v>
      </c>
      <c r="B1194">
        <v>116</v>
      </c>
      <c r="C1194">
        <v>408</v>
      </c>
      <c r="D1194" t="s">
        <v>62</v>
      </c>
      <c r="E1194" t="s">
        <v>62</v>
      </c>
      <c r="F1194">
        <v>0</v>
      </c>
      <c r="G1194">
        <v>197.9</v>
      </c>
      <c r="H1194">
        <v>84</v>
      </c>
      <c r="I1194">
        <v>33.64</v>
      </c>
      <c r="J1194">
        <v>168.1</v>
      </c>
      <c r="K1194">
        <v>113</v>
      </c>
      <c r="L1194">
        <v>14.29</v>
      </c>
      <c r="M1194">
        <v>239.8</v>
      </c>
      <c r="N1194">
        <v>145</v>
      </c>
      <c r="O1194">
        <v>10.79</v>
      </c>
      <c r="P1194">
        <v>12</v>
      </c>
      <c r="Q1194">
        <v>6</v>
      </c>
      <c r="R1194">
        <v>3.24</v>
      </c>
      <c r="S1194">
        <v>1</v>
      </c>
      <c r="T1194" t="b">
        <v>0</v>
      </c>
    </row>
    <row r="1195" spans="1:20">
      <c r="A1195" t="s">
        <v>84</v>
      </c>
      <c r="B1195">
        <v>93</v>
      </c>
      <c r="C1195">
        <v>408</v>
      </c>
      <c r="D1195" t="s">
        <v>62</v>
      </c>
      <c r="E1195" t="s">
        <v>62</v>
      </c>
      <c r="F1195">
        <v>0</v>
      </c>
      <c r="G1195">
        <v>152.4</v>
      </c>
      <c r="H1195">
        <v>74</v>
      </c>
      <c r="I1195">
        <v>25.91</v>
      </c>
      <c r="J1195">
        <v>274.6</v>
      </c>
      <c r="K1195">
        <v>88</v>
      </c>
      <c r="L1195">
        <v>23.34</v>
      </c>
      <c r="M1195">
        <v>252.2</v>
      </c>
      <c r="N1195">
        <v>120</v>
      </c>
      <c r="O1195">
        <v>11.35</v>
      </c>
      <c r="P1195">
        <v>6.6</v>
      </c>
      <c r="Q1195">
        <v>5</v>
      </c>
      <c r="R1195">
        <v>1.78</v>
      </c>
      <c r="S1195">
        <v>3</v>
      </c>
      <c r="T1195" t="b">
        <v>0</v>
      </c>
    </row>
    <row r="1196" spans="1:20">
      <c r="A1196" t="s">
        <v>102</v>
      </c>
      <c r="B1196">
        <v>142</v>
      </c>
      <c r="C1196">
        <v>510</v>
      </c>
      <c r="D1196" t="s">
        <v>62</v>
      </c>
      <c r="E1196" t="s">
        <v>63</v>
      </c>
      <c r="F1196">
        <v>40</v>
      </c>
      <c r="G1196">
        <v>237.4</v>
      </c>
      <c r="H1196">
        <v>105</v>
      </c>
      <c r="I1196">
        <v>40.36</v>
      </c>
      <c r="J1196">
        <v>175.9</v>
      </c>
      <c r="K1196">
        <v>93</v>
      </c>
      <c r="L1196">
        <v>14.95</v>
      </c>
      <c r="M1196">
        <v>210.3</v>
      </c>
      <c r="N1196">
        <v>110</v>
      </c>
      <c r="O1196">
        <v>9.46</v>
      </c>
      <c r="P1196">
        <v>9.2</v>
      </c>
      <c r="Q1196">
        <v>3</v>
      </c>
      <c r="R1196">
        <v>2.48</v>
      </c>
      <c r="S1196">
        <v>3</v>
      </c>
      <c r="T1196" t="b">
        <v>0</v>
      </c>
    </row>
    <row r="1197" spans="1:20">
      <c r="A1197" t="s">
        <v>106</v>
      </c>
      <c r="B1197">
        <v>92</v>
      </c>
      <c r="C1197">
        <v>408</v>
      </c>
      <c r="D1197" t="s">
        <v>62</v>
      </c>
      <c r="E1197" t="s">
        <v>62</v>
      </c>
      <c r="F1197">
        <v>0</v>
      </c>
      <c r="G1197">
        <v>265.6</v>
      </c>
      <c r="H1197">
        <v>82</v>
      </c>
      <c r="I1197">
        <v>45.15</v>
      </c>
      <c r="J1197">
        <v>180.7</v>
      </c>
      <c r="K1197">
        <v>75</v>
      </c>
      <c r="L1197">
        <v>15.36</v>
      </c>
      <c r="M1197">
        <v>211.1</v>
      </c>
      <c r="N1197">
        <v>113</v>
      </c>
      <c r="O1197">
        <v>9.5</v>
      </c>
      <c r="P1197">
        <v>8.6</v>
      </c>
      <c r="Q1197">
        <v>2</v>
      </c>
      <c r="R1197">
        <v>2.32</v>
      </c>
      <c r="S1197">
        <v>1</v>
      </c>
      <c r="T1197" t="b">
        <v>0</v>
      </c>
    </row>
    <row r="1198" spans="1:20">
      <c r="A1198" t="s">
        <v>114</v>
      </c>
      <c r="B1198">
        <v>70</v>
      </c>
      <c r="C1198">
        <v>415</v>
      </c>
      <c r="D1198" t="s">
        <v>62</v>
      </c>
      <c r="E1198" t="s">
        <v>62</v>
      </c>
      <c r="F1198">
        <v>0</v>
      </c>
      <c r="G1198">
        <v>197.3</v>
      </c>
      <c r="H1198">
        <v>91</v>
      </c>
      <c r="I1198">
        <v>33.54</v>
      </c>
      <c r="J1198">
        <v>305.8</v>
      </c>
      <c r="K1198">
        <v>81</v>
      </c>
      <c r="L1198">
        <v>25.99</v>
      </c>
      <c r="M1198">
        <v>171</v>
      </c>
      <c r="N1198">
        <v>105</v>
      </c>
      <c r="O1198">
        <v>7.69</v>
      </c>
      <c r="P1198">
        <v>6.7</v>
      </c>
      <c r="Q1198">
        <v>6</v>
      </c>
      <c r="R1198">
        <v>1.81</v>
      </c>
      <c r="S1198">
        <v>1</v>
      </c>
      <c r="T1198" t="b">
        <v>0</v>
      </c>
    </row>
    <row r="1199" spans="1:20">
      <c r="A1199" t="s">
        <v>69</v>
      </c>
      <c r="B1199">
        <v>22</v>
      </c>
      <c r="C1199">
        <v>408</v>
      </c>
      <c r="D1199" t="s">
        <v>62</v>
      </c>
      <c r="E1199" t="s">
        <v>63</v>
      </c>
      <c r="F1199">
        <v>14</v>
      </c>
      <c r="G1199">
        <v>199.1</v>
      </c>
      <c r="H1199">
        <v>100</v>
      </c>
      <c r="I1199">
        <v>33.85</v>
      </c>
      <c r="J1199">
        <v>221.8</v>
      </c>
      <c r="K1199">
        <v>103</v>
      </c>
      <c r="L1199">
        <v>18.85</v>
      </c>
      <c r="M1199">
        <v>65.7</v>
      </c>
      <c r="N1199">
        <v>91</v>
      </c>
      <c r="O1199">
        <v>2.96</v>
      </c>
      <c r="P1199">
        <v>4.2</v>
      </c>
      <c r="Q1199">
        <v>1</v>
      </c>
      <c r="R1199">
        <v>1.13</v>
      </c>
      <c r="S1199">
        <v>1</v>
      </c>
      <c r="T1199" t="b">
        <v>0</v>
      </c>
    </row>
    <row r="1200" spans="1:20">
      <c r="A1200" t="s">
        <v>104</v>
      </c>
      <c r="B1200">
        <v>37</v>
      </c>
      <c r="C1200">
        <v>415</v>
      </c>
      <c r="D1200" t="s">
        <v>62</v>
      </c>
      <c r="E1200" t="s">
        <v>62</v>
      </c>
      <c r="F1200">
        <v>0</v>
      </c>
      <c r="G1200">
        <v>233.7</v>
      </c>
      <c r="H1200">
        <v>114</v>
      </c>
      <c r="I1200">
        <v>39.73</v>
      </c>
      <c r="J1200">
        <v>207.9</v>
      </c>
      <c r="K1200">
        <v>109</v>
      </c>
      <c r="L1200">
        <v>17.67</v>
      </c>
      <c r="M1200">
        <v>212.7</v>
      </c>
      <c r="N1200">
        <v>101</v>
      </c>
      <c r="O1200">
        <v>9.57</v>
      </c>
      <c r="P1200">
        <v>12</v>
      </c>
      <c r="Q1200">
        <v>2</v>
      </c>
      <c r="R1200">
        <v>3.24</v>
      </c>
      <c r="S1200">
        <v>2</v>
      </c>
      <c r="T1200" t="b">
        <v>0</v>
      </c>
    </row>
    <row r="1201" spans="1:20">
      <c r="A1201" t="s">
        <v>68</v>
      </c>
      <c r="B1201">
        <v>51</v>
      </c>
      <c r="C1201">
        <v>415</v>
      </c>
      <c r="D1201" t="s">
        <v>62</v>
      </c>
      <c r="E1201" t="s">
        <v>62</v>
      </c>
      <c r="F1201">
        <v>0</v>
      </c>
      <c r="G1201">
        <v>183.1</v>
      </c>
      <c r="H1201">
        <v>99</v>
      </c>
      <c r="I1201">
        <v>31.13</v>
      </c>
      <c r="J1201">
        <v>160.1</v>
      </c>
      <c r="K1201">
        <v>107</v>
      </c>
      <c r="L1201">
        <v>13.61</v>
      </c>
      <c r="M1201">
        <v>311.8</v>
      </c>
      <c r="N1201">
        <v>121</v>
      </c>
      <c r="O1201">
        <v>14.03</v>
      </c>
      <c r="P1201">
        <v>7</v>
      </c>
      <c r="Q1201">
        <v>3</v>
      </c>
      <c r="R1201">
        <v>1.89</v>
      </c>
      <c r="S1201">
        <v>1</v>
      </c>
      <c r="T1201" t="b">
        <v>0</v>
      </c>
    </row>
    <row r="1202" spans="1:20">
      <c r="A1202" t="s">
        <v>87</v>
      </c>
      <c r="B1202">
        <v>174</v>
      </c>
      <c r="C1202">
        <v>408</v>
      </c>
      <c r="D1202" t="s">
        <v>62</v>
      </c>
      <c r="E1202" t="s">
        <v>62</v>
      </c>
      <c r="F1202">
        <v>0</v>
      </c>
      <c r="G1202">
        <v>139.4</v>
      </c>
      <c r="H1202">
        <v>96</v>
      </c>
      <c r="I1202">
        <v>23.7</v>
      </c>
      <c r="J1202">
        <v>143.4</v>
      </c>
      <c r="K1202">
        <v>108</v>
      </c>
      <c r="L1202">
        <v>12.19</v>
      </c>
      <c r="M1202">
        <v>225.2</v>
      </c>
      <c r="N1202">
        <v>107</v>
      </c>
      <c r="O1202">
        <v>10.13</v>
      </c>
      <c r="P1202">
        <v>10</v>
      </c>
      <c r="Q1202">
        <v>5</v>
      </c>
      <c r="R1202">
        <v>2.7</v>
      </c>
      <c r="S1202">
        <v>2</v>
      </c>
      <c r="T1202" t="b">
        <v>0</v>
      </c>
    </row>
    <row r="1203" spans="1:20">
      <c r="A1203" t="s">
        <v>97</v>
      </c>
      <c r="B1203">
        <v>68</v>
      </c>
      <c r="C1203">
        <v>415</v>
      </c>
      <c r="D1203" t="s">
        <v>62</v>
      </c>
      <c r="E1203" t="s">
        <v>62</v>
      </c>
      <c r="F1203">
        <v>0</v>
      </c>
      <c r="G1203">
        <v>213.9</v>
      </c>
      <c r="H1203">
        <v>112</v>
      </c>
      <c r="I1203">
        <v>36.36</v>
      </c>
      <c r="J1203">
        <v>260.5</v>
      </c>
      <c r="K1203">
        <v>100</v>
      </c>
      <c r="L1203">
        <v>22.14</v>
      </c>
      <c r="M1203">
        <v>233.8</v>
      </c>
      <c r="N1203">
        <v>97</v>
      </c>
      <c r="O1203">
        <v>10.52</v>
      </c>
      <c r="P1203">
        <v>8.4</v>
      </c>
      <c r="Q1203">
        <v>3</v>
      </c>
      <c r="R1203">
        <v>2.27</v>
      </c>
      <c r="S1203">
        <v>1</v>
      </c>
      <c r="T1203" t="b">
        <v>1</v>
      </c>
    </row>
    <row r="1204" spans="1:20">
      <c r="A1204" t="s">
        <v>81</v>
      </c>
      <c r="B1204">
        <v>130</v>
      </c>
      <c r="C1204">
        <v>415</v>
      </c>
      <c r="D1204" t="s">
        <v>62</v>
      </c>
      <c r="E1204" t="s">
        <v>62</v>
      </c>
      <c r="F1204">
        <v>0</v>
      </c>
      <c r="G1204">
        <v>207.1</v>
      </c>
      <c r="H1204">
        <v>70</v>
      </c>
      <c r="I1204">
        <v>35.21</v>
      </c>
      <c r="J1204">
        <v>200.1</v>
      </c>
      <c r="K1204">
        <v>115</v>
      </c>
      <c r="L1204">
        <v>17.01</v>
      </c>
      <c r="M1204">
        <v>194.2</v>
      </c>
      <c r="N1204">
        <v>100</v>
      </c>
      <c r="O1204">
        <v>8.74</v>
      </c>
      <c r="P1204">
        <v>12.4</v>
      </c>
      <c r="Q1204">
        <v>2</v>
      </c>
      <c r="R1204">
        <v>3.35</v>
      </c>
      <c r="S1204">
        <v>1</v>
      </c>
      <c r="T1204" t="b">
        <v>0</v>
      </c>
    </row>
    <row r="1205" spans="1:20">
      <c r="A1205" t="s">
        <v>116</v>
      </c>
      <c r="B1205">
        <v>134</v>
      </c>
      <c r="C1205">
        <v>408</v>
      </c>
      <c r="D1205" t="s">
        <v>62</v>
      </c>
      <c r="E1205" t="s">
        <v>62</v>
      </c>
      <c r="F1205">
        <v>0</v>
      </c>
      <c r="G1205">
        <v>177.2</v>
      </c>
      <c r="H1205">
        <v>91</v>
      </c>
      <c r="I1205">
        <v>30.12</v>
      </c>
      <c r="J1205">
        <v>228.7</v>
      </c>
      <c r="K1205">
        <v>105</v>
      </c>
      <c r="L1205">
        <v>19.44</v>
      </c>
      <c r="M1205">
        <v>194.3</v>
      </c>
      <c r="N1205">
        <v>113</v>
      </c>
      <c r="O1205">
        <v>8.74</v>
      </c>
      <c r="P1205">
        <v>8.9</v>
      </c>
      <c r="Q1205">
        <v>3</v>
      </c>
      <c r="R1205">
        <v>2.4</v>
      </c>
      <c r="S1205">
        <v>2</v>
      </c>
      <c r="T1205" t="b">
        <v>0</v>
      </c>
    </row>
    <row r="1206" spans="1:20">
      <c r="A1206" t="s">
        <v>107</v>
      </c>
      <c r="B1206">
        <v>108</v>
      </c>
      <c r="C1206">
        <v>415</v>
      </c>
      <c r="D1206" t="s">
        <v>62</v>
      </c>
      <c r="E1206" t="s">
        <v>63</v>
      </c>
      <c r="F1206">
        <v>35</v>
      </c>
      <c r="G1206">
        <v>169.8</v>
      </c>
      <c r="H1206">
        <v>136</v>
      </c>
      <c r="I1206">
        <v>28.87</v>
      </c>
      <c r="J1206">
        <v>173.7</v>
      </c>
      <c r="K1206">
        <v>101</v>
      </c>
      <c r="L1206">
        <v>14.76</v>
      </c>
      <c r="M1206">
        <v>214.6</v>
      </c>
      <c r="N1206">
        <v>105</v>
      </c>
      <c r="O1206">
        <v>9.66</v>
      </c>
      <c r="P1206">
        <v>9.5</v>
      </c>
      <c r="Q1206">
        <v>7</v>
      </c>
      <c r="R1206">
        <v>2.57</v>
      </c>
      <c r="S1206">
        <v>2</v>
      </c>
      <c r="T1206" t="b">
        <v>0</v>
      </c>
    </row>
    <row r="1207" spans="1:20">
      <c r="A1207" t="s">
        <v>103</v>
      </c>
      <c r="B1207">
        <v>103</v>
      </c>
      <c r="C1207">
        <v>415</v>
      </c>
      <c r="D1207" t="s">
        <v>62</v>
      </c>
      <c r="E1207" t="s">
        <v>62</v>
      </c>
      <c r="F1207">
        <v>0</v>
      </c>
      <c r="G1207">
        <v>173.5</v>
      </c>
      <c r="H1207">
        <v>83</v>
      </c>
      <c r="I1207">
        <v>29.5</v>
      </c>
      <c r="J1207">
        <v>244.3</v>
      </c>
      <c r="K1207">
        <v>65</v>
      </c>
      <c r="L1207">
        <v>20.77</v>
      </c>
      <c r="M1207">
        <v>221.6</v>
      </c>
      <c r="N1207">
        <v>66</v>
      </c>
      <c r="O1207">
        <v>9.97</v>
      </c>
      <c r="P1207">
        <v>9.7</v>
      </c>
      <c r="Q1207">
        <v>2</v>
      </c>
      <c r="R1207">
        <v>2.62</v>
      </c>
      <c r="S1207">
        <v>3</v>
      </c>
      <c r="T1207" t="b">
        <v>0</v>
      </c>
    </row>
    <row r="1208" spans="1:20">
      <c r="A1208" t="s">
        <v>115</v>
      </c>
      <c r="B1208">
        <v>62</v>
      </c>
      <c r="C1208">
        <v>510</v>
      </c>
      <c r="D1208" t="s">
        <v>62</v>
      </c>
      <c r="E1208" t="s">
        <v>62</v>
      </c>
      <c r="F1208">
        <v>0</v>
      </c>
      <c r="G1208">
        <v>159.9</v>
      </c>
      <c r="H1208">
        <v>100</v>
      </c>
      <c r="I1208">
        <v>27.18</v>
      </c>
      <c r="J1208">
        <v>172.2</v>
      </c>
      <c r="K1208">
        <v>99</v>
      </c>
      <c r="L1208">
        <v>14.64</v>
      </c>
      <c r="M1208">
        <v>263.2</v>
      </c>
      <c r="N1208">
        <v>109</v>
      </c>
      <c r="O1208">
        <v>11.84</v>
      </c>
      <c r="P1208">
        <v>5.6</v>
      </c>
      <c r="Q1208">
        <v>4</v>
      </c>
      <c r="R1208">
        <v>1.51</v>
      </c>
      <c r="S1208">
        <v>1</v>
      </c>
      <c r="T1208" t="b">
        <v>0</v>
      </c>
    </row>
    <row r="1209" spans="1:20">
      <c r="A1209" t="s">
        <v>104</v>
      </c>
      <c r="B1209">
        <v>162</v>
      </c>
      <c r="C1209">
        <v>415</v>
      </c>
      <c r="D1209" t="s">
        <v>62</v>
      </c>
      <c r="E1209" t="s">
        <v>62</v>
      </c>
      <c r="F1209">
        <v>0</v>
      </c>
      <c r="G1209">
        <v>115.1</v>
      </c>
      <c r="H1209">
        <v>89</v>
      </c>
      <c r="I1209">
        <v>19.57</v>
      </c>
      <c r="J1209">
        <v>196.8</v>
      </c>
      <c r="K1209">
        <v>111</v>
      </c>
      <c r="L1209">
        <v>16.73</v>
      </c>
      <c r="M1209">
        <v>212.4</v>
      </c>
      <c r="N1209">
        <v>98</v>
      </c>
      <c r="O1209">
        <v>9.56</v>
      </c>
      <c r="P1209">
        <v>11.4</v>
      </c>
      <c r="Q1209">
        <v>3</v>
      </c>
      <c r="R1209">
        <v>3.08</v>
      </c>
      <c r="S1209">
        <v>2</v>
      </c>
      <c r="T1209" t="b">
        <v>0</v>
      </c>
    </row>
    <row r="1210" spans="1:20">
      <c r="A1210" t="s">
        <v>77</v>
      </c>
      <c r="B1210">
        <v>42</v>
      </c>
      <c r="C1210">
        <v>415</v>
      </c>
      <c r="D1210" t="s">
        <v>62</v>
      </c>
      <c r="E1210" t="s">
        <v>62</v>
      </c>
      <c r="F1210">
        <v>0</v>
      </c>
      <c r="G1210">
        <v>92.2</v>
      </c>
      <c r="H1210">
        <v>108</v>
      </c>
      <c r="I1210">
        <v>15.67</v>
      </c>
      <c r="J1210">
        <v>211.2</v>
      </c>
      <c r="K1210">
        <v>120</v>
      </c>
      <c r="L1210">
        <v>17.95</v>
      </c>
      <c r="M1210">
        <v>129.1</v>
      </c>
      <c r="N1210">
        <v>73</v>
      </c>
      <c r="O1210">
        <v>5.81</v>
      </c>
      <c r="P1210">
        <v>13.1</v>
      </c>
      <c r="Q1210">
        <v>6</v>
      </c>
      <c r="R1210">
        <v>3.54</v>
      </c>
      <c r="S1210">
        <v>1</v>
      </c>
      <c r="T1210" t="b">
        <v>0</v>
      </c>
    </row>
    <row r="1211" spans="1:20">
      <c r="A1211" t="s">
        <v>66</v>
      </c>
      <c r="B1211">
        <v>155</v>
      </c>
      <c r="C1211">
        <v>415</v>
      </c>
      <c r="D1211" t="s">
        <v>62</v>
      </c>
      <c r="E1211" t="s">
        <v>63</v>
      </c>
      <c r="F1211">
        <v>23</v>
      </c>
      <c r="G1211">
        <v>243.9</v>
      </c>
      <c r="H1211">
        <v>112</v>
      </c>
      <c r="I1211">
        <v>41.46</v>
      </c>
      <c r="J1211">
        <v>133</v>
      </c>
      <c r="K1211">
        <v>106</v>
      </c>
      <c r="L1211">
        <v>11.31</v>
      </c>
      <c r="M1211">
        <v>213.7</v>
      </c>
      <c r="N1211">
        <v>123</v>
      </c>
      <c r="O1211">
        <v>9.62</v>
      </c>
      <c r="P1211">
        <v>13.4</v>
      </c>
      <c r="Q1211">
        <v>11</v>
      </c>
      <c r="R1211">
        <v>3.62</v>
      </c>
      <c r="S1211">
        <v>2</v>
      </c>
      <c r="T1211" t="b">
        <v>0</v>
      </c>
    </row>
    <row r="1212" spans="1:20">
      <c r="A1212" t="s">
        <v>75</v>
      </c>
      <c r="B1212">
        <v>36</v>
      </c>
      <c r="C1212">
        <v>510</v>
      </c>
      <c r="D1212" t="s">
        <v>62</v>
      </c>
      <c r="E1212" t="s">
        <v>62</v>
      </c>
      <c r="F1212">
        <v>0</v>
      </c>
      <c r="G1212">
        <v>117.1</v>
      </c>
      <c r="H1212">
        <v>94</v>
      </c>
      <c r="I1212">
        <v>19.91</v>
      </c>
      <c r="J1212">
        <v>235.4</v>
      </c>
      <c r="K1212">
        <v>117</v>
      </c>
      <c r="L1212">
        <v>20.01</v>
      </c>
      <c r="M1212">
        <v>221.3</v>
      </c>
      <c r="N1212">
        <v>108</v>
      </c>
      <c r="O1212">
        <v>9.96</v>
      </c>
      <c r="P1212">
        <v>9</v>
      </c>
      <c r="Q1212">
        <v>2</v>
      </c>
      <c r="R1212">
        <v>2.43</v>
      </c>
      <c r="S1212">
        <v>0</v>
      </c>
      <c r="T1212" t="b">
        <v>0</v>
      </c>
    </row>
    <row r="1213" spans="1:20">
      <c r="A1213" t="s">
        <v>64</v>
      </c>
      <c r="B1213">
        <v>143</v>
      </c>
      <c r="C1213">
        <v>415</v>
      </c>
      <c r="D1213" t="s">
        <v>62</v>
      </c>
      <c r="E1213" t="s">
        <v>62</v>
      </c>
      <c r="F1213">
        <v>0</v>
      </c>
      <c r="G1213">
        <v>223.3</v>
      </c>
      <c r="H1213">
        <v>99</v>
      </c>
      <c r="I1213">
        <v>37.96</v>
      </c>
      <c r="J1213">
        <v>167.1</v>
      </c>
      <c r="K1213">
        <v>128</v>
      </c>
      <c r="L1213">
        <v>14.2</v>
      </c>
      <c r="M1213">
        <v>203</v>
      </c>
      <c r="N1213">
        <v>84</v>
      </c>
      <c r="O1213">
        <v>9.14</v>
      </c>
      <c r="P1213">
        <v>4.5</v>
      </c>
      <c r="Q1213">
        <v>4</v>
      </c>
      <c r="R1213">
        <v>1.22</v>
      </c>
      <c r="S1213">
        <v>0</v>
      </c>
      <c r="T1213" t="b">
        <v>1</v>
      </c>
    </row>
    <row r="1214" spans="1:20">
      <c r="A1214" t="s">
        <v>75</v>
      </c>
      <c r="B1214">
        <v>81</v>
      </c>
      <c r="C1214">
        <v>510</v>
      </c>
      <c r="D1214" t="s">
        <v>62</v>
      </c>
      <c r="E1214" t="s">
        <v>62</v>
      </c>
      <c r="F1214">
        <v>0</v>
      </c>
      <c r="G1214">
        <v>261.4</v>
      </c>
      <c r="H1214">
        <v>141</v>
      </c>
      <c r="I1214">
        <v>44.44</v>
      </c>
      <c r="J1214">
        <v>215.7</v>
      </c>
      <c r="K1214">
        <v>102</v>
      </c>
      <c r="L1214">
        <v>18.33</v>
      </c>
      <c r="M1214">
        <v>271.8</v>
      </c>
      <c r="N1214">
        <v>96</v>
      </c>
      <c r="O1214">
        <v>12.23</v>
      </c>
      <c r="P1214">
        <v>8</v>
      </c>
      <c r="Q1214">
        <v>6</v>
      </c>
      <c r="R1214">
        <v>2.16</v>
      </c>
      <c r="S1214">
        <v>1</v>
      </c>
      <c r="T1214" t="b">
        <v>1</v>
      </c>
    </row>
    <row r="1215" spans="1:20">
      <c r="A1215" t="s">
        <v>95</v>
      </c>
      <c r="B1215">
        <v>138</v>
      </c>
      <c r="C1215">
        <v>510</v>
      </c>
      <c r="D1215" t="s">
        <v>63</v>
      </c>
      <c r="E1215" t="s">
        <v>62</v>
      </c>
      <c r="F1215">
        <v>0</v>
      </c>
      <c r="G1215">
        <v>46.5</v>
      </c>
      <c r="H1215">
        <v>104</v>
      </c>
      <c r="I1215">
        <v>7.91</v>
      </c>
      <c r="J1215">
        <v>186</v>
      </c>
      <c r="K1215">
        <v>114</v>
      </c>
      <c r="L1215">
        <v>15.81</v>
      </c>
      <c r="M1215">
        <v>167.5</v>
      </c>
      <c r="N1215">
        <v>95</v>
      </c>
      <c r="O1215">
        <v>7.54</v>
      </c>
      <c r="P1215">
        <v>9.6</v>
      </c>
      <c r="Q1215">
        <v>4</v>
      </c>
      <c r="R1215">
        <v>2.59</v>
      </c>
      <c r="S1215">
        <v>4</v>
      </c>
      <c r="T1215" t="b">
        <v>1</v>
      </c>
    </row>
    <row r="1216" spans="1:20">
      <c r="A1216" t="s">
        <v>98</v>
      </c>
      <c r="B1216">
        <v>103</v>
      </c>
      <c r="C1216">
        <v>415</v>
      </c>
      <c r="D1216" t="s">
        <v>62</v>
      </c>
      <c r="E1216" t="s">
        <v>63</v>
      </c>
      <c r="F1216">
        <v>18</v>
      </c>
      <c r="G1216">
        <v>149.9</v>
      </c>
      <c r="H1216">
        <v>84</v>
      </c>
      <c r="I1216">
        <v>25.48</v>
      </c>
      <c r="J1216">
        <v>170.9</v>
      </c>
      <c r="K1216">
        <v>84</v>
      </c>
      <c r="L1216">
        <v>14.53</v>
      </c>
      <c r="M1216">
        <v>171.5</v>
      </c>
      <c r="N1216">
        <v>112</v>
      </c>
      <c r="O1216">
        <v>7.72</v>
      </c>
      <c r="P1216">
        <v>11.5</v>
      </c>
      <c r="Q1216">
        <v>7</v>
      </c>
      <c r="R1216">
        <v>3.11</v>
      </c>
      <c r="S1216">
        <v>0</v>
      </c>
      <c r="T1216" t="b">
        <v>1</v>
      </c>
    </row>
    <row r="1217" spans="1:20">
      <c r="A1217" t="s">
        <v>85</v>
      </c>
      <c r="B1217">
        <v>127</v>
      </c>
      <c r="C1217">
        <v>510</v>
      </c>
      <c r="D1217" t="s">
        <v>63</v>
      </c>
      <c r="E1217" t="s">
        <v>62</v>
      </c>
      <c r="F1217">
        <v>0</v>
      </c>
      <c r="G1217">
        <v>242.2</v>
      </c>
      <c r="H1217">
        <v>102</v>
      </c>
      <c r="I1217">
        <v>41.17</v>
      </c>
      <c r="J1217">
        <v>226.1</v>
      </c>
      <c r="K1217">
        <v>80</v>
      </c>
      <c r="L1217">
        <v>19.22</v>
      </c>
      <c r="M1217">
        <v>252</v>
      </c>
      <c r="N1217">
        <v>96</v>
      </c>
      <c r="O1217">
        <v>11.34</v>
      </c>
      <c r="P1217">
        <v>13.9</v>
      </c>
      <c r="Q1217">
        <v>5</v>
      </c>
      <c r="R1217">
        <v>3.75</v>
      </c>
      <c r="S1217">
        <v>2</v>
      </c>
      <c r="T1217" t="b">
        <v>1</v>
      </c>
    </row>
    <row r="1218" spans="1:20">
      <c r="A1218" t="s">
        <v>94</v>
      </c>
      <c r="B1218">
        <v>136</v>
      </c>
      <c r="C1218">
        <v>510</v>
      </c>
      <c r="D1218" t="s">
        <v>62</v>
      </c>
      <c r="E1218" t="s">
        <v>62</v>
      </c>
      <c r="F1218">
        <v>0</v>
      </c>
      <c r="G1218">
        <v>259.4</v>
      </c>
      <c r="H1218">
        <v>99</v>
      </c>
      <c r="I1218">
        <v>44.1</v>
      </c>
      <c r="J1218">
        <v>172.7</v>
      </c>
      <c r="K1218">
        <v>125</v>
      </c>
      <c r="L1218">
        <v>14.68</v>
      </c>
      <c r="M1218">
        <v>293.7</v>
      </c>
      <c r="N1218">
        <v>78</v>
      </c>
      <c r="O1218">
        <v>13.22</v>
      </c>
      <c r="P1218">
        <v>10.7</v>
      </c>
      <c r="Q1218">
        <v>6</v>
      </c>
      <c r="R1218">
        <v>2.89</v>
      </c>
      <c r="S1218">
        <v>1</v>
      </c>
      <c r="T1218" t="b">
        <v>1</v>
      </c>
    </row>
    <row r="1219" spans="1:20">
      <c r="A1219" t="s">
        <v>108</v>
      </c>
      <c r="B1219">
        <v>99</v>
      </c>
      <c r="C1219">
        <v>415</v>
      </c>
      <c r="D1219" t="s">
        <v>62</v>
      </c>
      <c r="E1219" t="s">
        <v>62</v>
      </c>
      <c r="F1219">
        <v>0</v>
      </c>
      <c r="G1219">
        <v>222.4</v>
      </c>
      <c r="H1219">
        <v>102</v>
      </c>
      <c r="I1219">
        <v>37.81</v>
      </c>
      <c r="J1219">
        <v>185.8</v>
      </c>
      <c r="K1219">
        <v>89</v>
      </c>
      <c r="L1219">
        <v>15.79</v>
      </c>
      <c r="M1219">
        <v>237.7</v>
      </c>
      <c r="N1219">
        <v>81</v>
      </c>
      <c r="O1219">
        <v>10.7</v>
      </c>
      <c r="P1219">
        <v>12</v>
      </c>
      <c r="Q1219">
        <v>8</v>
      </c>
      <c r="R1219">
        <v>3.24</v>
      </c>
      <c r="S1219">
        <v>2</v>
      </c>
      <c r="T1219" t="b">
        <v>0</v>
      </c>
    </row>
    <row r="1220" spans="1:20">
      <c r="A1220" t="s">
        <v>92</v>
      </c>
      <c r="B1220">
        <v>95</v>
      </c>
      <c r="C1220">
        <v>415</v>
      </c>
      <c r="D1220" t="s">
        <v>62</v>
      </c>
      <c r="E1220" t="s">
        <v>62</v>
      </c>
      <c r="F1220">
        <v>0</v>
      </c>
      <c r="G1220">
        <v>69.4</v>
      </c>
      <c r="H1220">
        <v>79</v>
      </c>
      <c r="I1220">
        <v>11.8</v>
      </c>
      <c r="J1220">
        <v>190.8</v>
      </c>
      <c r="K1220">
        <v>109</v>
      </c>
      <c r="L1220">
        <v>16.22</v>
      </c>
      <c r="M1220">
        <v>219.9</v>
      </c>
      <c r="N1220">
        <v>102</v>
      </c>
      <c r="O1220">
        <v>9.9</v>
      </c>
      <c r="P1220">
        <v>8.9</v>
      </c>
      <c r="Q1220">
        <v>5</v>
      </c>
      <c r="R1220">
        <v>2.4</v>
      </c>
      <c r="S1220">
        <v>0</v>
      </c>
      <c r="T1220" t="b">
        <v>0</v>
      </c>
    </row>
    <row r="1221" spans="1:20">
      <c r="A1221" t="s">
        <v>108</v>
      </c>
      <c r="B1221">
        <v>118</v>
      </c>
      <c r="C1221">
        <v>408</v>
      </c>
      <c r="D1221" t="s">
        <v>63</v>
      </c>
      <c r="E1221" t="s">
        <v>63</v>
      </c>
      <c r="F1221">
        <v>21</v>
      </c>
      <c r="G1221">
        <v>156.5</v>
      </c>
      <c r="H1221">
        <v>122</v>
      </c>
      <c r="I1221">
        <v>26.61</v>
      </c>
      <c r="J1221">
        <v>209.2</v>
      </c>
      <c r="K1221">
        <v>125</v>
      </c>
      <c r="L1221">
        <v>17.78</v>
      </c>
      <c r="M1221">
        <v>158.7</v>
      </c>
      <c r="N1221">
        <v>81</v>
      </c>
      <c r="O1221">
        <v>7.14</v>
      </c>
      <c r="P1221">
        <v>11.1</v>
      </c>
      <c r="Q1221">
        <v>3</v>
      </c>
      <c r="R1221">
        <v>3</v>
      </c>
      <c r="S1221">
        <v>4</v>
      </c>
      <c r="T1221" t="b">
        <v>1</v>
      </c>
    </row>
    <row r="1222" spans="1:20">
      <c r="A1222" t="s">
        <v>71</v>
      </c>
      <c r="B1222">
        <v>113</v>
      </c>
      <c r="C1222">
        <v>415</v>
      </c>
      <c r="D1222" t="s">
        <v>62</v>
      </c>
      <c r="E1222" t="s">
        <v>62</v>
      </c>
      <c r="F1222">
        <v>0</v>
      </c>
      <c r="G1222">
        <v>61.2</v>
      </c>
      <c r="H1222">
        <v>111</v>
      </c>
      <c r="I1222">
        <v>10.4</v>
      </c>
      <c r="J1222">
        <v>92.3</v>
      </c>
      <c r="K1222">
        <v>88</v>
      </c>
      <c r="L1222">
        <v>7.85</v>
      </c>
      <c r="M1222">
        <v>197.4</v>
      </c>
      <c r="N1222">
        <v>114</v>
      </c>
      <c r="O1222">
        <v>8.88</v>
      </c>
      <c r="P1222">
        <v>13.7</v>
      </c>
      <c r="Q1222">
        <v>3</v>
      </c>
      <c r="R1222">
        <v>3.7</v>
      </c>
      <c r="S1222">
        <v>5</v>
      </c>
      <c r="T1222" t="b">
        <v>1</v>
      </c>
    </row>
    <row r="1223" spans="1:20">
      <c r="A1223" t="s">
        <v>113</v>
      </c>
      <c r="B1223">
        <v>128</v>
      </c>
      <c r="C1223">
        <v>408</v>
      </c>
      <c r="D1223" t="s">
        <v>63</v>
      </c>
      <c r="E1223" t="s">
        <v>62</v>
      </c>
      <c r="F1223">
        <v>0</v>
      </c>
      <c r="G1223">
        <v>245.2</v>
      </c>
      <c r="H1223">
        <v>112</v>
      </c>
      <c r="I1223">
        <v>41.68</v>
      </c>
      <c r="J1223">
        <v>101.5</v>
      </c>
      <c r="K1223">
        <v>101</v>
      </c>
      <c r="L1223">
        <v>8.63</v>
      </c>
      <c r="M1223">
        <v>152.3</v>
      </c>
      <c r="N1223">
        <v>116</v>
      </c>
      <c r="O1223">
        <v>6.85</v>
      </c>
      <c r="P1223">
        <v>10.7</v>
      </c>
      <c r="Q1223">
        <v>5</v>
      </c>
      <c r="R1223">
        <v>2.89</v>
      </c>
      <c r="S1223">
        <v>0</v>
      </c>
      <c r="T1223" t="b">
        <v>0</v>
      </c>
    </row>
    <row r="1224" spans="1:20">
      <c r="A1224" t="s">
        <v>114</v>
      </c>
      <c r="B1224">
        <v>117</v>
      </c>
      <c r="C1224">
        <v>408</v>
      </c>
      <c r="D1224" t="s">
        <v>62</v>
      </c>
      <c r="E1224" t="s">
        <v>62</v>
      </c>
      <c r="F1224">
        <v>0</v>
      </c>
      <c r="G1224">
        <v>102.3</v>
      </c>
      <c r="H1224">
        <v>100</v>
      </c>
      <c r="I1224">
        <v>17.39</v>
      </c>
      <c r="J1224">
        <v>135.2</v>
      </c>
      <c r="K1224">
        <v>104</v>
      </c>
      <c r="L1224">
        <v>11.49</v>
      </c>
      <c r="M1224">
        <v>199.7</v>
      </c>
      <c r="N1224">
        <v>93</v>
      </c>
      <c r="O1224">
        <v>8.99</v>
      </c>
      <c r="P1224">
        <v>15.7</v>
      </c>
      <c r="Q1224">
        <v>10</v>
      </c>
      <c r="R1224">
        <v>4.24</v>
      </c>
      <c r="S1224">
        <v>3</v>
      </c>
      <c r="T1224" t="b">
        <v>0</v>
      </c>
    </row>
    <row r="1225" spans="1:20">
      <c r="A1225" t="s">
        <v>76</v>
      </c>
      <c r="B1225">
        <v>48</v>
      </c>
      <c r="C1225">
        <v>415</v>
      </c>
      <c r="D1225" t="s">
        <v>62</v>
      </c>
      <c r="E1225" t="s">
        <v>63</v>
      </c>
      <c r="F1225">
        <v>36</v>
      </c>
      <c r="G1225">
        <v>230.9</v>
      </c>
      <c r="H1225">
        <v>92</v>
      </c>
      <c r="I1225">
        <v>39.25</v>
      </c>
      <c r="J1225">
        <v>167.6</v>
      </c>
      <c r="K1225">
        <v>121</v>
      </c>
      <c r="L1225">
        <v>14.25</v>
      </c>
      <c r="M1225">
        <v>270</v>
      </c>
      <c r="N1225">
        <v>87</v>
      </c>
      <c r="O1225">
        <v>12.15</v>
      </c>
      <c r="P1225">
        <v>7.6</v>
      </c>
      <c r="Q1225">
        <v>4</v>
      </c>
      <c r="R1225">
        <v>2.05</v>
      </c>
      <c r="S1225">
        <v>3</v>
      </c>
      <c r="T1225" t="b">
        <v>0</v>
      </c>
    </row>
    <row r="1226" spans="1:20">
      <c r="A1226" t="s">
        <v>105</v>
      </c>
      <c r="B1226">
        <v>81</v>
      </c>
      <c r="C1226">
        <v>510</v>
      </c>
      <c r="D1226" t="s">
        <v>63</v>
      </c>
      <c r="E1226" t="s">
        <v>62</v>
      </c>
      <c r="F1226">
        <v>0</v>
      </c>
      <c r="G1226">
        <v>227.4</v>
      </c>
      <c r="H1226">
        <v>105</v>
      </c>
      <c r="I1226">
        <v>38.66</v>
      </c>
      <c r="J1226">
        <v>211.5</v>
      </c>
      <c r="K1226">
        <v>120</v>
      </c>
      <c r="L1226">
        <v>17.98</v>
      </c>
      <c r="M1226">
        <v>258.2</v>
      </c>
      <c r="N1226">
        <v>113</v>
      </c>
      <c r="O1226">
        <v>11.62</v>
      </c>
      <c r="P1226">
        <v>11.9</v>
      </c>
      <c r="Q1226">
        <v>3</v>
      </c>
      <c r="R1226">
        <v>3.21</v>
      </c>
      <c r="S1226">
        <v>0</v>
      </c>
      <c r="T1226" t="b">
        <v>0</v>
      </c>
    </row>
    <row r="1227" spans="1:20">
      <c r="A1227" t="s">
        <v>109</v>
      </c>
      <c r="B1227">
        <v>140</v>
      </c>
      <c r="C1227">
        <v>408</v>
      </c>
      <c r="D1227" t="s">
        <v>62</v>
      </c>
      <c r="E1227" t="s">
        <v>62</v>
      </c>
      <c r="F1227">
        <v>0</v>
      </c>
      <c r="G1227">
        <v>162.6</v>
      </c>
      <c r="H1227">
        <v>98</v>
      </c>
      <c r="I1227">
        <v>27.64</v>
      </c>
      <c r="J1227">
        <v>206.2</v>
      </c>
      <c r="K1227">
        <v>109</v>
      </c>
      <c r="L1227">
        <v>17.53</v>
      </c>
      <c r="M1227">
        <v>141.6</v>
      </c>
      <c r="N1227">
        <v>66</v>
      </c>
      <c r="O1227">
        <v>6.37</v>
      </c>
      <c r="P1227">
        <v>8.2</v>
      </c>
      <c r="Q1227">
        <v>2</v>
      </c>
      <c r="R1227">
        <v>2.21</v>
      </c>
      <c r="S1227">
        <v>1</v>
      </c>
      <c r="T1227" t="b">
        <v>0</v>
      </c>
    </row>
    <row r="1228" spans="1:20">
      <c r="A1228" t="s">
        <v>64</v>
      </c>
      <c r="B1228">
        <v>107</v>
      </c>
      <c r="C1228">
        <v>510</v>
      </c>
      <c r="D1228" t="s">
        <v>62</v>
      </c>
      <c r="E1228" t="s">
        <v>63</v>
      </c>
      <c r="F1228">
        <v>38</v>
      </c>
      <c r="G1228">
        <v>219.4</v>
      </c>
      <c r="H1228">
        <v>92</v>
      </c>
      <c r="I1228">
        <v>37.3</v>
      </c>
      <c r="J1228">
        <v>180.5</v>
      </c>
      <c r="K1228">
        <v>73</v>
      </c>
      <c r="L1228">
        <v>15.34</v>
      </c>
      <c r="M1228">
        <v>104.1</v>
      </c>
      <c r="N1228">
        <v>91</v>
      </c>
      <c r="O1228">
        <v>4.68</v>
      </c>
      <c r="P1228">
        <v>11</v>
      </c>
      <c r="Q1228">
        <v>1</v>
      </c>
      <c r="R1228">
        <v>2.97</v>
      </c>
      <c r="S1228">
        <v>2</v>
      </c>
      <c r="T1228" t="b">
        <v>0</v>
      </c>
    </row>
    <row r="1229" spans="1:20">
      <c r="A1229" t="s">
        <v>69</v>
      </c>
      <c r="B1229">
        <v>56</v>
      </c>
      <c r="C1229">
        <v>415</v>
      </c>
      <c r="D1229" t="s">
        <v>62</v>
      </c>
      <c r="E1229" t="s">
        <v>62</v>
      </c>
      <c r="F1229">
        <v>0</v>
      </c>
      <c r="G1229">
        <v>137.2</v>
      </c>
      <c r="H1229">
        <v>111</v>
      </c>
      <c r="I1229">
        <v>23.32</v>
      </c>
      <c r="J1229">
        <v>165.9</v>
      </c>
      <c r="K1229">
        <v>119</v>
      </c>
      <c r="L1229">
        <v>14.1</v>
      </c>
      <c r="M1229">
        <v>182.3</v>
      </c>
      <c r="N1229">
        <v>72</v>
      </c>
      <c r="O1229">
        <v>8.2</v>
      </c>
      <c r="P1229">
        <v>14.3</v>
      </c>
      <c r="Q1229">
        <v>4</v>
      </c>
      <c r="R1229">
        <v>3.86</v>
      </c>
      <c r="S1229">
        <v>1</v>
      </c>
      <c r="T1229" t="b">
        <v>0</v>
      </c>
    </row>
    <row r="1230" spans="1:20">
      <c r="A1230" t="s">
        <v>80</v>
      </c>
      <c r="B1230">
        <v>159</v>
      </c>
      <c r="C1230">
        <v>415</v>
      </c>
      <c r="D1230" t="s">
        <v>62</v>
      </c>
      <c r="E1230" t="s">
        <v>62</v>
      </c>
      <c r="F1230">
        <v>0</v>
      </c>
      <c r="G1230">
        <v>87.7</v>
      </c>
      <c r="H1230">
        <v>103</v>
      </c>
      <c r="I1230">
        <v>14.91</v>
      </c>
      <c r="J1230">
        <v>278.2</v>
      </c>
      <c r="K1230">
        <v>97</v>
      </c>
      <c r="L1230">
        <v>23.65</v>
      </c>
      <c r="M1230">
        <v>170.6</v>
      </c>
      <c r="N1230">
        <v>93</v>
      </c>
      <c r="O1230">
        <v>7.68</v>
      </c>
      <c r="P1230">
        <v>10.5</v>
      </c>
      <c r="Q1230">
        <v>10</v>
      </c>
      <c r="R1230">
        <v>2.84</v>
      </c>
      <c r="S1230">
        <v>1</v>
      </c>
      <c r="T1230" t="b">
        <v>0</v>
      </c>
    </row>
    <row r="1231" spans="1:20">
      <c r="A1231" t="s">
        <v>91</v>
      </c>
      <c r="B1231">
        <v>102</v>
      </c>
      <c r="C1231">
        <v>415</v>
      </c>
      <c r="D1231" t="s">
        <v>62</v>
      </c>
      <c r="E1231" t="s">
        <v>62</v>
      </c>
      <c r="F1231">
        <v>0</v>
      </c>
      <c r="G1231">
        <v>271.1</v>
      </c>
      <c r="H1231">
        <v>80</v>
      </c>
      <c r="I1231">
        <v>46.09</v>
      </c>
      <c r="J1231">
        <v>172</v>
      </c>
      <c r="K1231">
        <v>133</v>
      </c>
      <c r="L1231">
        <v>14.62</v>
      </c>
      <c r="M1231">
        <v>169.2</v>
      </c>
      <c r="N1231">
        <v>105</v>
      </c>
      <c r="O1231">
        <v>7.61</v>
      </c>
      <c r="P1231">
        <v>10.3</v>
      </c>
      <c r="Q1231">
        <v>5</v>
      </c>
      <c r="R1231">
        <v>2.78</v>
      </c>
      <c r="S1231">
        <v>1</v>
      </c>
      <c r="T1231" t="b">
        <v>0</v>
      </c>
    </row>
    <row r="1232" spans="1:20">
      <c r="A1232" t="s">
        <v>111</v>
      </c>
      <c r="B1232">
        <v>106</v>
      </c>
      <c r="C1232">
        <v>408</v>
      </c>
      <c r="D1232" t="s">
        <v>62</v>
      </c>
      <c r="E1232" t="s">
        <v>62</v>
      </c>
      <c r="F1232">
        <v>0</v>
      </c>
      <c r="G1232">
        <v>52.2</v>
      </c>
      <c r="H1232">
        <v>106</v>
      </c>
      <c r="I1232">
        <v>8.87</v>
      </c>
      <c r="J1232">
        <v>220.1</v>
      </c>
      <c r="K1232">
        <v>113</v>
      </c>
      <c r="L1232">
        <v>18.71</v>
      </c>
      <c r="M1232">
        <v>112.3</v>
      </c>
      <c r="N1232">
        <v>95</v>
      </c>
      <c r="O1232">
        <v>5.05</v>
      </c>
      <c r="P1232">
        <v>11.4</v>
      </c>
      <c r="Q1232">
        <v>2</v>
      </c>
      <c r="R1232">
        <v>3.08</v>
      </c>
      <c r="S1232">
        <v>2</v>
      </c>
      <c r="T1232" t="b">
        <v>0</v>
      </c>
    </row>
    <row r="1233" spans="1:20">
      <c r="A1233" t="s">
        <v>110</v>
      </c>
      <c r="B1233">
        <v>225</v>
      </c>
      <c r="C1233">
        <v>415</v>
      </c>
      <c r="D1233" t="s">
        <v>62</v>
      </c>
      <c r="E1233" t="s">
        <v>62</v>
      </c>
      <c r="F1233">
        <v>0</v>
      </c>
      <c r="G1233">
        <v>165.4</v>
      </c>
      <c r="H1233">
        <v>106</v>
      </c>
      <c r="I1233">
        <v>28.12</v>
      </c>
      <c r="J1233">
        <v>273.7</v>
      </c>
      <c r="K1233">
        <v>109</v>
      </c>
      <c r="L1233">
        <v>23.26</v>
      </c>
      <c r="M1233">
        <v>210</v>
      </c>
      <c r="N1233">
        <v>93</v>
      </c>
      <c r="O1233">
        <v>9.45</v>
      </c>
      <c r="P1233">
        <v>8.7</v>
      </c>
      <c r="Q1233">
        <v>3</v>
      </c>
      <c r="R1233">
        <v>2.35</v>
      </c>
      <c r="S1233">
        <v>0</v>
      </c>
      <c r="T1233" t="b">
        <v>1</v>
      </c>
    </row>
    <row r="1234" spans="1:20">
      <c r="A1234" t="s">
        <v>82</v>
      </c>
      <c r="B1234">
        <v>86</v>
      </c>
      <c r="C1234">
        <v>415</v>
      </c>
      <c r="D1234" t="s">
        <v>62</v>
      </c>
      <c r="E1234" t="s">
        <v>62</v>
      </c>
      <c r="F1234">
        <v>0</v>
      </c>
      <c r="G1234">
        <v>217.8</v>
      </c>
      <c r="H1234">
        <v>93</v>
      </c>
      <c r="I1234">
        <v>37.03</v>
      </c>
      <c r="J1234">
        <v>214.7</v>
      </c>
      <c r="K1234">
        <v>95</v>
      </c>
      <c r="L1234">
        <v>18.25</v>
      </c>
      <c r="M1234">
        <v>228.7</v>
      </c>
      <c r="N1234">
        <v>70</v>
      </c>
      <c r="O1234">
        <v>10.29</v>
      </c>
      <c r="P1234">
        <v>11.3</v>
      </c>
      <c r="Q1234">
        <v>7</v>
      </c>
      <c r="R1234">
        <v>3.05</v>
      </c>
      <c r="S1234">
        <v>0</v>
      </c>
      <c r="T1234" t="b">
        <v>0</v>
      </c>
    </row>
    <row r="1235" spans="1:20">
      <c r="A1235" t="s">
        <v>77</v>
      </c>
      <c r="B1235">
        <v>169</v>
      </c>
      <c r="C1235">
        <v>415</v>
      </c>
      <c r="D1235" t="s">
        <v>62</v>
      </c>
      <c r="E1235" t="s">
        <v>62</v>
      </c>
      <c r="F1235">
        <v>0</v>
      </c>
      <c r="G1235">
        <v>235.7</v>
      </c>
      <c r="H1235">
        <v>79</v>
      </c>
      <c r="I1235">
        <v>40.07</v>
      </c>
      <c r="J1235">
        <v>136.9</v>
      </c>
      <c r="K1235">
        <v>85</v>
      </c>
      <c r="L1235">
        <v>11.64</v>
      </c>
      <c r="M1235">
        <v>220.9</v>
      </c>
      <c r="N1235">
        <v>97</v>
      </c>
      <c r="O1235">
        <v>9.94</v>
      </c>
      <c r="P1235">
        <v>13.3</v>
      </c>
      <c r="Q1235">
        <v>10</v>
      </c>
      <c r="R1235">
        <v>3.59</v>
      </c>
      <c r="S1235">
        <v>1</v>
      </c>
      <c r="T1235" t="b">
        <v>0</v>
      </c>
    </row>
    <row r="1236" spans="1:20">
      <c r="A1236" t="s">
        <v>83</v>
      </c>
      <c r="B1236">
        <v>122</v>
      </c>
      <c r="C1236">
        <v>510</v>
      </c>
      <c r="D1236" t="s">
        <v>62</v>
      </c>
      <c r="E1236" t="s">
        <v>63</v>
      </c>
      <c r="F1236">
        <v>22</v>
      </c>
      <c r="G1236">
        <v>204.5</v>
      </c>
      <c r="H1236">
        <v>92</v>
      </c>
      <c r="I1236">
        <v>34.77</v>
      </c>
      <c r="J1236">
        <v>139.6</v>
      </c>
      <c r="K1236">
        <v>121</v>
      </c>
      <c r="L1236">
        <v>11.87</v>
      </c>
      <c r="M1236">
        <v>205</v>
      </c>
      <c r="N1236">
        <v>103</v>
      </c>
      <c r="O1236">
        <v>9.23</v>
      </c>
      <c r="P1236">
        <v>8.6</v>
      </c>
      <c r="Q1236">
        <v>5</v>
      </c>
      <c r="R1236">
        <v>2.32</v>
      </c>
      <c r="S1236">
        <v>2</v>
      </c>
      <c r="T1236" t="b">
        <v>0</v>
      </c>
    </row>
    <row r="1237" spans="1:20">
      <c r="A1237" t="s">
        <v>102</v>
      </c>
      <c r="B1237">
        <v>52</v>
      </c>
      <c r="C1237">
        <v>415</v>
      </c>
      <c r="D1237" t="s">
        <v>62</v>
      </c>
      <c r="E1237" t="s">
        <v>63</v>
      </c>
      <c r="F1237">
        <v>32</v>
      </c>
      <c r="G1237">
        <v>130.1</v>
      </c>
      <c r="H1237">
        <v>68</v>
      </c>
      <c r="I1237">
        <v>22.12</v>
      </c>
      <c r="J1237">
        <v>247.2</v>
      </c>
      <c r="K1237">
        <v>77</v>
      </c>
      <c r="L1237">
        <v>21.01</v>
      </c>
      <c r="M1237">
        <v>289.4</v>
      </c>
      <c r="N1237">
        <v>87</v>
      </c>
      <c r="O1237">
        <v>13.02</v>
      </c>
      <c r="P1237">
        <v>13.5</v>
      </c>
      <c r="Q1237">
        <v>5</v>
      </c>
      <c r="R1237">
        <v>3.65</v>
      </c>
      <c r="S1237">
        <v>2</v>
      </c>
      <c r="T1237" t="b">
        <v>0</v>
      </c>
    </row>
    <row r="1238" spans="1:20">
      <c r="A1238" t="s">
        <v>95</v>
      </c>
      <c r="B1238">
        <v>79</v>
      </c>
      <c r="C1238">
        <v>415</v>
      </c>
      <c r="D1238" t="s">
        <v>62</v>
      </c>
      <c r="E1238" t="s">
        <v>63</v>
      </c>
      <c r="F1238">
        <v>34</v>
      </c>
      <c r="G1238">
        <v>103.7</v>
      </c>
      <c r="H1238">
        <v>100</v>
      </c>
      <c r="I1238">
        <v>17.63</v>
      </c>
      <c r="J1238">
        <v>236.3</v>
      </c>
      <c r="K1238">
        <v>78</v>
      </c>
      <c r="L1238">
        <v>20.09</v>
      </c>
      <c r="M1238">
        <v>256.6</v>
      </c>
      <c r="N1238">
        <v>102</v>
      </c>
      <c r="O1238">
        <v>11.55</v>
      </c>
      <c r="P1238">
        <v>14.8</v>
      </c>
      <c r="Q1238">
        <v>4</v>
      </c>
      <c r="R1238">
        <v>4</v>
      </c>
      <c r="S1238">
        <v>2</v>
      </c>
      <c r="T1238" t="b">
        <v>0</v>
      </c>
    </row>
    <row r="1239" spans="1:20">
      <c r="A1239" t="s">
        <v>110</v>
      </c>
      <c r="B1239">
        <v>135</v>
      </c>
      <c r="C1239">
        <v>415</v>
      </c>
      <c r="D1239" t="s">
        <v>62</v>
      </c>
      <c r="E1239" t="s">
        <v>62</v>
      </c>
      <c r="F1239">
        <v>0</v>
      </c>
      <c r="G1239">
        <v>239.9</v>
      </c>
      <c r="H1239">
        <v>91</v>
      </c>
      <c r="I1239">
        <v>40.78</v>
      </c>
      <c r="J1239">
        <v>177.1</v>
      </c>
      <c r="K1239">
        <v>104</v>
      </c>
      <c r="L1239">
        <v>15.05</v>
      </c>
      <c r="M1239">
        <v>217.2</v>
      </c>
      <c r="N1239">
        <v>118</v>
      </c>
      <c r="O1239">
        <v>9.77</v>
      </c>
      <c r="P1239">
        <v>5.9</v>
      </c>
      <c r="Q1239">
        <v>3</v>
      </c>
      <c r="R1239">
        <v>1.59</v>
      </c>
      <c r="S1239">
        <v>2</v>
      </c>
      <c r="T1239" t="b">
        <v>0</v>
      </c>
    </row>
    <row r="1240" spans="1:20">
      <c r="A1240" t="s">
        <v>98</v>
      </c>
      <c r="B1240">
        <v>37</v>
      </c>
      <c r="C1240">
        <v>415</v>
      </c>
      <c r="D1240" t="s">
        <v>62</v>
      </c>
      <c r="E1240" t="s">
        <v>62</v>
      </c>
      <c r="F1240">
        <v>0</v>
      </c>
      <c r="G1240">
        <v>191.1</v>
      </c>
      <c r="H1240">
        <v>69</v>
      </c>
      <c r="I1240">
        <v>32.49</v>
      </c>
      <c r="J1240">
        <v>129.2</v>
      </c>
      <c r="K1240">
        <v>113</v>
      </c>
      <c r="L1240">
        <v>10.98</v>
      </c>
      <c r="M1240">
        <v>207.5</v>
      </c>
      <c r="N1240">
        <v>117</v>
      </c>
      <c r="O1240">
        <v>9.34</v>
      </c>
      <c r="P1240">
        <v>12.9</v>
      </c>
      <c r="Q1240">
        <v>1</v>
      </c>
      <c r="R1240">
        <v>3.48</v>
      </c>
      <c r="S1240">
        <v>0</v>
      </c>
      <c r="T1240" t="b">
        <v>0</v>
      </c>
    </row>
    <row r="1241" spans="1:20">
      <c r="A1241" t="s">
        <v>102</v>
      </c>
      <c r="B1241">
        <v>161</v>
      </c>
      <c r="C1241">
        <v>415</v>
      </c>
      <c r="D1241" t="s">
        <v>62</v>
      </c>
      <c r="E1241" t="s">
        <v>63</v>
      </c>
      <c r="F1241">
        <v>39</v>
      </c>
      <c r="G1241">
        <v>218.5</v>
      </c>
      <c r="H1241">
        <v>76</v>
      </c>
      <c r="I1241">
        <v>37.15</v>
      </c>
      <c r="J1241">
        <v>112.7</v>
      </c>
      <c r="K1241">
        <v>94</v>
      </c>
      <c r="L1241">
        <v>9.58</v>
      </c>
      <c r="M1241">
        <v>205.1</v>
      </c>
      <c r="N1241">
        <v>121</v>
      </c>
      <c r="O1241">
        <v>9.23</v>
      </c>
      <c r="P1241">
        <v>7.3</v>
      </c>
      <c r="Q1241">
        <v>4</v>
      </c>
      <c r="R1241">
        <v>1.97</v>
      </c>
      <c r="S1241">
        <v>1</v>
      </c>
      <c r="T1241" t="b">
        <v>0</v>
      </c>
    </row>
    <row r="1242" spans="1:20">
      <c r="A1242" t="s">
        <v>116</v>
      </c>
      <c r="B1242">
        <v>123</v>
      </c>
      <c r="C1242">
        <v>415</v>
      </c>
      <c r="D1242" t="s">
        <v>62</v>
      </c>
      <c r="E1242" t="s">
        <v>62</v>
      </c>
      <c r="F1242">
        <v>0</v>
      </c>
      <c r="G1242">
        <v>128.7</v>
      </c>
      <c r="H1242">
        <v>126</v>
      </c>
      <c r="I1242">
        <v>21.88</v>
      </c>
      <c r="J1242">
        <v>117.6</v>
      </c>
      <c r="K1242">
        <v>94</v>
      </c>
      <c r="L1242">
        <v>10</v>
      </c>
      <c r="M1242">
        <v>198.4</v>
      </c>
      <c r="N1242">
        <v>132</v>
      </c>
      <c r="O1242">
        <v>8.93</v>
      </c>
      <c r="P1242">
        <v>10.8</v>
      </c>
      <c r="Q1242">
        <v>5</v>
      </c>
      <c r="R1242">
        <v>2.92</v>
      </c>
      <c r="S1242">
        <v>0</v>
      </c>
      <c r="T1242" t="b">
        <v>0</v>
      </c>
    </row>
    <row r="1243" spans="1:20">
      <c r="A1243" t="s">
        <v>71</v>
      </c>
      <c r="B1243">
        <v>80</v>
      </c>
      <c r="C1243">
        <v>415</v>
      </c>
      <c r="D1243" t="s">
        <v>62</v>
      </c>
      <c r="E1243" t="s">
        <v>63</v>
      </c>
      <c r="F1243">
        <v>38</v>
      </c>
      <c r="G1243">
        <v>236.6</v>
      </c>
      <c r="H1243">
        <v>69</v>
      </c>
      <c r="I1243">
        <v>40.22</v>
      </c>
      <c r="J1243">
        <v>197.5</v>
      </c>
      <c r="K1243">
        <v>68</v>
      </c>
      <c r="L1243">
        <v>16.79</v>
      </c>
      <c r="M1243">
        <v>209.5</v>
      </c>
      <c r="N1243">
        <v>102</v>
      </c>
      <c r="O1243">
        <v>9.43</v>
      </c>
      <c r="P1243">
        <v>9.5</v>
      </c>
      <c r="Q1243">
        <v>10</v>
      </c>
      <c r="R1243">
        <v>2.57</v>
      </c>
      <c r="S1243">
        <v>2</v>
      </c>
      <c r="T1243" t="b">
        <v>0</v>
      </c>
    </row>
    <row r="1244" spans="1:20">
      <c r="A1244" t="s">
        <v>71</v>
      </c>
      <c r="B1244">
        <v>94</v>
      </c>
      <c r="C1244">
        <v>415</v>
      </c>
      <c r="D1244" t="s">
        <v>62</v>
      </c>
      <c r="E1244" t="s">
        <v>62</v>
      </c>
      <c r="F1244">
        <v>0</v>
      </c>
      <c r="G1244">
        <v>85.9</v>
      </c>
      <c r="H1244">
        <v>113</v>
      </c>
      <c r="I1244">
        <v>14.6</v>
      </c>
      <c r="J1244">
        <v>226.7</v>
      </c>
      <c r="K1244">
        <v>91</v>
      </c>
      <c r="L1244">
        <v>19.27</v>
      </c>
      <c r="M1244">
        <v>279.6</v>
      </c>
      <c r="N1244">
        <v>110</v>
      </c>
      <c r="O1244">
        <v>12.58</v>
      </c>
      <c r="P1244">
        <v>15.6</v>
      </c>
      <c r="Q1244">
        <v>16</v>
      </c>
      <c r="R1244">
        <v>4.21</v>
      </c>
      <c r="S1244">
        <v>0</v>
      </c>
      <c r="T1244" t="b">
        <v>0</v>
      </c>
    </row>
    <row r="1245" spans="1:20">
      <c r="A1245" t="s">
        <v>84</v>
      </c>
      <c r="B1245">
        <v>105</v>
      </c>
      <c r="C1245">
        <v>415</v>
      </c>
      <c r="D1245" t="s">
        <v>62</v>
      </c>
      <c r="E1245" t="s">
        <v>63</v>
      </c>
      <c r="F1245">
        <v>27</v>
      </c>
      <c r="G1245">
        <v>141.2</v>
      </c>
      <c r="H1245">
        <v>96</v>
      </c>
      <c r="I1245">
        <v>24</v>
      </c>
      <c r="J1245">
        <v>167.7</v>
      </c>
      <c r="K1245">
        <v>94</v>
      </c>
      <c r="L1245">
        <v>14.25</v>
      </c>
      <c r="M1245">
        <v>274.4</v>
      </c>
      <c r="N1245">
        <v>101</v>
      </c>
      <c r="O1245">
        <v>12.35</v>
      </c>
      <c r="P1245">
        <v>11.4</v>
      </c>
      <c r="Q1245">
        <v>2</v>
      </c>
      <c r="R1245">
        <v>3.08</v>
      </c>
      <c r="S1245">
        <v>1</v>
      </c>
      <c r="T1245" t="b">
        <v>0</v>
      </c>
    </row>
    <row r="1246" spans="1:20">
      <c r="A1246" t="s">
        <v>100</v>
      </c>
      <c r="B1246">
        <v>73</v>
      </c>
      <c r="C1246">
        <v>415</v>
      </c>
      <c r="D1246" t="s">
        <v>62</v>
      </c>
      <c r="E1246" t="s">
        <v>63</v>
      </c>
      <c r="F1246">
        <v>31</v>
      </c>
      <c r="G1246">
        <v>194.4</v>
      </c>
      <c r="H1246">
        <v>104</v>
      </c>
      <c r="I1246">
        <v>33.05</v>
      </c>
      <c r="J1246">
        <v>176</v>
      </c>
      <c r="K1246">
        <v>84</v>
      </c>
      <c r="L1246">
        <v>14.96</v>
      </c>
      <c r="M1246">
        <v>230.1</v>
      </c>
      <c r="N1246">
        <v>110</v>
      </c>
      <c r="O1246">
        <v>10.35</v>
      </c>
      <c r="P1246">
        <v>11.5</v>
      </c>
      <c r="Q1246">
        <v>3</v>
      </c>
      <c r="R1246">
        <v>3.11</v>
      </c>
      <c r="S1246">
        <v>0</v>
      </c>
      <c r="T1246" t="b">
        <v>0</v>
      </c>
    </row>
    <row r="1247" spans="1:20">
      <c r="A1247" t="s">
        <v>84</v>
      </c>
      <c r="B1247">
        <v>112</v>
      </c>
      <c r="C1247">
        <v>415</v>
      </c>
      <c r="D1247" t="s">
        <v>62</v>
      </c>
      <c r="E1247" t="s">
        <v>62</v>
      </c>
      <c r="F1247">
        <v>0</v>
      </c>
      <c r="G1247">
        <v>167.6</v>
      </c>
      <c r="H1247">
        <v>100</v>
      </c>
      <c r="I1247">
        <v>28.49</v>
      </c>
      <c r="J1247">
        <v>154.5</v>
      </c>
      <c r="K1247">
        <v>90</v>
      </c>
      <c r="L1247">
        <v>13.13</v>
      </c>
      <c r="M1247">
        <v>281.4</v>
      </c>
      <c r="N1247">
        <v>107</v>
      </c>
      <c r="O1247">
        <v>12.66</v>
      </c>
      <c r="P1247">
        <v>17.3</v>
      </c>
      <c r="Q1247">
        <v>3</v>
      </c>
      <c r="R1247">
        <v>4.67</v>
      </c>
      <c r="S1247">
        <v>2</v>
      </c>
      <c r="T1247" t="b">
        <v>0</v>
      </c>
    </row>
    <row r="1248" spans="1:20">
      <c r="A1248" t="s">
        <v>86</v>
      </c>
      <c r="B1248">
        <v>179</v>
      </c>
      <c r="C1248">
        <v>408</v>
      </c>
      <c r="D1248" t="s">
        <v>62</v>
      </c>
      <c r="E1248" t="s">
        <v>62</v>
      </c>
      <c r="F1248">
        <v>0</v>
      </c>
      <c r="G1248">
        <v>234.5</v>
      </c>
      <c r="H1248">
        <v>134</v>
      </c>
      <c r="I1248">
        <v>39.87</v>
      </c>
      <c r="J1248">
        <v>164.2</v>
      </c>
      <c r="K1248">
        <v>94</v>
      </c>
      <c r="L1248">
        <v>13.96</v>
      </c>
      <c r="M1248">
        <v>191.4</v>
      </c>
      <c r="N1248">
        <v>72</v>
      </c>
      <c r="O1248">
        <v>8.61</v>
      </c>
      <c r="P1248">
        <v>6.1</v>
      </c>
      <c r="Q1248">
        <v>4</v>
      </c>
      <c r="R1248">
        <v>1.65</v>
      </c>
      <c r="S1248">
        <v>1</v>
      </c>
      <c r="T1248" t="b">
        <v>0</v>
      </c>
    </row>
    <row r="1249" spans="1:20">
      <c r="A1249" t="s">
        <v>68</v>
      </c>
      <c r="B1249">
        <v>57</v>
      </c>
      <c r="C1249">
        <v>510</v>
      </c>
      <c r="D1249" t="s">
        <v>62</v>
      </c>
      <c r="E1249" t="s">
        <v>62</v>
      </c>
      <c r="F1249">
        <v>0</v>
      </c>
      <c r="G1249">
        <v>154.2</v>
      </c>
      <c r="H1249">
        <v>78</v>
      </c>
      <c r="I1249">
        <v>26.21</v>
      </c>
      <c r="J1249">
        <v>196.7</v>
      </c>
      <c r="K1249">
        <v>85</v>
      </c>
      <c r="L1249">
        <v>16.72</v>
      </c>
      <c r="M1249">
        <v>253.5</v>
      </c>
      <c r="N1249">
        <v>97</v>
      </c>
      <c r="O1249">
        <v>11.41</v>
      </c>
      <c r="P1249">
        <v>10.1</v>
      </c>
      <c r="Q1249">
        <v>9</v>
      </c>
      <c r="R1249">
        <v>2.73</v>
      </c>
      <c r="S1249">
        <v>1</v>
      </c>
      <c r="T1249" t="b">
        <v>0</v>
      </c>
    </row>
    <row r="1250" spans="1:20">
      <c r="A1250" t="s">
        <v>83</v>
      </c>
      <c r="B1250">
        <v>127</v>
      </c>
      <c r="C1250">
        <v>415</v>
      </c>
      <c r="D1250" t="s">
        <v>62</v>
      </c>
      <c r="E1250" t="s">
        <v>63</v>
      </c>
      <c r="F1250">
        <v>14</v>
      </c>
      <c r="G1250">
        <v>143.2</v>
      </c>
      <c r="H1250">
        <v>99</v>
      </c>
      <c r="I1250">
        <v>24.34</v>
      </c>
      <c r="J1250">
        <v>169.9</v>
      </c>
      <c r="K1250">
        <v>91</v>
      </c>
      <c r="L1250">
        <v>14.44</v>
      </c>
      <c r="M1250">
        <v>221.6</v>
      </c>
      <c r="N1250">
        <v>77</v>
      </c>
      <c r="O1250">
        <v>9.97</v>
      </c>
      <c r="P1250">
        <v>11.6</v>
      </c>
      <c r="Q1250">
        <v>1</v>
      </c>
      <c r="R1250">
        <v>3.13</v>
      </c>
      <c r="S1250">
        <v>1</v>
      </c>
      <c r="T1250" t="b">
        <v>0</v>
      </c>
    </row>
    <row r="1251" spans="1:20">
      <c r="A1251" t="s">
        <v>99</v>
      </c>
      <c r="B1251">
        <v>122</v>
      </c>
      <c r="C1251">
        <v>415</v>
      </c>
      <c r="D1251" t="s">
        <v>63</v>
      </c>
      <c r="E1251" t="s">
        <v>63</v>
      </c>
      <c r="F1251">
        <v>40</v>
      </c>
      <c r="G1251">
        <v>216.4</v>
      </c>
      <c r="H1251">
        <v>80</v>
      </c>
      <c r="I1251">
        <v>36.79</v>
      </c>
      <c r="J1251">
        <v>249.7</v>
      </c>
      <c r="K1251">
        <v>90</v>
      </c>
      <c r="L1251">
        <v>21.22</v>
      </c>
      <c r="M1251">
        <v>185.9</v>
      </c>
      <c r="N1251">
        <v>99</v>
      </c>
      <c r="O1251">
        <v>8.37</v>
      </c>
      <c r="P1251">
        <v>12.7</v>
      </c>
      <c r="Q1251">
        <v>4</v>
      </c>
      <c r="R1251">
        <v>3.43</v>
      </c>
      <c r="S1251">
        <v>1</v>
      </c>
      <c r="T1251" t="b">
        <v>0</v>
      </c>
    </row>
    <row r="1252" spans="1:20">
      <c r="A1252" t="s">
        <v>76</v>
      </c>
      <c r="B1252">
        <v>33</v>
      </c>
      <c r="C1252">
        <v>510</v>
      </c>
      <c r="D1252" t="s">
        <v>62</v>
      </c>
      <c r="E1252" t="s">
        <v>63</v>
      </c>
      <c r="F1252">
        <v>35</v>
      </c>
      <c r="G1252">
        <v>161.9</v>
      </c>
      <c r="H1252">
        <v>85</v>
      </c>
      <c r="I1252">
        <v>27.52</v>
      </c>
      <c r="J1252">
        <v>151.2</v>
      </c>
      <c r="K1252">
        <v>82</v>
      </c>
      <c r="L1252">
        <v>12.85</v>
      </c>
      <c r="M1252">
        <v>191</v>
      </c>
      <c r="N1252">
        <v>131</v>
      </c>
      <c r="O1252">
        <v>8.59</v>
      </c>
      <c r="P1252">
        <v>8.5</v>
      </c>
      <c r="Q1252">
        <v>2</v>
      </c>
      <c r="R1252">
        <v>2.3</v>
      </c>
      <c r="S1252">
        <v>1</v>
      </c>
      <c r="T1252" t="b">
        <v>0</v>
      </c>
    </row>
    <row r="1253" spans="1:20">
      <c r="A1253" t="s">
        <v>78</v>
      </c>
      <c r="B1253">
        <v>94</v>
      </c>
      <c r="C1253">
        <v>408</v>
      </c>
      <c r="D1253" t="s">
        <v>62</v>
      </c>
      <c r="E1253" t="s">
        <v>62</v>
      </c>
      <c r="F1253">
        <v>0</v>
      </c>
      <c r="G1253">
        <v>118.7</v>
      </c>
      <c r="H1253">
        <v>90</v>
      </c>
      <c r="I1253">
        <v>20.18</v>
      </c>
      <c r="J1253">
        <v>205.1</v>
      </c>
      <c r="K1253">
        <v>57</v>
      </c>
      <c r="L1253">
        <v>17.43</v>
      </c>
      <c r="M1253">
        <v>172.2</v>
      </c>
      <c r="N1253">
        <v>100</v>
      </c>
      <c r="O1253">
        <v>7.75</v>
      </c>
      <c r="P1253">
        <v>10.4</v>
      </c>
      <c r="Q1253">
        <v>6</v>
      </c>
      <c r="R1253">
        <v>2.81</v>
      </c>
      <c r="S1253">
        <v>3</v>
      </c>
      <c r="T1253" t="b">
        <v>0</v>
      </c>
    </row>
    <row r="1254" spans="1:20">
      <c r="A1254" t="s">
        <v>97</v>
      </c>
      <c r="B1254">
        <v>100</v>
      </c>
      <c r="C1254">
        <v>408</v>
      </c>
      <c r="D1254" t="s">
        <v>62</v>
      </c>
      <c r="E1254" t="s">
        <v>62</v>
      </c>
      <c r="F1254">
        <v>0</v>
      </c>
      <c r="G1254">
        <v>179.1</v>
      </c>
      <c r="H1254">
        <v>123</v>
      </c>
      <c r="I1254">
        <v>30.45</v>
      </c>
      <c r="J1254">
        <v>196.6</v>
      </c>
      <c r="K1254">
        <v>132</v>
      </c>
      <c r="L1254">
        <v>16.71</v>
      </c>
      <c r="M1254">
        <v>186.7</v>
      </c>
      <c r="N1254">
        <v>116</v>
      </c>
      <c r="O1254">
        <v>8.4</v>
      </c>
      <c r="P1254">
        <v>10.2</v>
      </c>
      <c r="Q1254">
        <v>10</v>
      </c>
      <c r="R1254">
        <v>2.75</v>
      </c>
      <c r="S1254">
        <v>1</v>
      </c>
      <c r="T1254" t="b">
        <v>0</v>
      </c>
    </row>
    <row r="1255" spans="1:20">
      <c r="A1255" t="s">
        <v>114</v>
      </c>
      <c r="B1255">
        <v>106</v>
      </c>
      <c r="C1255">
        <v>415</v>
      </c>
      <c r="D1255" t="s">
        <v>62</v>
      </c>
      <c r="E1255" t="s">
        <v>62</v>
      </c>
      <c r="F1255">
        <v>0</v>
      </c>
      <c r="G1255">
        <v>147.9</v>
      </c>
      <c r="H1255">
        <v>97</v>
      </c>
      <c r="I1255">
        <v>25.14</v>
      </c>
      <c r="J1255">
        <v>209.3</v>
      </c>
      <c r="K1255">
        <v>99</v>
      </c>
      <c r="L1255">
        <v>17.79</v>
      </c>
      <c r="M1255">
        <v>162.1</v>
      </c>
      <c r="N1255">
        <v>80</v>
      </c>
      <c r="O1255">
        <v>7.29</v>
      </c>
      <c r="P1255">
        <v>8.8</v>
      </c>
      <c r="Q1255">
        <v>5</v>
      </c>
      <c r="R1255">
        <v>2.38</v>
      </c>
      <c r="S1255">
        <v>2</v>
      </c>
      <c r="T1255" t="b">
        <v>0</v>
      </c>
    </row>
    <row r="1256" spans="1:20">
      <c r="A1256" t="s">
        <v>105</v>
      </c>
      <c r="B1256">
        <v>148</v>
      </c>
      <c r="C1256">
        <v>415</v>
      </c>
      <c r="D1256" t="s">
        <v>62</v>
      </c>
      <c r="E1256" t="s">
        <v>63</v>
      </c>
      <c r="F1256">
        <v>38</v>
      </c>
      <c r="G1256">
        <v>209.2</v>
      </c>
      <c r="H1256">
        <v>110</v>
      </c>
      <c r="I1256">
        <v>35.56</v>
      </c>
      <c r="J1256">
        <v>116.6</v>
      </c>
      <c r="K1256">
        <v>73</v>
      </c>
      <c r="L1256">
        <v>9.91</v>
      </c>
      <c r="M1256">
        <v>109.6</v>
      </c>
      <c r="N1256">
        <v>105</v>
      </c>
      <c r="O1256">
        <v>4.93</v>
      </c>
      <c r="P1256">
        <v>16.5</v>
      </c>
      <c r="Q1256">
        <v>4</v>
      </c>
      <c r="R1256">
        <v>4.46</v>
      </c>
      <c r="S1256">
        <v>2</v>
      </c>
      <c r="T1256" t="b">
        <v>0</v>
      </c>
    </row>
    <row r="1257" spans="1:20">
      <c r="A1257" t="s">
        <v>93</v>
      </c>
      <c r="B1257">
        <v>120</v>
      </c>
      <c r="C1257">
        <v>415</v>
      </c>
      <c r="D1257" t="s">
        <v>62</v>
      </c>
      <c r="E1257" t="s">
        <v>63</v>
      </c>
      <c r="F1257">
        <v>29</v>
      </c>
      <c r="G1257">
        <v>244.3</v>
      </c>
      <c r="H1257">
        <v>140</v>
      </c>
      <c r="I1257">
        <v>41.53</v>
      </c>
      <c r="J1257">
        <v>322.3</v>
      </c>
      <c r="K1257">
        <v>89</v>
      </c>
      <c r="L1257">
        <v>27.4</v>
      </c>
      <c r="M1257">
        <v>166.8</v>
      </c>
      <c r="N1257">
        <v>83</v>
      </c>
      <c r="O1257">
        <v>7.51</v>
      </c>
      <c r="P1257">
        <v>10.6</v>
      </c>
      <c r="Q1257">
        <v>6</v>
      </c>
      <c r="R1257">
        <v>2.86</v>
      </c>
      <c r="S1257">
        <v>0</v>
      </c>
      <c r="T1257" t="b">
        <v>0</v>
      </c>
    </row>
    <row r="1258" spans="1:20">
      <c r="A1258" t="s">
        <v>97</v>
      </c>
      <c r="B1258">
        <v>91</v>
      </c>
      <c r="C1258">
        <v>415</v>
      </c>
      <c r="D1258" t="s">
        <v>62</v>
      </c>
      <c r="E1258" t="s">
        <v>63</v>
      </c>
      <c r="F1258">
        <v>34</v>
      </c>
      <c r="G1258">
        <v>175.3</v>
      </c>
      <c r="H1258">
        <v>96</v>
      </c>
      <c r="I1258">
        <v>29.8</v>
      </c>
      <c r="J1258">
        <v>262.3</v>
      </c>
      <c r="K1258">
        <v>122</v>
      </c>
      <c r="L1258">
        <v>22.3</v>
      </c>
      <c r="M1258">
        <v>143.9</v>
      </c>
      <c r="N1258">
        <v>76</v>
      </c>
      <c r="O1258">
        <v>6.48</v>
      </c>
      <c r="P1258">
        <v>5.6</v>
      </c>
      <c r="Q1258">
        <v>11</v>
      </c>
      <c r="R1258">
        <v>1.51</v>
      </c>
      <c r="S1258">
        <v>1</v>
      </c>
      <c r="T1258" t="b">
        <v>0</v>
      </c>
    </row>
    <row r="1259" spans="1:20">
      <c r="A1259" t="s">
        <v>101</v>
      </c>
      <c r="B1259">
        <v>86</v>
      </c>
      <c r="C1259">
        <v>510</v>
      </c>
      <c r="D1259" t="s">
        <v>62</v>
      </c>
      <c r="E1259" t="s">
        <v>62</v>
      </c>
      <c r="F1259">
        <v>0</v>
      </c>
      <c r="G1259">
        <v>150.5</v>
      </c>
      <c r="H1259">
        <v>92</v>
      </c>
      <c r="I1259">
        <v>25.59</v>
      </c>
      <c r="J1259">
        <v>120.3</v>
      </c>
      <c r="K1259">
        <v>95</v>
      </c>
      <c r="L1259">
        <v>10.23</v>
      </c>
      <c r="M1259">
        <v>271.2</v>
      </c>
      <c r="N1259">
        <v>96</v>
      </c>
      <c r="O1259">
        <v>12.2</v>
      </c>
      <c r="P1259">
        <v>9</v>
      </c>
      <c r="Q1259">
        <v>2</v>
      </c>
      <c r="R1259">
        <v>2.43</v>
      </c>
      <c r="S1259">
        <v>1</v>
      </c>
      <c r="T1259" t="b">
        <v>0</v>
      </c>
    </row>
    <row r="1260" spans="1:20">
      <c r="A1260" t="s">
        <v>99</v>
      </c>
      <c r="B1260">
        <v>78</v>
      </c>
      <c r="C1260">
        <v>415</v>
      </c>
      <c r="D1260" t="s">
        <v>62</v>
      </c>
      <c r="E1260" t="s">
        <v>63</v>
      </c>
      <c r="F1260">
        <v>25</v>
      </c>
      <c r="G1260">
        <v>197.4</v>
      </c>
      <c r="H1260">
        <v>73</v>
      </c>
      <c r="I1260">
        <v>33.56</v>
      </c>
      <c r="J1260">
        <v>295.7</v>
      </c>
      <c r="K1260">
        <v>113</v>
      </c>
      <c r="L1260">
        <v>25.13</v>
      </c>
      <c r="M1260">
        <v>211.7</v>
      </c>
      <c r="N1260">
        <v>73</v>
      </c>
      <c r="O1260">
        <v>9.53</v>
      </c>
      <c r="P1260">
        <v>13.2</v>
      </c>
      <c r="Q1260">
        <v>2</v>
      </c>
      <c r="R1260">
        <v>3.56</v>
      </c>
      <c r="S1260">
        <v>0</v>
      </c>
      <c r="T1260" t="b">
        <v>0</v>
      </c>
    </row>
    <row r="1261" spans="1:20">
      <c r="A1261" t="s">
        <v>76</v>
      </c>
      <c r="B1261">
        <v>94</v>
      </c>
      <c r="C1261">
        <v>510</v>
      </c>
      <c r="D1261" t="s">
        <v>62</v>
      </c>
      <c r="E1261" t="s">
        <v>62</v>
      </c>
      <c r="F1261">
        <v>0</v>
      </c>
      <c r="G1261">
        <v>163.5</v>
      </c>
      <c r="H1261">
        <v>136</v>
      </c>
      <c r="I1261">
        <v>27.8</v>
      </c>
      <c r="J1261">
        <v>143.7</v>
      </c>
      <c r="K1261">
        <v>111</v>
      </c>
      <c r="L1261">
        <v>12.21</v>
      </c>
      <c r="M1261">
        <v>253.4</v>
      </c>
      <c r="N1261">
        <v>82</v>
      </c>
      <c r="O1261">
        <v>11.4</v>
      </c>
      <c r="P1261">
        <v>12.6</v>
      </c>
      <c r="Q1261">
        <v>5</v>
      </c>
      <c r="R1261">
        <v>3.4</v>
      </c>
      <c r="S1261">
        <v>1</v>
      </c>
      <c r="T1261" t="b">
        <v>0</v>
      </c>
    </row>
    <row r="1262" spans="1:20">
      <c r="A1262" t="s">
        <v>65</v>
      </c>
      <c r="B1262">
        <v>85</v>
      </c>
      <c r="C1262">
        <v>415</v>
      </c>
      <c r="D1262" t="s">
        <v>62</v>
      </c>
      <c r="E1262" t="s">
        <v>62</v>
      </c>
      <c r="F1262">
        <v>0</v>
      </c>
      <c r="G1262">
        <v>236.9</v>
      </c>
      <c r="H1262">
        <v>93</v>
      </c>
      <c r="I1262">
        <v>40.27</v>
      </c>
      <c r="J1262">
        <v>197.7</v>
      </c>
      <c r="K1262">
        <v>113</v>
      </c>
      <c r="L1262">
        <v>16.8</v>
      </c>
      <c r="M1262">
        <v>309.1</v>
      </c>
      <c r="N1262">
        <v>78</v>
      </c>
      <c r="O1262">
        <v>13.91</v>
      </c>
      <c r="P1262">
        <v>11.4</v>
      </c>
      <c r="Q1262">
        <v>7</v>
      </c>
      <c r="R1262">
        <v>3.08</v>
      </c>
      <c r="S1262">
        <v>2</v>
      </c>
      <c r="T1262" t="b">
        <v>1</v>
      </c>
    </row>
    <row r="1263" spans="1:20">
      <c r="A1263" t="s">
        <v>116</v>
      </c>
      <c r="B1263">
        <v>89</v>
      </c>
      <c r="C1263">
        <v>415</v>
      </c>
      <c r="D1263" t="s">
        <v>62</v>
      </c>
      <c r="E1263" t="s">
        <v>62</v>
      </c>
      <c r="F1263">
        <v>0</v>
      </c>
      <c r="G1263">
        <v>82.3</v>
      </c>
      <c r="H1263">
        <v>77</v>
      </c>
      <c r="I1263">
        <v>13.99</v>
      </c>
      <c r="J1263">
        <v>167.2</v>
      </c>
      <c r="K1263">
        <v>80</v>
      </c>
      <c r="L1263">
        <v>14.21</v>
      </c>
      <c r="M1263">
        <v>194.7</v>
      </c>
      <c r="N1263">
        <v>70</v>
      </c>
      <c r="O1263">
        <v>8.76</v>
      </c>
      <c r="P1263">
        <v>7.2</v>
      </c>
      <c r="Q1263">
        <v>4</v>
      </c>
      <c r="R1263">
        <v>1.94</v>
      </c>
      <c r="S1263">
        <v>1</v>
      </c>
      <c r="T1263" t="b">
        <v>0</v>
      </c>
    </row>
    <row r="1264" spans="1:20">
      <c r="A1264" t="s">
        <v>79</v>
      </c>
      <c r="B1264">
        <v>128</v>
      </c>
      <c r="C1264">
        <v>415</v>
      </c>
      <c r="D1264" t="s">
        <v>62</v>
      </c>
      <c r="E1264" t="s">
        <v>62</v>
      </c>
      <c r="F1264">
        <v>0</v>
      </c>
      <c r="G1264">
        <v>216</v>
      </c>
      <c r="H1264">
        <v>111</v>
      </c>
      <c r="I1264">
        <v>36.72</v>
      </c>
      <c r="J1264">
        <v>153.7</v>
      </c>
      <c r="K1264">
        <v>115</v>
      </c>
      <c r="L1264">
        <v>13.06</v>
      </c>
      <c r="M1264">
        <v>227</v>
      </c>
      <c r="N1264">
        <v>74</v>
      </c>
      <c r="O1264">
        <v>10.22</v>
      </c>
      <c r="P1264">
        <v>12.7</v>
      </c>
      <c r="Q1264">
        <v>4</v>
      </c>
      <c r="R1264">
        <v>3.43</v>
      </c>
      <c r="S1264">
        <v>1</v>
      </c>
      <c r="T1264" t="b">
        <v>0</v>
      </c>
    </row>
    <row r="1265" spans="1:20">
      <c r="A1265" t="s">
        <v>100</v>
      </c>
      <c r="B1265">
        <v>115</v>
      </c>
      <c r="C1265">
        <v>415</v>
      </c>
      <c r="D1265" t="s">
        <v>63</v>
      </c>
      <c r="E1265" t="s">
        <v>62</v>
      </c>
      <c r="F1265">
        <v>0</v>
      </c>
      <c r="G1265">
        <v>180</v>
      </c>
      <c r="H1265">
        <v>119</v>
      </c>
      <c r="I1265">
        <v>30.6</v>
      </c>
      <c r="J1265">
        <v>198.8</v>
      </c>
      <c r="K1265">
        <v>126</v>
      </c>
      <c r="L1265">
        <v>16.9</v>
      </c>
      <c r="M1265">
        <v>217.1</v>
      </c>
      <c r="N1265">
        <v>70</v>
      </c>
      <c r="O1265">
        <v>9.77</v>
      </c>
      <c r="P1265">
        <v>12.4</v>
      </c>
      <c r="Q1265">
        <v>3</v>
      </c>
      <c r="R1265">
        <v>3.35</v>
      </c>
      <c r="S1265">
        <v>1</v>
      </c>
      <c r="T1265" t="b">
        <v>0</v>
      </c>
    </row>
    <row r="1266" spans="1:20">
      <c r="A1266" t="s">
        <v>90</v>
      </c>
      <c r="B1266">
        <v>76</v>
      </c>
      <c r="C1266">
        <v>415</v>
      </c>
      <c r="D1266" t="s">
        <v>62</v>
      </c>
      <c r="E1266" t="s">
        <v>62</v>
      </c>
      <c r="F1266">
        <v>0</v>
      </c>
      <c r="G1266">
        <v>143.7</v>
      </c>
      <c r="H1266">
        <v>55</v>
      </c>
      <c r="I1266">
        <v>24.43</v>
      </c>
      <c r="J1266">
        <v>173.1</v>
      </c>
      <c r="K1266">
        <v>108</v>
      </c>
      <c r="L1266">
        <v>14.71</v>
      </c>
      <c r="M1266">
        <v>239.1</v>
      </c>
      <c r="N1266">
        <v>95</v>
      </c>
      <c r="O1266">
        <v>10.76</v>
      </c>
      <c r="P1266">
        <v>5.8</v>
      </c>
      <c r="Q1266">
        <v>6</v>
      </c>
      <c r="R1266">
        <v>1.57</v>
      </c>
      <c r="S1266">
        <v>1</v>
      </c>
      <c r="T1266" t="b">
        <v>0</v>
      </c>
    </row>
    <row r="1267" spans="1:20">
      <c r="A1267" t="s">
        <v>91</v>
      </c>
      <c r="B1267">
        <v>75</v>
      </c>
      <c r="C1267">
        <v>415</v>
      </c>
      <c r="D1267" t="s">
        <v>62</v>
      </c>
      <c r="E1267" t="s">
        <v>63</v>
      </c>
      <c r="F1267">
        <v>39</v>
      </c>
      <c r="G1267">
        <v>198.2</v>
      </c>
      <c r="H1267">
        <v>107</v>
      </c>
      <c r="I1267">
        <v>33.69</v>
      </c>
      <c r="J1267">
        <v>280.4</v>
      </c>
      <c r="K1267">
        <v>132</v>
      </c>
      <c r="L1267">
        <v>23.83</v>
      </c>
      <c r="M1267">
        <v>129.6</v>
      </c>
      <c r="N1267">
        <v>73</v>
      </c>
      <c r="O1267">
        <v>5.83</v>
      </c>
      <c r="P1267">
        <v>11.3</v>
      </c>
      <c r="Q1267">
        <v>7</v>
      </c>
      <c r="R1267">
        <v>3.05</v>
      </c>
      <c r="S1267">
        <v>1</v>
      </c>
      <c r="T1267" t="b">
        <v>0</v>
      </c>
    </row>
    <row r="1268" spans="1:20">
      <c r="A1268" t="s">
        <v>115</v>
      </c>
      <c r="B1268">
        <v>82</v>
      </c>
      <c r="C1268">
        <v>415</v>
      </c>
      <c r="D1268" t="s">
        <v>62</v>
      </c>
      <c r="E1268" t="s">
        <v>63</v>
      </c>
      <c r="F1268">
        <v>29</v>
      </c>
      <c r="G1268">
        <v>163.8</v>
      </c>
      <c r="H1268">
        <v>77</v>
      </c>
      <c r="I1268">
        <v>27.85</v>
      </c>
      <c r="J1268">
        <v>134.9</v>
      </c>
      <c r="K1268">
        <v>112</v>
      </c>
      <c r="L1268">
        <v>11.47</v>
      </c>
      <c r="M1268">
        <v>79.3</v>
      </c>
      <c r="N1268">
        <v>95</v>
      </c>
      <c r="O1268">
        <v>3.57</v>
      </c>
      <c r="P1268">
        <v>8.8</v>
      </c>
      <c r="Q1268">
        <v>2</v>
      </c>
      <c r="R1268">
        <v>2.38</v>
      </c>
      <c r="S1268">
        <v>2</v>
      </c>
      <c r="T1268" t="b">
        <v>0</v>
      </c>
    </row>
    <row r="1269" spans="1:20">
      <c r="A1269" t="s">
        <v>96</v>
      </c>
      <c r="B1269">
        <v>87</v>
      </c>
      <c r="C1269">
        <v>510</v>
      </c>
      <c r="D1269" t="s">
        <v>62</v>
      </c>
      <c r="E1269" t="s">
        <v>62</v>
      </c>
      <c r="F1269">
        <v>0</v>
      </c>
      <c r="G1269">
        <v>189.5</v>
      </c>
      <c r="H1269">
        <v>113</v>
      </c>
      <c r="I1269">
        <v>32.22</v>
      </c>
      <c r="J1269">
        <v>204.9</v>
      </c>
      <c r="K1269">
        <v>100</v>
      </c>
      <c r="L1269">
        <v>17.42</v>
      </c>
      <c r="M1269">
        <v>221.7</v>
      </c>
      <c r="N1269">
        <v>93</v>
      </c>
      <c r="O1269">
        <v>9.98</v>
      </c>
      <c r="P1269">
        <v>13.4</v>
      </c>
      <c r="Q1269">
        <v>3</v>
      </c>
      <c r="R1269">
        <v>3.62</v>
      </c>
      <c r="S1269">
        <v>1</v>
      </c>
      <c r="T1269" t="b">
        <v>0</v>
      </c>
    </row>
    <row r="1270" spans="1:20">
      <c r="A1270" t="s">
        <v>110</v>
      </c>
      <c r="B1270">
        <v>115</v>
      </c>
      <c r="C1270">
        <v>415</v>
      </c>
      <c r="D1270" t="s">
        <v>62</v>
      </c>
      <c r="E1270" t="s">
        <v>63</v>
      </c>
      <c r="F1270">
        <v>26</v>
      </c>
      <c r="G1270">
        <v>155.2</v>
      </c>
      <c r="H1270">
        <v>110</v>
      </c>
      <c r="I1270">
        <v>26.38</v>
      </c>
      <c r="J1270">
        <v>230.9</v>
      </c>
      <c r="K1270">
        <v>133</v>
      </c>
      <c r="L1270">
        <v>19.63</v>
      </c>
      <c r="M1270">
        <v>261.6</v>
      </c>
      <c r="N1270">
        <v>100</v>
      </c>
      <c r="O1270">
        <v>11.77</v>
      </c>
      <c r="P1270">
        <v>4.5</v>
      </c>
      <c r="Q1270">
        <v>4</v>
      </c>
      <c r="R1270">
        <v>1.22</v>
      </c>
      <c r="S1270">
        <v>0</v>
      </c>
      <c r="T1270" t="b">
        <v>0</v>
      </c>
    </row>
    <row r="1271" spans="1:20">
      <c r="A1271" t="s">
        <v>92</v>
      </c>
      <c r="B1271">
        <v>99</v>
      </c>
      <c r="C1271">
        <v>510</v>
      </c>
      <c r="D1271" t="s">
        <v>63</v>
      </c>
      <c r="E1271" t="s">
        <v>62</v>
      </c>
      <c r="F1271">
        <v>0</v>
      </c>
      <c r="G1271">
        <v>242.3</v>
      </c>
      <c r="H1271">
        <v>102</v>
      </c>
      <c r="I1271">
        <v>41.19</v>
      </c>
      <c r="J1271">
        <v>350.9</v>
      </c>
      <c r="K1271">
        <v>102</v>
      </c>
      <c r="L1271">
        <v>29.83</v>
      </c>
      <c r="M1271">
        <v>163.1</v>
      </c>
      <c r="N1271">
        <v>93</v>
      </c>
      <c r="O1271">
        <v>7.34</v>
      </c>
      <c r="P1271">
        <v>11.3</v>
      </c>
      <c r="Q1271">
        <v>3</v>
      </c>
      <c r="R1271">
        <v>3.05</v>
      </c>
      <c r="S1271">
        <v>0</v>
      </c>
      <c r="T1271" t="b">
        <v>1</v>
      </c>
    </row>
    <row r="1272" spans="1:20">
      <c r="A1272" t="s">
        <v>78</v>
      </c>
      <c r="B1272">
        <v>121</v>
      </c>
      <c r="C1272">
        <v>415</v>
      </c>
      <c r="D1272" t="s">
        <v>63</v>
      </c>
      <c r="E1272" t="s">
        <v>63</v>
      </c>
      <c r="F1272">
        <v>44</v>
      </c>
      <c r="G1272">
        <v>254.1</v>
      </c>
      <c r="H1272">
        <v>127</v>
      </c>
      <c r="I1272">
        <v>43.2</v>
      </c>
      <c r="J1272">
        <v>180.2</v>
      </c>
      <c r="K1272">
        <v>108</v>
      </c>
      <c r="L1272">
        <v>15.32</v>
      </c>
      <c r="M1272">
        <v>196.2</v>
      </c>
      <c r="N1272">
        <v>129</v>
      </c>
      <c r="O1272">
        <v>8.83</v>
      </c>
      <c r="P1272">
        <v>8.7</v>
      </c>
      <c r="Q1272">
        <v>4</v>
      </c>
      <c r="R1272">
        <v>2.35</v>
      </c>
      <c r="S1272">
        <v>3</v>
      </c>
      <c r="T1272" t="b">
        <v>0</v>
      </c>
    </row>
    <row r="1273" spans="1:20">
      <c r="A1273" t="s">
        <v>71</v>
      </c>
      <c r="B1273">
        <v>54</v>
      </c>
      <c r="C1273">
        <v>510</v>
      </c>
      <c r="D1273" t="s">
        <v>62</v>
      </c>
      <c r="E1273" t="s">
        <v>63</v>
      </c>
      <c r="F1273">
        <v>33</v>
      </c>
      <c r="G1273">
        <v>112</v>
      </c>
      <c r="H1273">
        <v>90</v>
      </c>
      <c r="I1273">
        <v>19.04</v>
      </c>
      <c r="J1273">
        <v>208</v>
      </c>
      <c r="K1273">
        <v>112</v>
      </c>
      <c r="L1273">
        <v>17.68</v>
      </c>
      <c r="M1273">
        <v>150.3</v>
      </c>
      <c r="N1273">
        <v>83</v>
      </c>
      <c r="O1273">
        <v>6.76</v>
      </c>
      <c r="P1273">
        <v>11.3</v>
      </c>
      <c r="Q1273">
        <v>4</v>
      </c>
      <c r="R1273">
        <v>3.05</v>
      </c>
      <c r="S1273">
        <v>2</v>
      </c>
      <c r="T1273" t="b">
        <v>0</v>
      </c>
    </row>
    <row r="1274" spans="1:20">
      <c r="A1274" t="s">
        <v>116</v>
      </c>
      <c r="B1274">
        <v>95</v>
      </c>
      <c r="C1274">
        <v>415</v>
      </c>
      <c r="D1274" t="s">
        <v>62</v>
      </c>
      <c r="E1274" t="s">
        <v>62</v>
      </c>
      <c r="F1274">
        <v>0</v>
      </c>
      <c r="G1274">
        <v>198.4</v>
      </c>
      <c r="H1274">
        <v>113</v>
      </c>
      <c r="I1274">
        <v>33.73</v>
      </c>
      <c r="J1274">
        <v>235.9</v>
      </c>
      <c r="K1274">
        <v>144</v>
      </c>
      <c r="L1274">
        <v>20.05</v>
      </c>
      <c r="M1274">
        <v>325.6</v>
      </c>
      <c r="N1274">
        <v>99</v>
      </c>
      <c r="O1274">
        <v>14.65</v>
      </c>
      <c r="P1274">
        <v>10.1</v>
      </c>
      <c r="Q1274">
        <v>3</v>
      </c>
      <c r="R1274">
        <v>2.73</v>
      </c>
      <c r="S1274">
        <v>0</v>
      </c>
      <c r="T1274" t="b">
        <v>0</v>
      </c>
    </row>
    <row r="1275" spans="1:20">
      <c r="A1275" t="s">
        <v>94</v>
      </c>
      <c r="B1275">
        <v>163</v>
      </c>
      <c r="C1275">
        <v>408</v>
      </c>
      <c r="D1275" t="s">
        <v>62</v>
      </c>
      <c r="E1275" t="s">
        <v>63</v>
      </c>
      <c r="F1275">
        <v>25</v>
      </c>
      <c r="G1275">
        <v>219.6</v>
      </c>
      <c r="H1275">
        <v>99</v>
      </c>
      <c r="I1275">
        <v>37.33</v>
      </c>
      <c r="J1275">
        <v>210.4</v>
      </c>
      <c r="K1275">
        <v>99</v>
      </c>
      <c r="L1275">
        <v>17.88</v>
      </c>
      <c r="M1275">
        <v>242.7</v>
      </c>
      <c r="N1275">
        <v>88</v>
      </c>
      <c r="O1275">
        <v>10.92</v>
      </c>
      <c r="P1275">
        <v>13.8</v>
      </c>
      <c r="Q1275">
        <v>8</v>
      </c>
      <c r="R1275">
        <v>3.73</v>
      </c>
      <c r="S1275">
        <v>2</v>
      </c>
      <c r="T1275" t="b">
        <v>0</v>
      </c>
    </row>
    <row r="1276" spans="1:20">
      <c r="A1276" t="s">
        <v>78</v>
      </c>
      <c r="B1276">
        <v>57</v>
      </c>
      <c r="C1276">
        <v>415</v>
      </c>
      <c r="D1276" t="s">
        <v>62</v>
      </c>
      <c r="E1276" t="s">
        <v>62</v>
      </c>
      <c r="F1276">
        <v>0</v>
      </c>
      <c r="G1276">
        <v>169.6</v>
      </c>
      <c r="H1276">
        <v>96</v>
      </c>
      <c r="I1276">
        <v>28.83</v>
      </c>
      <c r="J1276">
        <v>234.7</v>
      </c>
      <c r="K1276">
        <v>112</v>
      </c>
      <c r="L1276">
        <v>19.95</v>
      </c>
      <c r="M1276">
        <v>285.4</v>
      </c>
      <c r="N1276">
        <v>83</v>
      </c>
      <c r="O1276">
        <v>12.84</v>
      </c>
      <c r="P1276">
        <v>11.2</v>
      </c>
      <c r="Q1276">
        <v>4</v>
      </c>
      <c r="R1276">
        <v>3.02</v>
      </c>
      <c r="S1276">
        <v>0</v>
      </c>
      <c r="T1276" t="b">
        <v>0</v>
      </c>
    </row>
    <row r="1277" spans="1:20">
      <c r="A1277" t="s">
        <v>73</v>
      </c>
      <c r="B1277">
        <v>104</v>
      </c>
      <c r="C1277">
        <v>408</v>
      </c>
      <c r="D1277" t="s">
        <v>63</v>
      </c>
      <c r="E1277" t="s">
        <v>62</v>
      </c>
      <c r="F1277">
        <v>0</v>
      </c>
      <c r="G1277">
        <v>160.4</v>
      </c>
      <c r="H1277">
        <v>73</v>
      </c>
      <c r="I1277">
        <v>27.27</v>
      </c>
      <c r="J1277">
        <v>293.9</v>
      </c>
      <c r="K1277">
        <v>103</v>
      </c>
      <c r="L1277">
        <v>24.98</v>
      </c>
      <c r="M1277">
        <v>306.6</v>
      </c>
      <c r="N1277">
        <v>90</v>
      </c>
      <c r="O1277">
        <v>13.8</v>
      </c>
      <c r="P1277">
        <v>12.6</v>
      </c>
      <c r="Q1277">
        <v>5</v>
      </c>
      <c r="R1277">
        <v>3.4</v>
      </c>
      <c r="S1277">
        <v>4</v>
      </c>
      <c r="T1277" t="b">
        <v>0</v>
      </c>
    </row>
    <row r="1278" spans="1:20">
      <c r="A1278" t="s">
        <v>73</v>
      </c>
      <c r="B1278">
        <v>83</v>
      </c>
      <c r="C1278">
        <v>415</v>
      </c>
      <c r="D1278" t="s">
        <v>62</v>
      </c>
      <c r="E1278" t="s">
        <v>63</v>
      </c>
      <c r="F1278">
        <v>20</v>
      </c>
      <c r="G1278">
        <v>95</v>
      </c>
      <c r="H1278">
        <v>89</v>
      </c>
      <c r="I1278">
        <v>16.15</v>
      </c>
      <c r="J1278">
        <v>167.9</v>
      </c>
      <c r="K1278">
        <v>92</v>
      </c>
      <c r="L1278">
        <v>14.27</v>
      </c>
      <c r="M1278">
        <v>200.6</v>
      </c>
      <c r="N1278">
        <v>79</v>
      </c>
      <c r="O1278">
        <v>9.03</v>
      </c>
      <c r="P1278">
        <v>11.2</v>
      </c>
      <c r="Q1278">
        <v>2</v>
      </c>
      <c r="R1278">
        <v>3.02</v>
      </c>
      <c r="S1278">
        <v>0</v>
      </c>
      <c r="T1278" t="b">
        <v>0</v>
      </c>
    </row>
    <row r="1279" spans="1:20">
      <c r="A1279" t="s">
        <v>103</v>
      </c>
      <c r="B1279">
        <v>141</v>
      </c>
      <c r="C1279">
        <v>415</v>
      </c>
      <c r="D1279" t="s">
        <v>62</v>
      </c>
      <c r="E1279" t="s">
        <v>62</v>
      </c>
      <c r="F1279">
        <v>0</v>
      </c>
      <c r="G1279">
        <v>160.1</v>
      </c>
      <c r="H1279">
        <v>87</v>
      </c>
      <c r="I1279">
        <v>27.22</v>
      </c>
      <c r="J1279">
        <v>256.7</v>
      </c>
      <c r="K1279">
        <v>120</v>
      </c>
      <c r="L1279">
        <v>21.82</v>
      </c>
      <c r="M1279">
        <v>270</v>
      </c>
      <c r="N1279">
        <v>107</v>
      </c>
      <c r="O1279">
        <v>12.15</v>
      </c>
      <c r="P1279">
        <v>7</v>
      </c>
      <c r="Q1279">
        <v>1</v>
      </c>
      <c r="R1279">
        <v>1.89</v>
      </c>
      <c r="S1279">
        <v>2</v>
      </c>
      <c r="T1279" t="b">
        <v>0</v>
      </c>
    </row>
    <row r="1280" spans="1:20">
      <c r="A1280" t="s">
        <v>67</v>
      </c>
      <c r="B1280">
        <v>95</v>
      </c>
      <c r="C1280">
        <v>415</v>
      </c>
      <c r="D1280" t="s">
        <v>62</v>
      </c>
      <c r="E1280" t="s">
        <v>62</v>
      </c>
      <c r="F1280">
        <v>0</v>
      </c>
      <c r="G1280">
        <v>194.6</v>
      </c>
      <c r="H1280">
        <v>114</v>
      </c>
      <c r="I1280">
        <v>33.08</v>
      </c>
      <c r="J1280">
        <v>232.8</v>
      </c>
      <c r="K1280">
        <v>106</v>
      </c>
      <c r="L1280">
        <v>19.79</v>
      </c>
      <c r="M1280">
        <v>173.4</v>
      </c>
      <c r="N1280">
        <v>92</v>
      </c>
      <c r="O1280">
        <v>7.8</v>
      </c>
      <c r="P1280">
        <v>3.8</v>
      </c>
      <c r="Q1280">
        <v>2</v>
      </c>
      <c r="R1280">
        <v>1.03</v>
      </c>
      <c r="S1280">
        <v>3</v>
      </c>
      <c r="T1280" t="b">
        <v>0</v>
      </c>
    </row>
    <row r="1281" spans="1:20">
      <c r="A1281" t="s">
        <v>76</v>
      </c>
      <c r="B1281">
        <v>184</v>
      </c>
      <c r="C1281">
        <v>415</v>
      </c>
      <c r="D1281" t="s">
        <v>62</v>
      </c>
      <c r="E1281" t="s">
        <v>62</v>
      </c>
      <c r="F1281">
        <v>0</v>
      </c>
      <c r="G1281">
        <v>236.4</v>
      </c>
      <c r="H1281">
        <v>73</v>
      </c>
      <c r="I1281">
        <v>40.19</v>
      </c>
      <c r="J1281">
        <v>287.3</v>
      </c>
      <c r="K1281">
        <v>120</v>
      </c>
      <c r="L1281">
        <v>24.42</v>
      </c>
      <c r="M1281">
        <v>192</v>
      </c>
      <c r="N1281">
        <v>94</v>
      </c>
      <c r="O1281">
        <v>8.64</v>
      </c>
      <c r="P1281">
        <v>13.8</v>
      </c>
      <c r="Q1281">
        <v>4</v>
      </c>
      <c r="R1281">
        <v>3.73</v>
      </c>
      <c r="S1281">
        <v>1</v>
      </c>
      <c r="T1281" t="b">
        <v>1</v>
      </c>
    </row>
    <row r="1282" spans="1:20">
      <c r="A1282" t="s">
        <v>116</v>
      </c>
      <c r="B1282">
        <v>74</v>
      </c>
      <c r="C1282">
        <v>408</v>
      </c>
      <c r="D1282" t="s">
        <v>62</v>
      </c>
      <c r="E1282" t="s">
        <v>62</v>
      </c>
      <c r="F1282">
        <v>0</v>
      </c>
      <c r="G1282">
        <v>157.1</v>
      </c>
      <c r="H1282">
        <v>95</v>
      </c>
      <c r="I1282">
        <v>26.71</v>
      </c>
      <c r="J1282">
        <v>213.1</v>
      </c>
      <c r="K1282">
        <v>36</v>
      </c>
      <c r="L1282">
        <v>18.11</v>
      </c>
      <c r="M1282">
        <v>280.4</v>
      </c>
      <c r="N1282">
        <v>77</v>
      </c>
      <c r="O1282">
        <v>12.62</v>
      </c>
      <c r="P1282">
        <v>7.6</v>
      </c>
      <c r="Q1282">
        <v>3</v>
      </c>
      <c r="R1282">
        <v>2.05</v>
      </c>
      <c r="S1282">
        <v>2</v>
      </c>
      <c r="T1282" t="b">
        <v>0</v>
      </c>
    </row>
    <row r="1283" spans="1:20">
      <c r="A1283" t="s">
        <v>112</v>
      </c>
      <c r="B1283">
        <v>67</v>
      </c>
      <c r="C1283">
        <v>415</v>
      </c>
      <c r="D1283" t="s">
        <v>62</v>
      </c>
      <c r="E1283" t="s">
        <v>62</v>
      </c>
      <c r="F1283">
        <v>0</v>
      </c>
      <c r="G1283">
        <v>179.8</v>
      </c>
      <c r="H1283">
        <v>125</v>
      </c>
      <c r="I1283">
        <v>30.57</v>
      </c>
      <c r="J1283">
        <v>173.2</v>
      </c>
      <c r="K1283">
        <v>86</v>
      </c>
      <c r="L1283">
        <v>14.72</v>
      </c>
      <c r="M1283">
        <v>272.8</v>
      </c>
      <c r="N1283">
        <v>97</v>
      </c>
      <c r="O1283">
        <v>12.28</v>
      </c>
      <c r="P1283">
        <v>10.9</v>
      </c>
      <c r="Q1283">
        <v>4</v>
      </c>
      <c r="R1283">
        <v>2.94</v>
      </c>
      <c r="S1283">
        <v>0</v>
      </c>
      <c r="T1283" t="b">
        <v>0</v>
      </c>
    </row>
    <row r="1284" spans="1:20">
      <c r="A1284" t="s">
        <v>77</v>
      </c>
      <c r="B1284">
        <v>104</v>
      </c>
      <c r="C1284">
        <v>415</v>
      </c>
      <c r="D1284" t="s">
        <v>63</v>
      </c>
      <c r="E1284" t="s">
        <v>62</v>
      </c>
      <c r="F1284">
        <v>0</v>
      </c>
      <c r="G1284">
        <v>148.2</v>
      </c>
      <c r="H1284">
        <v>108</v>
      </c>
      <c r="I1284">
        <v>25.19</v>
      </c>
      <c r="J1284">
        <v>161.8</v>
      </c>
      <c r="K1284">
        <v>113</v>
      </c>
      <c r="L1284">
        <v>13.75</v>
      </c>
      <c r="M1284">
        <v>259.3</v>
      </c>
      <c r="N1284">
        <v>103</v>
      </c>
      <c r="O1284">
        <v>11.67</v>
      </c>
      <c r="P1284">
        <v>11</v>
      </c>
      <c r="Q1284">
        <v>4</v>
      </c>
      <c r="R1284">
        <v>2.97</v>
      </c>
      <c r="S1284">
        <v>0</v>
      </c>
      <c r="T1284" t="b">
        <v>0</v>
      </c>
    </row>
    <row r="1285" spans="1:20">
      <c r="A1285" t="s">
        <v>87</v>
      </c>
      <c r="B1285">
        <v>149</v>
      </c>
      <c r="C1285">
        <v>415</v>
      </c>
      <c r="D1285" t="s">
        <v>62</v>
      </c>
      <c r="E1285" t="s">
        <v>62</v>
      </c>
      <c r="F1285">
        <v>0</v>
      </c>
      <c r="G1285">
        <v>119.2</v>
      </c>
      <c r="H1285">
        <v>88</v>
      </c>
      <c r="I1285">
        <v>20.26</v>
      </c>
      <c r="J1285">
        <v>168.3</v>
      </c>
      <c r="K1285">
        <v>110</v>
      </c>
      <c r="L1285">
        <v>14.31</v>
      </c>
      <c r="M1285">
        <v>204.7</v>
      </c>
      <c r="N1285">
        <v>119</v>
      </c>
      <c r="O1285">
        <v>9.21</v>
      </c>
      <c r="P1285">
        <v>12.2</v>
      </c>
      <c r="Q1285">
        <v>6</v>
      </c>
      <c r="R1285">
        <v>3.29</v>
      </c>
      <c r="S1285">
        <v>4</v>
      </c>
      <c r="T1285" t="b">
        <v>1</v>
      </c>
    </row>
    <row r="1286" spans="1:20">
      <c r="A1286" t="s">
        <v>115</v>
      </c>
      <c r="B1286">
        <v>154</v>
      </c>
      <c r="C1286">
        <v>408</v>
      </c>
      <c r="D1286" t="s">
        <v>62</v>
      </c>
      <c r="E1286" t="s">
        <v>63</v>
      </c>
      <c r="F1286">
        <v>35</v>
      </c>
      <c r="G1286">
        <v>224</v>
      </c>
      <c r="H1286">
        <v>102</v>
      </c>
      <c r="I1286">
        <v>38.08</v>
      </c>
      <c r="J1286">
        <v>192</v>
      </c>
      <c r="K1286">
        <v>99</v>
      </c>
      <c r="L1286">
        <v>16.32</v>
      </c>
      <c r="M1286">
        <v>163.1</v>
      </c>
      <c r="N1286">
        <v>100</v>
      </c>
      <c r="O1286">
        <v>7.34</v>
      </c>
      <c r="P1286">
        <v>9.6</v>
      </c>
      <c r="Q1286">
        <v>2</v>
      </c>
      <c r="R1286">
        <v>2.59</v>
      </c>
      <c r="S1286">
        <v>0</v>
      </c>
      <c r="T1286" t="b">
        <v>0</v>
      </c>
    </row>
    <row r="1287" spans="1:20">
      <c r="A1287" t="s">
        <v>111</v>
      </c>
      <c r="B1287">
        <v>138</v>
      </c>
      <c r="C1287">
        <v>510</v>
      </c>
      <c r="D1287" t="s">
        <v>62</v>
      </c>
      <c r="E1287" t="s">
        <v>63</v>
      </c>
      <c r="F1287">
        <v>21</v>
      </c>
      <c r="G1287">
        <v>19.5</v>
      </c>
      <c r="H1287">
        <v>149</v>
      </c>
      <c r="I1287">
        <v>3.32</v>
      </c>
      <c r="J1287">
        <v>140.9</v>
      </c>
      <c r="K1287">
        <v>109</v>
      </c>
      <c r="L1287">
        <v>11.98</v>
      </c>
      <c r="M1287">
        <v>179.7</v>
      </c>
      <c r="N1287">
        <v>111</v>
      </c>
      <c r="O1287">
        <v>8.09</v>
      </c>
      <c r="P1287">
        <v>7.9</v>
      </c>
      <c r="Q1287">
        <v>1</v>
      </c>
      <c r="R1287">
        <v>2.13</v>
      </c>
      <c r="S1287">
        <v>0</v>
      </c>
      <c r="T1287" t="b">
        <v>0</v>
      </c>
    </row>
    <row r="1288" spans="1:20">
      <c r="A1288" t="s">
        <v>61</v>
      </c>
      <c r="B1288">
        <v>117</v>
      </c>
      <c r="C1288">
        <v>415</v>
      </c>
      <c r="D1288" t="s">
        <v>62</v>
      </c>
      <c r="E1288" t="s">
        <v>62</v>
      </c>
      <c r="F1288">
        <v>0</v>
      </c>
      <c r="G1288">
        <v>184.8</v>
      </c>
      <c r="H1288">
        <v>83</v>
      </c>
      <c r="I1288">
        <v>31.42</v>
      </c>
      <c r="J1288">
        <v>248.6</v>
      </c>
      <c r="K1288">
        <v>101</v>
      </c>
      <c r="L1288">
        <v>21.13</v>
      </c>
      <c r="M1288">
        <v>133.1</v>
      </c>
      <c r="N1288">
        <v>113</v>
      </c>
      <c r="O1288">
        <v>5.99</v>
      </c>
      <c r="P1288">
        <v>9.6</v>
      </c>
      <c r="Q1288">
        <v>8</v>
      </c>
      <c r="R1288">
        <v>2.59</v>
      </c>
      <c r="S1288">
        <v>1</v>
      </c>
      <c r="T1288" t="b">
        <v>0</v>
      </c>
    </row>
    <row r="1289" spans="1:20">
      <c r="A1289" t="s">
        <v>108</v>
      </c>
      <c r="B1289">
        <v>130</v>
      </c>
      <c r="C1289">
        <v>408</v>
      </c>
      <c r="D1289" t="s">
        <v>62</v>
      </c>
      <c r="E1289" t="s">
        <v>62</v>
      </c>
      <c r="F1289">
        <v>0</v>
      </c>
      <c r="G1289">
        <v>176.3</v>
      </c>
      <c r="H1289">
        <v>140</v>
      </c>
      <c r="I1289">
        <v>29.97</v>
      </c>
      <c r="J1289">
        <v>201</v>
      </c>
      <c r="K1289">
        <v>104</v>
      </c>
      <c r="L1289">
        <v>17.09</v>
      </c>
      <c r="M1289">
        <v>161.9</v>
      </c>
      <c r="N1289">
        <v>123</v>
      </c>
      <c r="O1289">
        <v>7.29</v>
      </c>
      <c r="P1289">
        <v>11.3</v>
      </c>
      <c r="Q1289">
        <v>5</v>
      </c>
      <c r="R1289">
        <v>3.05</v>
      </c>
      <c r="S1289">
        <v>1</v>
      </c>
      <c r="T1289" t="b">
        <v>0</v>
      </c>
    </row>
    <row r="1290" spans="1:20">
      <c r="A1290" t="s">
        <v>73</v>
      </c>
      <c r="B1290">
        <v>73</v>
      </c>
      <c r="C1290">
        <v>415</v>
      </c>
      <c r="D1290" t="s">
        <v>62</v>
      </c>
      <c r="E1290" t="s">
        <v>62</v>
      </c>
      <c r="F1290">
        <v>0</v>
      </c>
      <c r="G1290">
        <v>241.7</v>
      </c>
      <c r="H1290">
        <v>115</v>
      </c>
      <c r="I1290">
        <v>41.09</v>
      </c>
      <c r="J1290">
        <v>168.5</v>
      </c>
      <c r="K1290">
        <v>133</v>
      </c>
      <c r="L1290">
        <v>14.32</v>
      </c>
      <c r="M1290">
        <v>169.8</v>
      </c>
      <c r="N1290">
        <v>122</v>
      </c>
      <c r="O1290">
        <v>7.64</v>
      </c>
      <c r="P1290">
        <v>11.1</v>
      </c>
      <c r="Q1290">
        <v>2</v>
      </c>
      <c r="R1290">
        <v>3</v>
      </c>
      <c r="S1290">
        <v>2</v>
      </c>
      <c r="T1290" t="b">
        <v>0</v>
      </c>
    </row>
    <row r="1291" spans="1:20">
      <c r="A1291" t="s">
        <v>93</v>
      </c>
      <c r="B1291">
        <v>100</v>
      </c>
      <c r="C1291">
        <v>510</v>
      </c>
      <c r="D1291" t="s">
        <v>62</v>
      </c>
      <c r="E1291" t="s">
        <v>63</v>
      </c>
      <c r="F1291">
        <v>38</v>
      </c>
      <c r="G1291">
        <v>224.7</v>
      </c>
      <c r="H1291">
        <v>121</v>
      </c>
      <c r="I1291">
        <v>38.2</v>
      </c>
      <c r="J1291">
        <v>294</v>
      </c>
      <c r="K1291">
        <v>131</v>
      </c>
      <c r="L1291">
        <v>24.99</v>
      </c>
      <c r="M1291">
        <v>290</v>
      </c>
      <c r="N1291">
        <v>61</v>
      </c>
      <c r="O1291">
        <v>13.05</v>
      </c>
      <c r="P1291">
        <v>9.8</v>
      </c>
      <c r="Q1291">
        <v>6</v>
      </c>
      <c r="R1291">
        <v>2.65</v>
      </c>
      <c r="S1291">
        <v>0</v>
      </c>
      <c r="T1291" t="b">
        <v>0</v>
      </c>
    </row>
    <row r="1292" spans="1:20">
      <c r="A1292" t="s">
        <v>100</v>
      </c>
      <c r="B1292">
        <v>149</v>
      </c>
      <c r="C1292">
        <v>510</v>
      </c>
      <c r="D1292" t="s">
        <v>62</v>
      </c>
      <c r="E1292" t="s">
        <v>62</v>
      </c>
      <c r="F1292">
        <v>0</v>
      </c>
      <c r="G1292">
        <v>207.3</v>
      </c>
      <c r="H1292">
        <v>115</v>
      </c>
      <c r="I1292">
        <v>35.24</v>
      </c>
      <c r="J1292">
        <v>198.4</v>
      </c>
      <c r="K1292">
        <v>82</v>
      </c>
      <c r="L1292">
        <v>16.86</v>
      </c>
      <c r="M1292">
        <v>114.1</v>
      </c>
      <c r="N1292">
        <v>83</v>
      </c>
      <c r="O1292">
        <v>5.13</v>
      </c>
      <c r="P1292">
        <v>8.6</v>
      </c>
      <c r="Q1292">
        <v>4</v>
      </c>
      <c r="R1292">
        <v>2.32</v>
      </c>
      <c r="S1292">
        <v>1</v>
      </c>
      <c r="T1292" t="b">
        <v>0</v>
      </c>
    </row>
    <row r="1293" spans="1:20">
      <c r="A1293" t="s">
        <v>64</v>
      </c>
      <c r="B1293">
        <v>29</v>
      </c>
      <c r="C1293">
        <v>408</v>
      </c>
      <c r="D1293" t="s">
        <v>62</v>
      </c>
      <c r="E1293" t="s">
        <v>62</v>
      </c>
      <c r="F1293">
        <v>0</v>
      </c>
      <c r="G1293">
        <v>196.8</v>
      </c>
      <c r="H1293">
        <v>81</v>
      </c>
      <c r="I1293">
        <v>33.46</v>
      </c>
      <c r="J1293">
        <v>168</v>
      </c>
      <c r="K1293">
        <v>110</v>
      </c>
      <c r="L1293">
        <v>14.28</v>
      </c>
      <c r="M1293">
        <v>132.6</v>
      </c>
      <c r="N1293">
        <v>98</v>
      </c>
      <c r="O1293">
        <v>5.97</v>
      </c>
      <c r="P1293">
        <v>12.7</v>
      </c>
      <c r="Q1293">
        <v>7</v>
      </c>
      <c r="R1293">
        <v>3.43</v>
      </c>
      <c r="S1293">
        <v>2</v>
      </c>
      <c r="T1293" t="b">
        <v>0</v>
      </c>
    </row>
    <row r="1294" spans="1:20">
      <c r="A1294" t="s">
        <v>85</v>
      </c>
      <c r="B1294">
        <v>131</v>
      </c>
      <c r="C1294">
        <v>510</v>
      </c>
      <c r="D1294" t="s">
        <v>62</v>
      </c>
      <c r="E1294" t="s">
        <v>62</v>
      </c>
      <c r="F1294">
        <v>0</v>
      </c>
      <c r="G1294">
        <v>110.9</v>
      </c>
      <c r="H1294">
        <v>74</v>
      </c>
      <c r="I1294">
        <v>18.85</v>
      </c>
      <c r="J1294">
        <v>115.6</v>
      </c>
      <c r="K1294">
        <v>90</v>
      </c>
      <c r="L1294">
        <v>9.83</v>
      </c>
      <c r="M1294">
        <v>190.5</v>
      </c>
      <c r="N1294">
        <v>114</v>
      </c>
      <c r="O1294">
        <v>8.57</v>
      </c>
      <c r="P1294">
        <v>15.8</v>
      </c>
      <c r="Q1294">
        <v>9</v>
      </c>
      <c r="R1294">
        <v>4.27</v>
      </c>
      <c r="S1294">
        <v>1</v>
      </c>
      <c r="T1294" t="b">
        <v>0</v>
      </c>
    </row>
    <row r="1295" spans="1:20">
      <c r="A1295" t="s">
        <v>65</v>
      </c>
      <c r="B1295">
        <v>153</v>
      </c>
      <c r="C1295">
        <v>510</v>
      </c>
      <c r="D1295" t="s">
        <v>62</v>
      </c>
      <c r="E1295" t="s">
        <v>62</v>
      </c>
      <c r="F1295">
        <v>0</v>
      </c>
      <c r="G1295">
        <v>122.5</v>
      </c>
      <c r="H1295">
        <v>145</v>
      </c>
      <c r="I1295">
        <v>20.83</v>
      </c>
      <c r="J1295">
        <v>273.3</v>
      </c>
      <c r="K1295">
        <v>103</v>
      </c>
      <c r="L1295">
        <v>23.23</v>
      </c>
      <c r="M1295">
        <v>197.8</v>
      </c>
      <c r="N1295">
        <v>71</v>
      </c>
      <c r="O1295">
        <v>8.9</v>
      </c>
      <c r="P1295">
        <v>8</v>
      </c>
      <c r="Q1295">
        <v>3</v>
      </c>
      <c r="R1295">
        <v>2.16</v>
      </c>
      <c r="S1295">
        <v>2</v>
      </c>
      <c r="T1295" t="b">
        <v>0</v>
      </c>
    </row>
    <row r="1296" spans="1:20">
      <c r="A1296" t="s">
        <v>115</v>
      </c>
      <c r="B1296">
        <v>84</v>
      </c>
      <c r="C1296">
        <v>510</v>
      </c>
      <c r="D1296" t="s">
        <v>62</v>
      </c>
      <c r="E1296" t="s">
        <v>62</v>
      </c>
      <c r="F1296">
        <v>0</v>
      </c>
      <c r="G1296">
        <v>226.9</v>
      </c>
      <c r="H1296">
        <v>144</v>
      </c>
      <c r="I1296">
        <v>38.57</v>
      </c>
      <c r="J1296">
        <v>201.6</v>
      </c>
      <c r="K1296">
        <v>122</v>
      </c>
      <c r="L1296">
        <v>17.14</v>
      </c>
      <c r="M1296">
        <v>130.2</v>
      </c>
      <c r="N1296">
        <v>121</v>
      </c>
      <c r="O1296">
        <v>5.86</v>
      </c>
      <c r="P1296">
        <v>13.2</v>
      </c>
      <c r="Q1296">
        <v>5</v>
      </c>
      <c r="R1296">
        <v>3.56</v>
      </c>
      <c r="S1296">
        <v>2</v>
      </c>
      <c r="T1296" t="b">
        <v>0</v>
      </c>
    </row>
    <row r="1297" spans="1:20">
      <c r="A1297" t="s">
        <v>93</v>
      </c>
      <c r="B1297">
        <v>133</v>
      </c>
      <c r="C1297">
        <v>510</v>
      </c>
      <c r="D1297" t="s">
        <v>62</v>
      </c>
      <c r="E1297" t="s">
        <v>62</v>
      </c>
      <c r="F1297">
        <v>0</v>
      </c>
      <c r="G1297">
        <v>187</v>
      </c>
      <c r="H1297">
        <v>65</v>
      </c>
      <c r="I1297">
        <v>31.79</v>
      </c>
      <c r="J1297">
        <v>141.4</v>
      </c>
      <c r="K1297">
        <v>128</v>
      </c>
      <c r="L1297">
        <v>12.02</v>
      </c>
      <c r="M1297">
        <v>238.2</v>
      </c>
      <c r="N1297">
        <v>108</v>
      </c>
      <c r="O1297">
        <v>10.72</v>
      </c>
      <c r="P1297">
        <v>10</v>
      </c>
      <c r="Q1297">
        <v>8</v>
      </c>
      <c r="R1297">
        <v>2.7</v>
      </c>
      <c r="S1297">
        <v>2</v>
      </c>
      <c r="T1297" t="b">
        <v>0</v>
      </c>
    </row>
    <row r="1298" spans="1:20">
      <c r="A1298" t="s">
        <v>106</v>
      </c>
      <c r="B1298">
        <v>87</v>
      </c>
      <c r="C1298">
        <v>415</v>
      </c>
      <c r="D1298" t="s">
        <v>62</v>
      </c>
      <c r="E1298" t="s">
        <v>62</v>
      </c>
      <c r="F1298">
        <v>0</v>
      </c>
      <c r="G1298">
        <v>204.8</v>
      </c>
      <c r="H1298">
        <v>101</v>
      </c>
      <c r="I1298">
        <v>34.82</v>
      </c>
      <c r="J1298">
        <v>161</v>
      </c>
      <c r="K1298">
        <v>80</v>
      </c>
      <c r="L1298">
        <v>13.69</v>
      </c>
      <c r="M1298">
        <v>285.7</v>
      </c>
      <c r="N1298">
        <v>89</v>
      </c>
      <c r="O1298">
        <v>12.86</v>
      </c>
      <c r="P1298">
        <v>9.5</v>
      </c>
      <c r="Q1298">
        <v>3</v>
      </c>
      <c r="R1298">
        <v>2.57</v>
      </c>
      <c r="S1298">
        <v>0</v>
      </c>
      <c r="T1298" t="b">
        <v>0</v>
      </c>
    </row>
    <row r="1299" spans="1:20">
      <c r="A1299" t="s">
        <v>69</v>
      </c>
      <c r="B1299">
        <v>72</v>
      </c>
      <c r="C1299">
        <v>415</v>
      </c>
      <c r="D1299" t="s">
        <v>62</v>
      </c>
      <c r="E1299" t="s">
        <v>62</v>
      </c>
      <c r="F1299">
        <v>0</v>
      </c>
      <c r="G1299">
        <v>165.9</v>
      </c>
      <c r="H1299">
        <v>114</v>
      </c>
      <c r="I1299">
        <v>28.2</v>
      </c>
      <c r="J1299">
        <v>235.9</v>
      </c>
      <c r="K1299">
        <v>97</v>
      </c>
      <c r="L1299">
        <v>20.05</v>
      </c>
      <c r="M1299">
        <v>210.1</v>
      </c>
      <c r="N1299">
        <v>120</v>
      </c>
      <c r="O1299">
        <v>9.45</v>
      </c>
      <c r="P1299">
        <v>12</v>
      </c>
      <c r="Q1299">
        <v>5</v>
      </c>
      <c r="R1299">
        <v>3.24</v>
      </c>
      <c r="S1299">
        <v>2</v>
      </c>
      <c r="T1299" t="b">
        <v>0</v>
      </c>
    </row>
    <row r="1300" spans="1:20">
      <c r="A1300" t="s">
        <v>102</v>
      </c>
      <c r="B1300">
        <v>65</v>
      </c>
      <c r="C1300">
        <v>510</v>
      </c>
      <c r="D1300" t="s">
        <v>62</v>
      </c>
      <c r="E1300" t="s">
        <v>63</v>
      </c>
      <c r="F1300">
        <v>29</v>
      </c>
      <c r="G1300">
        <v>158.1</v>
      </c>
      <c r="H1300">
        <v>104</v>
      </c>
      <c r="I1300">
        <v>26.88</v>
      </c>
      <c r="J1300">
        <v>322.2</v>
      </c>
      <c r="K1300">
        <v>81</v>
      </c>
      <c r="L1300">
        <v>27.39</v>
      </c>
      <c r="M1300">
        <v>210</v>
      </c>
      <c r="N1300">
        <v>96</v>
      </c>
      <c r="O1300">
        <v>9.45</v>
      </c>
      <c r="P1300">
        <v>8.9</v>
      </c>
      <c r="Q1300">
        <v>6</v>
      </c>
      <c r="R1300">
        <v>2.4</v>
      </c>
      <c r="S1300">
        <v>1</v>
      </c>
      <c r="T1300" t="b">
        <v>0</v>
      </c>
    </row>
    <row r="1301" spans="1:20">
      <c r="A1301" t="s">
        <v>82</v>
      </c>
      <c r="B1301">
        <v>74</v>
      </c>
      <c r="C1301">
        <v>415</v>
      </c>
      <c r="D1301" t="s">
        <v>62</v>
      </c>
      <c r="E1301" t="s">
        <v>62</v>
      </c>
      <c r="F1301">
        <v>0</v>
      </c>
      <c r="G1301">
        <v>225.2</v>
      </c>
      <c r="H1301">
        <v>93</v>
      </c>
      <c r="I1301">
        <v>38.28</v>
      </c>
      <c r="J1301">
        <v>215.1</v>
      </c>
      <c r="K1301">
        <v>120</v>
      </c>
      <c r="L1301">
        <v>18.28</v>
      </c>
      <c r="M1301">
        <v>241.8</v>
      </c>
      <c r="N1301">
        <v>95</v>
      </c>
      <c r="O1301">
        <v>10.88</v>
      </c>
      <c r="P1301">
        <v>9.1</v>
      </c>
      <c r="Q1301">
        <v>2</v>
      </c>
      <c r="R1301">
        <v>2.46</v>
      </c>
      <c r="S1301">
        <v>2</v>
      </c>
      <c r="T1301" t="b">
        <v>0</v>
      </c>
    </row>
    <row r="1302" spans="1:20">
      <c r="A1302" t="s">
        <v>91</v>
      </c>
      <c r="B1302">
        <v>116</v>
      </c>
      <c r="C1302">
        <v>408</v>
      </c>
      <c r="D1302" t="s">
        <v>62</v>
      </c>
      <c r="E1302" t="s">
        <v>62</v>
      </c>
      <c r="F1302">
        <v>0</v>
      </c>
      <c r="G1302">
        <v>159.4</v>
      </c>
      <c r="H1302">
        <v>79</v>
      </c>
      <c r="I1302">
        <v>27.1</v>
      </c>
      <c r="J1302">
        <v>179.5</v>
      </c>
      <c r="K1302">
        <v>88</v>
      </c>
      <c r="L1302">
        <v>15.26</v>
      </c>
      <c r="M1302">
        <v>167.8</v>
      </c>
      <c r="N1302">
        <v>71</v>
      </c>
      <c r="O1302">
        <v>7.55</v>
      </c>
      <c r="P1302">
        <v>9.7</v>
      </c>
      <c r="Q1302">
        <v>2</v>
      </c>
      <c r="R1302">
        <v>2.62</v>
      </c>
      <c r="S1302">
        <v>6</v>
      </c>
      <c r="T1302" t="b">
        <v>1</v>
      </c>
    </row>
    <row r="1303" spans="1:20">
      <c r="A1303" t="s">
        <v>92</v>
      </c>
      <c r="B1303">
        <v>68</v>
      </c>
      <c r="C1303">
        <v>510</v>
      </c>
      <c r="D1303" t="s">
        <v>62</v>
      </c>
      <c r="E1303" t="s">
        <v>62</v>
      </c>
      <c r="F1303">
        <v>0</v>
      </c>
      <c r="G1303">
        <v>172.7</v>
      </c>
      <c r="H1303">
        <v>95</v>
      </c>
      <c r="I1303">
        <v>29.36</v>
      </c>
      <c r="J1303">
        <v>139.1</v>
      </c>
      <c r="K1303">
        <v>90</v>
      </c>
      <c r="L1303">
        <v>11.82</v>
      </c>
      <c r="M1303">
        <v>174.3</v>
      </c>
      <c r="N1303">
        <v>99</v>
      </c>
      <c r="O1303">
        <v>7.84</v>
      </c>
      <c r="P1303">
        <v>11.7</v>
      </c>
      <c r="Q1303">
        <v>1</v>
      </c>
      <c r="R1303">
        <v>3.16</v>
      </c>
      <c r="S1303">
        <v>2</v>
      </c>
      <c r="T1303" t="b">
        <v>0</v>
      </c>
    </row>
    <row r="1304" spans="1:20">
      <c r="A1304" t="s">
        <v>112</v>
      </c>
      <c r="B1304">
        <v>68</v>
      </c>
      <c r="C1304">
        <v>415</v>
      </c>
      <c r="D1304" t="s">
        <v>62</v>
      </c>
      <c r="E1304" t="s">
        <v>62</v>
      </c>
      <c r="F1304">
        <v>0</v>
      </c>
      <c r="G1304">
        <v>222.8</v>
      </c>
      <c r="H1304">
        <v>99</v>
      </c>
      <c r="I1304">
        <v>37.88</v>
      </c>
      <c r="J1304">
        <v>175.8</v>
      </c>
      <c r="K1304">
        <v>85</v>
      </c>
      <c r="L1304">
        <v>14.94</v>
      </c>
      <c r="M1304">
        <v>202</v>
      </c>
      <c r="N1304">
        <v>111</v>
      </c>
      <c r="O1304">
        <v>9.09</v>
      </c>
      <c r="P1304">
        <v>11</v>
      </c>
      <c r="Q1304">
        <v>3</v>
      </c>
      <c r="R1304">
        <v>2.97</v>
      </c>
      <c r="S1304">
        <v>3</v>
      </c>
      <c r="T1304" t="b">
        <v>0</v>
      </c>
    </row>
    <row r="1305" spans="1:20">
      <c r="A1305" t="s">
        <v>95</v>
      </c>
      <c r="B1305">
        <v>54</v>
      </c>
      <c r="C1305">
        <v>415</v>
      </c>
      <c r="D1305" t="s">
        <v>63</v>
      </c>
      <c r="E1305" t="s">
        <v>62</v>
      </c>
      <c r="F1305">
        <v>0</v>
      </c>
      <c r="G1305">
        <v>214.1</v>
      </c>
      <c r="H1305">
        <v>77</v>
      </c>
      <c r="I1305">
        <v>36.4</v>
      </c>
      <c r="J1305">
        <v>240.5</v>
      </c>
      <c r="K1305">
        <v>94</v>
      </c>
      <c r="L1305">
        <v>20.44</v>
      </c>
      <c r="M1305">
        <v>188.9</v>
      </c>
      <c r="N1305">
        <v>75</v>
      </c>
      <c r="O1305">
        <v>8.5</v>
      </c>
      <c r="P1305">
        <v>10.1</v>
      </c>
      <c r="Q1305">
        <v>3</v>
      </c>
      <c r="R1305">
        <v>2.73</v>
      </c>
      <c r="S1305">
        <v>1</v>
      </c>
      <c r="T1305" t="b">
        <v>0</v>
      </c>
    </row>
    <row r="1306" spans="1:20">
      <c r="A1306" t="s">
        <v>93</v>
      </c>
      <c r="B1306">
        <v>107</v>
      </c>
      <c r="C1306">
        <v>408</v>
      </c>
      <c r="D1306" t="s">
        <v>62</v>
      </c>
      <c r="E1306" t="s">
        <v>62</v>
      </c>
      <c r="F1306">
        <v>0</v>
      </c>
      <c r="G1306">
        <v>134</v>
      </c>
      <c r="H1306">
        <v>104</v>
      </c>
      <c r="I1306">
        <v>22.78</v>
      </c>
      <c r="J1306">
        <v>174.5</v>
      </c>
      <c r="K1306">
        <v>94</v>
      </c>
      <c r="L1306">
        <v>14.83</v>
      </c>
      <c r="M1306">
        <v>311.1</v>
      </c>
      <c r="N1306">
        <v>79</v>
      </c>
      <c r="O1306">
        <v>14</v>
      </c>
      <c r="P1306">
        <v>7.3</v>
      </c>
      <c r="Q1306">
        <v>3</v>
      </c>
      <c r="R1306">
        <v>1.97</v>
      </c>
      <c r="S1306">
        <v>3</v>
      </c>
      <c r="T1306" t="b">
        <v>0</v>
      </c>
    </row>
    <row r="1307" spans="1:20">
      <c r="A1307" t="s">
        <v>102</v>
      </c>
      <c r="B1307">
        <v>173</v>
      </c>
      <c r="C1307">
        <v>510</v>
      </c>
      <c r="D1307" t="s">
        <v>62</v>
      </c>
      <c r="E1307" t="s">
        <v>62</v>
      </c>
      <c r="F1307">
        <v>0</v>
      </c>
      <c r="G1307">
        <v>291.8</v>
      </c>
      <c r="H1307">
        <v>143</v>
      </c>
      <c r="I1307">
        <v>49.61</v>
      </c>
      <c r="J1307">
        <v>214.3</v>
      </c>
      <c r="K1307">
        <v>134</v>
      </c>
      <c r="L1307">
        <v>18.22</v>
      </c>
      <c r="M1307">
        <v>151.2</v>
      </c>
      <c r="N1307">
        <v>119</v>
      </c>
      <c r="O1307">
        <v>6.8</v>
      </c>
      <c r="P1307">
        <v>9.9</v>
      </c>
      <c r="Q1307">
        <v>2</v>
      </c>
      <c r="R1307">
        <v>2.67</v>
      </c>
      <c r="S1307">
        <v>0</v>
      </c>
      <c r="T1307" t="b">
        <v>1</v>
      </c>
    </row>
    <row r="1308" spans="1:20">
      <c r="A1308" t="s">
        <v>69</v>
      </c>
      <c r="B1308">
        <v>110</v>
      </c>
      <c r="C1308">
        <v>408</v>
      </c>
      <c r="D1308" t="s">
        <v>62</v>
      </c>
      <c r="E1308" t="s">
        <v>62</v>
      </c>
      <c r="F1308">
        <v>0</v>
      </c>
      <c r="G1308">
        <v>222.7</v>
      </c>
      <c r="H1308">
        <v>94</v>
      </c>
      <c r="I1308">
        <v>37.86</v>
      </c>
      <c r="J1308">
        <v>105.8</v>
      </c>
      <c r="K1308">
        <v>98</v>
      </c>
      <c r="L1308">
        <v>8.99</v>
      </c>
      <c r="M1308">
        <v>214.8</v>
      </c>
      <c r="N1308">
        <v>78</v>
      </c>
      <c r="O1308">
        <v>9.67</v>
      </c>
      <c r="P1308">
        <v>13.5</v>
      </c>
      <c r="Q1308">
        <v>4</v>
      </c>
      <c r="R1308">
        <v>3.65</v>
      </c>
      <c r="S1308">
        <v>1</v>
      </c>
      <c r="T1308" t="b">
        <v>0</v>
      </c>
    </row>
    <row r="1309" spans="1:20">
      <c r="A1309" t="s">
        <v>79</v>
      </c>
      <c r="B1309">
        <v>102</v>
      </c>
      <c r="C1309">
        <v>510</v>
      </c>
      <c r="D1309" t="s">
        <v>62</v>
      </c>
      <c r="E1309" t="s">
        <v>62</v>
      </c>
      <c r="F1309">
        <v>0</v>
      </c>
      <c r="G1309">
        <v>174.5</v>
      </c>
      <c r="H1309">
        <v>79</v>
      </c>
      <c r="I1309">
        <v>29.67</v>
      </c>
      <c r="J1309">
        <v>236.8</v>
      </c>
      <c r="K1309">
        <v>136</v>
      </c>
      <c r="L1309">
        <v>20.13</v>
      </c>
      <c r="M1309">
        <v>270.4</v>
      </c>
      <c r="N1309">
        <v>110</v>
      </c>
      <c r="O1309">
        <v>12.17</v>
      </c>
      <c r="P1309">
        <v>8.5</v>
      </c>
      <c r="Q1309">
        <v>5</v>
      </c>
      <c r="R1309">
        <v>2.3</v>
      </c>
      <c r="S1309">
        <v>0</v>
      </c>
      <c r="T1309" t="b">
        <v>0</v>
      </c>
    </row>
    <row r="1310" spans="1:20">
      <c r="A1310" t="s">
        <v>66</v>
      </c>
      <c r="B1310">
        <v>91</v>
      </c>
      <c r="C1310">
        <v>408</v>
      </c>
      <c r="D1310" t="s">
        <v>62</v>
      </c>
      <c r="E1310" t="s">
        <v>63</v>
      </c>
      <c r="F1310">
        <v>31</v>
      </c>
      <c r="G1310">
        <v>273</v>
      </c>
      <c r="H1310">
        <v>78</v>
      </c>
      <c r="I1310">
        <v>46.41</v>
      </c>
      <c r="J1310">
        <v>215.5</v>
      </c>
      <c r="K1310">
        <v>98</v>
      </c>
      <c r="L1310">
        <v>18.32</v>
      </c>
      <c r="M1310">
        <v>104.7</v>
      </c>
      <c r="N1310">
        <v>114</v>
      </c>
      <c r="O1310">
        <v>4.71</v>
      </c>
      <c r="P1310">
        <v>9.6</v>
      </c>
      <c r="Q1310">
        <v>2</v>
      </c>
      <c r="R1310">
        <v>2.59</v>
      </c>
      <c r="S1310">
        <v>1</v>
      </c>
      <c r="T1310" t="b">
        <v>0</v>
      </c>
    </row>
    <row r="1311" spans="1:20">
      <c r="A1311" t="s">
        <v>116</v>
      </c>
      <c r="B1311">
        <v>64</v>
      </c>
      <c r="C1311">
        <v>415</v>
      </c>
      <c r="D1311" t="s">
        <v>63</v>
      </c>
      <c r="E1311" t="s">
        <v>62</v>
      </c>
      <c r="F1311">
        <v>0</v>
      </c>
      <c r="G1311">
        <v>225.3</v>
      </c>
      <c r="H1311">
        <v>134</v>
      </c>
      <c r="I1311">
        <v>38.3</v>
      </c>
      <c r="J1311">
        <v>108.2</v>
      </c>
      <c r="K1311">
        <v>87</v>
      </c>
      <c r="L1311">
        <v>9.2</v>
      </c>
      <c r="M1311">
        <v>139.6</v>
      </c>
      <c r="N1311">
        <v>132</v>
      </c>
      <c r="O1311">
        <v>6.28</v>
      </c>
      <c r="P1311">
        <v>17.3</v>
      </c>
      <c r="Q1311">
        <v>9</v>
      </c>
      <c r="R1311">
        <v>4.67</v>
      </c>
      <c r="S1311">
        <v>1</v>
      </c>
      <c r="T1311" t="b">
        <v>1</v>
      </c>
    </row>
    <row r="1312" spans="1:20">
      <c r="A1312" t="s">
        <v>112</v>
      </c>
      <c r="B1312">
        <v>176</v>
      </c>
      <c r="C1312">
        <v>415</v>
      </c>
      <c r="D1312" t="s">
        <v>62</v>
      </c>
      <c r="E1312" t="s">
        <v>63</v>
      </c>
      <c r="F1312">
        <v>23</v>
      </c>
      <c r="G1312">
        <v>283.2</v>
      </c>
      <c r="H1312">
        <v>130</v>
      </c>
      <c r="I1312">
        <v>48.14</v>
      </c>
      <c r="J1312">
        <v>162.6</v>
      </c>
      <c r="K1312">
        <v>74</v>
      </c>
      <c r="L1312">
        <v>13.82</v>
      </c>
      <c r="M1312">
        <v>177.7</v>
      </c>
      <c r="N1312">
        <v>104</v>
      </c>
      <c r="O1312">
        <v>8</v>
      </c>
      <c r="P1312">
        <v>7.2</v>
      </c>
      <c r="Q1312">
        <v>6</v>
      </c>
      <c r="R1312">
        <v>1.94</v>
      </c>
      <c r="S1312">
        <v>1</v>
      </c>
      <c r="T1312" t="b">
        <v>0</v>
      </c>
    </row>
    <row r="1313" spans="1:20">
      <c r="A1313" t="s">
        <v>93</v>
      </c>
      <c r="B1313">
        <v>84</v>
      </c>
      <c r="C1313">
        <v>510</v>
      </c>
      <c r="D1313" t="s">
        <v>62</v>
      </c>
      <c r="E1313" t="s">
        <v>63</v>
      </c>
      <c r="F1313">
        <v>12</v>
      </c>
      <c r="G1313">
        <v>89.7</v>
      </c>
      <c r="H1313">
        <v>87</v>
      </c>
      <c r="I1313">
        <v>15.25</v>
      </c>
      <c r="J1313">
        <v>138.6</v>
      </c>
      <c r="K1313">
        <v>73</v>
      </c>
      <c r="L1313">
        <v>11.78</v>
      </c>
      <c r="M1313">
        <v>165.8</v>
      </c>
      <c r="N1313">
        <v>114</v>
      </c>
      <c r="O1313">
        <v>7.46</v>
      </c>
      <c r="P1313">
        <v>10.7</v>
      </c>
      <c r="Q1313">
        <v>2</v>
      </c>
      <c r="R1313">
        <v>2.89</v>
      </c>
      <c r="S1313">
        <v>1</v>
      </c>
      <c r="T1313" t="b">
        <v>0</v>
      </c>
    </row>
    <row r="1314" spans="1:20">
      <c r="A1314" t="s">
        <v>99</v>
      </c>
      <c r="B1314">
        <v>138</v>
      </c>
      <c r="C1314">
        <v>510</v>
      </c>
      <c r="D1314" t="s">
        <v>62</v>
      </c>
      <c r="E1314" t="s">
        <v>62</v>
      </c>
      <c r="F1314">
        <v>0</v>
      </c>
      <c r="G1314">
        <v>127.1</v>
      </c>
      <c r="H1314">
        <v>102</v>
      </c>
      <c r="I1314">
        <v>21.61</v>
      </c>
      <c r="J1314">
        <v>247.7</v>
      </c>
      <c r="K1314">
        <v>106</v>
      </c>
      <c r="L1314">
        <v>21.05</v>
      </c>
      <c r="M1314">
        <v>207.7</v>
      </c>
      <c r="N1314">
        <v>75</v>
      </c>
      <c r="O1314">
        <v>9.35</v>
      </c>
      <c r="P1314">
        <v>5</v>
      </c>
      <c r="Q1314">
        <v>3</v>
      </c>
      <c r="R1314">
        <v>1.35</v>
      </c>
      <c r="S1314">
        <v>3</v>
      </c>
      <c r="T1314" t="b">
        <v>0</v>
      </c>
    </row>
    <row r="1315" spans="1:20">
      <c r="A1315" t="s">
        <v>115</v>
      </c>
      <c r="B1315">
        <v>101</v>
      </c>
      <c r="C1315">
        <v>415</v>
      </c>
      <c r="D1315" t="s">
        <v>62</v>
      </c>
      <c r="E1315" t="s">
        <v>63</v>
      </c>
      <c r="F1315">
        <v>28</v>
      </c>
      <c r="G1315">
        <v>105.9</v>
      </c>
      <c r="H1315">
        <v>132</v>
      </c>
      <c r="I1315">
        <v>18</v>
      </c>
      <c r="J1315">
        <v>231.7</v>
      </c>
      <c r="K1315">
        <v>107</v>
      </c>
      <c r="L1315">
        <v>19.69</v>
      </c>
      <c r="M1315">
        <v>281.3</v>
      </c>
      <c r="N1315">
        <v>120</v>
      </c>
      <c r="O1315">
        <v>12.66</v>
      </c>
      <c r="P1315">
        <v>10.7</v>
      </c>
      <c r="Q1315">
        <v>5</v>
      </c>
      <c r="R1315">
        <v>2.89</v>
      </c>
      <c r="S1315">
        <v>1</v>
      </c>
      <c r="T1315" t="b">
        <v>0</v>
      </c>
    </row>
    <row r="1316" spans="1:20">
      <c r="A1316" t="s">
        <v>79</v>
      </c>
      <c r="B1316">
        <v>136</v>
      </c>
      <c r="C1316">
        <v>408</v>
      </c>
      <c r="D1316" t="s">
        <v>62</v>
      </c>
      <c r="E1316" t="s">
        <v>62</v>
      </c>
      <c r="F1316">
        <v>0</v>
      </c>
      <c r="G1316">
        <v>142.3</v>
      </c>
      <c r="H1316">
        <v>79</v>
      </c>
      <c r="I1316">
        <v>24.19</v>
      </c>
      <c r="J1316">
        <v>158</v>
      </c>
      <c r="K1316">
        <v>113</v>
      </c>
      <c r="L1316">
        <v>13.43</v>
      </c>
      <c r="M1316">
        <v>177.5</v>
      </c>
      <c r="N1316">
        <v>75</v>
      </c>
      <c r="O1316">
        <v>7.99</v>
      </c>
      <c r="P1316">
        <v>6</v>
      </c>
      <c r="Q1316">
        <v>11</v>
      </c>
      <c r="R1316">
        <v>1.62</v>
      </c>
      <c r="S1316">
        <v>2</v>
      </c>
      <c r="T1316" t="b">
        <v>0</v>
      </c>
    </row>
    <row r="1317" spans="1:20">
      <c r="A1317" t="s">
        <v>97</v>
      </c>
      <c r="B1317">
        <v>111</v>
      </c>
      <c r="C1317">
        <v>510</v>
      </c>
      <c r="D1317" t="s">
        <v>62</v>
      </c>
      <c r="E1317" t="s">
        <v>62</v>
      </c>
      <c r="F1317">
        <v>0</v>
      </c>
      <c r="G1317">
        <v>191.3</v>
      </c>
      <c r="H1317">
        <v>80</v>
      </c>
      <c r="I1317">
        <v>32.52</v>
      </c>
      <c r="J1317">
        <v>138.5</v>
      </c>
      <c r="K1317">
        <v>94</v>
      </c>
      <c r="L1317">
        <v>11.77</v>
      </c>
      <c r="M1317">
        <v>246</v>
      </c>
      <c r="N1317">
        <v>107</v>
      </c>
      <c r="O1317">
        <v>11.07</v>
      </c>
      <c r="P1317">
        <v>6.4</v>
      </c>
      <c r="Q1317">
        <v>3</v>
      </c>
      <c r="R1317">
        <v>1.73</v>
      </c>
      <c r="S1317">
        <v>2</v>
      </c>
      <c r="T1317" t="b">
        <v>0</v>
      </c>
    </row>
    <row r="1318" spans="1:20">
      <c r="A1318" t="s">
        <v>68</v>
      </c>
      <c r="B1318">
        <v>132</v>
      </c>
      <c r="C1318">
        <v>408</v>
      </c>
      <c r="D1318" t="s">
        <v>62</v>
      </c>
      <c r="E1318" t="s">
        <v>63</v>
      </c>
      <c r="F1318">
        <v>36</v>
      </c>
      <c r="G1318">
        <v>201.9</v>
      </c>
      <c r="H1318">
        <v>93</v>
      </c>
      <c r="I1318">
        <v>34.32</v>
      </c>
      <c r="J1318">
        <v>156.3</v>
      </c>
      <c r="K1318">
        <v>75</v>
      </c>
      <c r="L1318">
        <v>13.29</v>
      </c>
      <c r="M1318">
        <v>131.3</v>
      </c>
      <c r="N1318">
        <v>92</v>
      </c>
      <c r="O1318">
        <v>5.91</v>
      </c>
      <c r="P1318">
        <v>13.7</v>
      </c>
      <c r="Q1318">
        <v>5</v>
      </c>
      <c r="R1318">
        <v>3.7</v>
      </c>
      <c r="S1318">
        <v>0</v>
      </c>
      <c r="T1318" t="b">
        <v>0</v>
      </c>
    </row>
    <row r="1319" spans="1:20">
      <c r="A1319" t="s">
        <v>99</v>
      </c>
      <c r="B1319">
        <v>128</v>
      </c>
      <c r="C1319">
        <v>415</v>
      </c>
      <c r="D1319" t="s">
        <v>62</v>
      </c>
      <c r="E1319" t="s">
        <v>62</v>
      </c>
      <c r="F1319">
        <v>0</v>
      </c>
      <c r="G1319">
        <v>247.3</v>
      </c>
      <c r="H1319">
        <v>91</v>
      </c>
      <c r="I1319">
        <v>42.04</v>
      </c>
      <c r="J1319">
        <v>182.7</v>
      </c>
      <c r="K1319">
        <v>60</v>
      </c>
      <c r="L1319">
        <v>15.53</v>
      </c>
      <c r="M1319">
        <v>143.2</v>
      </c>
      <c r="N1319">
        <v>112</v>
      </c>
      <c r="O1319">
        <v>6.44</v>
      </c>
      <c r="P1319">
        <v>14.7</v>
      </c>
      <c r="Q1319">
        <v>2</v>
      </c>
      <c r="R1319">
        <v>3.97</v>
      </c>
      <c r="S1319">
        <v>3</v>
      </c>
      <c r="T1319" t="b">
        <v>0</v>
      </c>
    </row>
    <row r="1320" spans="1:20">
      <c r="A1320" t="s">
        <v>67</v>
      </c>
      <c r="B1320">
        <v>92</v>
      </c>
      <c r="C1320">
        <v>408</v>
      </c>
      <c r="D1320" t="s">
        <v>62</v>
      </c>
      <c r="E1320" t="s">
        <v>63</v>
      </c>
      <c r="F1320">
        <v>38</v>
      </c>
      <c r="G1320">
        <v>242.2</v>
      </c>
      <c r="H1320">
        <v>96</v>
      </c>
      <c r="I1320">
        <v>41.17</v>
      </c>
      <c r="J1320">
        <v>159.7</v>
      </c>
      <c r="K1320">
        <v>144</v>
      </c>
      <c r="L1320">
        <v>13.57</v>
      </c>
      <c r="M1320">
        <v>210</v>
      </c>
      <c r="N1320">
        <v>108</v>
      </c>
      <c r="O1320">
        <v>9.45</v>
      </c>
      <c r="P1320">
        <v>8.9</v>
      </c>
      <c r="Q1320">
        <v>1</v>
      </c>
      <c r="R1320">
        <v>2.4</v>
      </c>
      <c r="S1320">
        <v>1</v>
      </c>
      <c r="T1320" t="b">
        <v>0</v>
      </c>
    </row>
    <row r="1321" spans="1:20">
      <c r="A1321" t="s">
        <v>67</v>
      </c>
      <c r="B1321">
        <v>197</v>
      </c>
      <c r="C1321">
        <v>415</v>
      </c>
      <c r="D1321" t="s">
        <v>63</v>
      </c>
      <c r="E1321" t="s">
        <v>62</v>
      </c>
      <c r="F1321">
        <v>0</v>
      </c>
      <c r="G1321">
        <v>127.3</v>
      </c>
      <c r="H1321">
        <v>80</v>
      </c>
      <c r="I1321">
        <v>21.64</v>
      </c>
      <c r="J1321">
        <v>222.3</v>
      </c>
      <c r="K1321">
        <v>115</v>
      </c>
      <c r="L1321">
        <v>18.9</v>
      </c>
      <c r="M1321">
        <v>173.9</v>
      </c>
      <c r="N1321">
        <v>95</v>
      </c>
      <c r="O1321">
        <v>7.83</v>
      </c>
      <c r="P1321">
        <v>13.7</v>
      </c>
      <c r="Q1321">
        <v>5</v>
      </c>
      <c r="R1321">
        <v>3.7</v>
      </c>
      <c r="S1321">
        <v>5</v>
      </c>
      <c r="T1321" t="b">
        <v>1</v>
      </c>
    </row>
    <row r="1322" spans="1:20">
      <c r="A1322" t="s">
        <v>111</v>
      </c>
      <c r="B1322">
        <v>99</v>
      </c>
      <c r="C1322">
        <v>415</v>
      </c>
      <c r="D1322" t="s">
        <v>62</v>
      </c>
      <c r="E1322" t="s">
        <v>63</v>
      </c>
      <c r="F1322">
        <v>33</v>
      </c>
      <c r="G1322">
        <v>179.1</v>
      </c>
      <c r="H1322">
        <v>93</v>
      </c>
      <c r="I1322">
        <v>30.45</v>
      </c>
      <c r="J1322">
        <v>238.3</v>
      </c>
      <c r="K1322">
        <v>102</v>
      </c>
      <c r="L1322">
        <v>20.26</v>
      </c>
      <c r="M1322">
        <v>165.7</v>
      </c>
      <c r="N1322">
        <v>96</v>
      </c>
      <c r="O1322">
        <v>7.46</v>
      </c>
      <c r="P1322">
        <v>10.6</v>
      </c>
      <c r="Q1322">
        <v>1</v>
      </c>
      <c r="R1322">
        <v>2.86</v>
      </c>
      <c r="S1322">
        <v>2</v>
      </c>
      <c r="T1322" t="b">
        <v>0</v>
      </c>
    </row>
    <row r="1323" spans="1:20">
      <c r="A1323" t="s">
        <v>81</v>
      </c>
      <c r="B1323">
        <v>106</v>
      </c>
      <c r="C1323">
        <v>415</v>
      </c>
      <c r="D1323" t="s">
        <v>62</v>
      </c>
      <c r="E1323" t="s">
        <v>63</v>
      </c>
      <c r="F1323">
        <v>31</v>
      </c>
      <c r="G1323">
        <v>197.4</v>
      </c>
      <c r="H1323">
        <v>125</v>
      </c>
      <c r="I1323">
        <v>33.56</v>
      </c>
      <c r="J1323">
        <v>123.4</v>
      </c>
      <c r="K1323">
        <v>110</v>
      </c>
      <c r="L1323">
        <v>10.49</v>
      </c>
      <c r="M1323">
        <v>115.6</v>
      </c>
      <c r="N1323">
        <v>101</v>
      </c>
      <c r="O1323">
        <v>5.2</v>
      </c>
      <c r="P1323">
        <v>12.3</v>
      </c>
      <c r="Q1323">
        <v>4</v>
      </c>
      <c r="R1323">
        <v>3.32</v>
      </c>
      <c r="S1323">
        <v>3</v>
      </c>
      <c r="T1323" t="b">
        <v>0</v>
      </c>
    </row>
    <row r="1324" spans="1:20">
      <c r="A1324" t="s">
        <v>97</v>
      </c>
      <c r="B1324">
        <v>78</v>
      </c>
      <c r="C1324">
        <v>415</v>
      </c>
      <c r="D1324" t="s">
        <v>62</v>
      </c>
      <c r="E1324" t="s">
        <v>62</v>
      </c>
      <c r="F1324">
        <v>0</v>
      </c>
      <c r="G1324">
        <v>193.1</v>
      </c>
      <c r="H1324">
        <v>85</v>
      </c>
      <c r="I1324">
        <v>32.83</v>
      </c>
      <c r="J1324">
        <v>172.1</v>
      </c>
      <c r="K1324">
        <v>105</v>
      </c>
      <c r="L1324">
        <v>14.63</v>
      </c>
      <c r="M1324">
        <v>129.6</v>
      </c>
      <c r="N1324">
        <v>119</v>
      </c>
      <c r="O1324">
        <v>5.83</v>
      </c>
      <c r="P1324">
        <v>10.2</v>
      </c>
      <c r="Q1324">
        <v>1</v>
      </c>
      <c r="R1324">
        <v>2.75</v>
      </c>
      <c r="S1324">
        <v>0</v>
      </c>
      <c r="T1324" t="b">
        <v>0</v>
      </c>
    </row>
    <row r="1325" spans="1:20">
      <c r="A1325" t="s">
        <v>106</v>
      </c>
      <c r="B1325">
        <v>98</v>
      </c>
      <c r="C1325">
        <v>408</v>
      </c>
      <c r="D1325" t="s">
        <v>62</v>
      </c>
      <c r="E1325" t="s">
        <v>62</v>
      </c>
      <c r="F1325">
        <v>0</v>
      </c>
      <c r="G1325">
        <v>171.7</v>
      </c>
      <c r="H1325">
        <v>99</v>
      </c>
      <c r="I1325">
        <v>29.19</v>
      </c>
      <c r="J1325">
        <v>174.8</v>
      </c>
      <c r="K1325">
        <v>87</v>
      </c>
      <c r="L1325">
        <v>14.86</v>
      </c>
      <c r="M1325">
        <v>189.6</v>
      </c>
      <c r="N1325">
        <v>130</v>
      </c>
      <c r="O1325">
        <v>8.53</v>
      </c>
      <c r="P1325">
        <v>7.8</v>
      </c>
      <c r="Q1325">
        <v>6</v>
      </c>
      <c r="R1325">
        <v>2.11</v>
      </c>
      <c r="S1325">
        <v>1</v>
      </c>
      <c r="T1325" t="b">
        <v>0</v>
      </c>
    </row>
    <row r="1326" spans="1:20">
      <c r="A1326" t="s">
        <v>109</v>
      </c>
      <c r="B1326">
        <v>17</v>
      </c>
      <c r="C1326">
        <v>408</v>
      </c>
      <c r="D1326" t="s">
        <v>62</v>
      </c>
      <c r="E1326" t="s">
        <v>63</v>
      </c>
      <c r="F1326">
        <v>35</v>
      </c>
      <c r="G1326">
        <v>198.5</v>
      </c>
      <c r="H1326">
        <v>123</v>
      </c>
      <c r="I1326">
        <v>33.75</v>
      </c>
      <c r="J1326">
        <v>270.6</v>
      </c>
      <c r="K1326">
        <v>74</v>
      </c>
      <c r="L1326">
        <v>23</v>
      </c>
      <c r="M1326">
        <v>209.9</v>
      </c>
      <c r="N1326">
        <v>130</v>
      </c>
      <c r="O1326">
        <v>9.45</v>
      </c>
      <c r="P1326">
        <v>8.1</v>
      </c>
      <c r="Q1326">
        <v>10</v>
      </c>
      <c r="R1326">
        <v>2.19</v>
      </c>
      <c r="S1326">
        <v>1</v>
      </c>
      <c r="T1326" t="b">
        <v>0</v>
      </c>
    </row>
    <row r="1327" spans="1:20">
      <c r="A1327" t="s">
        <v>87</v>
      </c>
      <c r="B1327">
        <v>56</v>
      </c>
      <c r="C1327">
        <v>415</v>
      </c>
      <c r="D1327" t="s">
        <v>62</v>
      </c>
      <c r="E1327" t="s">
        <v>63</v>
      </c>
      <c r="F1327">
        <v>24</v>
      </c>
      <c r="G1327">
        <v>121.7</v>
      </c>
      <c r="H1327">
        <v>87</v>
      </c>
      <c r="I1327">
        <v>20.69</v>
      </c>
      <c r="J1327">
        <v>184</v>
      </c>
      <c r="K1327">
        <v>76</v>
      </c>
      <c r="L1327">
        <v>15.64</v>
      </c>
      <c r="M1327">
        <v>266.6</v>
      </c>
      <c r="N1327">
        <v>98</v>
      </c>
      <c r="O1327">
        <v>12</v>
      </c>
      <c r="P1327">
        <v>12.7</v>
      </c>
      <c r="Q1327">
        <v>3</v>
      </c>
      <c r="R1327">
        <v>3.43</v>
      </c>
      <c r="S1327">
        <v>1</v>
      </c>
      <c r="T1327" t="b">
        <v>0</v>
      </c>
    </row>
    <row r="1328" spans="1:20">
      <c r="A1328" t="s">
        <v>79</v>
      </c>
      <c r="B1328">
        <v>84</v>
      </c>
      <c r="C1328">
        <v>415</v>
      </c>
      <c r="D1328" t="s">
        <v>62</v>
      </c>
      <c r="E1328" t="s">
        <v>62</v>
      </c>
      <c r="F1328">
        <v>0</v>
      </c>
      <c r="G1328">
        <v>130.2</v>
      </c>
      <c r="H1328">
        <v>105</v>
      </c>
      <c r="I1328">
        <v>22.13</v>
      </c>
      <c r="J1328">
        <v>278</v>
      </c>
      <c r="K1328">
        <v>60</v>
      </c>
      <c r="L1328">
        <v>23.63</v>
      </c>
      <c r="M1328">
        <v>305.4</v>
      </c>
      <c r="N1328">
        <v>74</v>
      </c>
      <c r="O1328">
        <v>13.74</v>
      </c>
      <c r="P1328">
        <v>14</v>
      </c>
      <c r="Q1328">
        <v>6</v>
      </c>
      <c r="R1328">
        <v>3.78</v>
      </c>
      <c r="S1328">
        <v>2</v>
      </c>
      <c r="T1328" t="b">
        <v>0</v>
      </c>
    </row>
    <row r="1329" spans="1:20">
      <c r="A1329" t="s">
        <v>78</v>
      </c>
      <c r="B1329">
        <v>95</v>
      </c>
      <c r="C1329">
        <v>510</v>
      </c>
      <c r="D1329" t="s">
        <v>62</v>
      </c>
      <c r="E1329" t="s">
        <v>62</v>
      </c>
      <c r="F1329">
        <v>0</v>
      </c>
      <c r="G1329">
        <v>203.4</v>
      </c>
      <c r="H1329">
        <v>96</v>
      </c>
      <c r="I1329">
        <v>34.58</v>
      </c>
      <c r="J1329">
        <v>168.6</v>
      </c>
      <c r="K1329">
        <v>61</v>
      </c>
      <c r="L1329">
        <v>14.33</v>
      </c>
      <c r="M1329">
        <v>173</v>
      </c>
      <c r="N1329">
        <v>105</v>
      </c>
      <c r="O1329">
        <v>7.79</v>
      </c>
      <c r="P1329">
        <v>13.7</v>
      </c>
      <c r="Q1329">
        <v>3</v>
      </c>
      <c r="R1329">
        <v>3.7</v>
      </c>
      <c r="S1329">
        <v>2</v>
      </c>
      <c r="T1329" t="b">
        <v>0</v>
      </c>
    </row>
    <row r="1330" spans="1:20">
      <c r="A1330" t="s">
        <v>104</v>
      </c>
      <c r="B1330">
        <v>76</v>
      </c>
      <c r="C1330">
        <v>510</v>
      </c>
      <c r="D1330" t="s">
        <v>63</v>
      </c>
      <c r="E1330" t="s">
        <v>62</v>
      </c>
      <c r="F1330">
        <v>0</v>
      </c>
      <c r="G1330">
        <v>241</v>
      </c>
      <c r="H1330">
        <v>120</v>
      </c>
      <c r="I1330">
        <v>40.97</v>
      </c>
      <c r="J1330">
        <v>231.8</v>
      </c>
      <c r="K1330">
        <v>96</v>
      </c>
      <c r="L1330">
        <v>19.7</v>
      </c>
      <c r="M1330">
        <v>220.2</v>
      </c>
      <c r="N1330">
        <v>67</v>
      </c>
      <c r="O1330">
        <v>9.91</v>
      </c>
      <c r="P1330">
        <v>9.9</v>
      </c>
      <c r="Q1330">
        <v>1</v>
      </c>
      <c r="R1330">
        <v>2.67</v>
      </c>
      <c r="S1330">
        <v>1</v>
      </c>
      <c r="T1330" t="b">
        <v>1</v>
      </c>
    </row>
    <row r="1331" spans="1:20">
      <c r="A1331" t="s">
        <v>71</v>
      </c>
      <c r="B1331">
        <v>93</v>
      </c>
      <c r="C1331">
        <v>415</v>
      </c>
      <c r="D1331" t="s">
        <v>62</v>
      </c>
      <c r="E1331" t="s">
        <v>62</v>
      </c>
      <c r="F1331">
        <v>0</v>
      </c>
      <c r="G1331">
        <v>141.7</v>
      </c>
      <c r="H1331">
        <v>95</v>
      </c>
      <c r="I1331">
        <v>24.09</v>
      </c>
      <c r="J1331">
        <v>221</v>
      </c>
      <c r="K1331">
        <v>100</v>
      </c>
      <c r="L1331">
        <v>18.79</v>
      </c>
      <c r="M1331">
        <v>227.1</v>
      </c>
      <c r="N1331">
        <v>71</v>
      </c>
      <c r="O1331">
        <v>10.22</v>
      </c>
      <c r="P1331">
        <v>10.2</v>
      </c>
      <c r="Q1331">
        <v>3</v>
      </c>
      <c r="R1331">
        <v>2.75</v>
      </c>
      <c r="S1331">
        <v>0</v>
      </c>
      <c r="T1331" t="b">
        <v>0</v>
      </c>
    </row>
    <row r="1332" spans="1:20">
      <c r="A1332" t="s">
        <v>101</v>
      </c>
      <c r="B1332">
        <v>83</v>
      </c>
      <c r="C1332">
        <v>408</v>
      </c>
      <c r="D1332" t="s">
        <v>62</v>
      </c>
      <c r="E1332" t="s">
        <v>62</v>
      </c>
      <c r="F1332">
        <v>0</v>
      </c>
      <c r="G1332">
        <v>134.8</v>
      </c>
      <c r="H1332">
        <v>96</v>
      </c>
      <c r="I1332">
        <v>22.92</v>
      </c>
      <c r="J1332">
        <v>167.2</v>
      </c>
      <c r="K1332">
        <v>78</v>
      </c>
      <c r="L1332">
        <v>14.21</v>
      </c>
      <c r="M1332">
        <v>161.5</v>
      </c>
      <c r="N1332">
        <v>123</v>
      </c>
      <c r="O1332">
        <v>7.27</v>
      </c>
      <c r="P1332">
        <v>7.7</v>
      </c>
      <c r="Q1332">
        <v>5</v>
      </c>
      <c r="R1332">
        <v>2.08</v>
      </c>
      <c r="S1332">
        <v>2</v>
      </c>
      <c r="T1332" t="b">
        <v>0</v>
      </c>
    </row>
    <row r="1333" spans="1:20">
      <c r="A1333" t="s">
        <v>61</v>
      </c>
      <c r="B1333">
        <v>123</v>
      </c>
      <c r="C1333">
        <v>415</v>
      </c>
      <c r="D1333" t="s">
        <v>62</v>
      </c>
      <c r="E1333" t="s">
        <v>62</v>
      </c>
      <c r="F1333">
        <v>0</v>
      </c>
      <c r="G1333">
        <v>163.1</v>
      </c>
      <c r="H1333">
        <v>119</v>
      </c>
      <c r="I1333">
        <v>27.73</v>
      </c>
      <c r="J1333">
        <v>249.4</v>
      </c>
      <c r="K1333">
        <v>51</v>
      </c>
      <c r="L1333">
        <v>21.2</v>
      </c>
      <c r="M1333">
        <v>168.2</v>
      </c>
      <c r="N1333">
        <v>77</v>
      </c>
      <c r="O1333">
        <v>7.57</v>
      </c>
      <c r="P1333">
        <v>9</v>
      </c>
      <c r="Q1333">
        <v>10</v>
      </c>
      <c r="R1333">
        <v>2.43</v>
      </c>
      <c r="S1333">
        <v>1</v>
      </c>
      <c r="T1333" t="b">
        <v>0</v>
      </c>
    </row>
    <row r="1334" spans="1:20">
      <c r="A1334" t="s">
        <v>78</v>
      </c>
      <c r="B1334">
        <v>64</v>
      </c>
      <c r="C1334">
        <v>408</v>
      </c>
      <c r="D1334" t="s">
        <v>62</v>
      </c>
      <c r="E1334" t="s">
        <v>62</v>
      </c>
      <c r="F1334">
        <v>0</v>
      </c>
      <c r="G1334">
        <v>145.5</v>
      </c>
      <c r="H1334">
        <v>116</v>
      </c>
      <c r="I1334">
        <v>24.74</v>
      </c>
      <c r="J1334">
        <v>228.4</v>
      </c>
      <c r="K1334">
        <v>110</v>
      </c>
      <c r="L1334">
        <v>19.41</v>
      </c>
      <c r="M1334">
        <v>273.4</v>
      </c>
      <c r="N1334">
        <v>91</v>
      </c>
      <c r="O1334">
        <v>12.3</v>
      </c>
      <c r="P1334">
        <v>8.9</v>
      </c>
      <c r="Q1334">
        <v>8</v>
      </c>
      <c r="R1334">
        <v>2.4</v>
      </c>
      <c r="S1334">
        <v>1</v>
      </c>
      <c r="T1334" t="b">
        <v>0</v>
      </c>
    </row>
    <row r="1335" spans="1:20">
      <c r="A1335" t="s">
        <v>66</v>
      </c>
      <c r="B1335">
        <v>82</v>
      </c>
      <c r="C1335">
        <v>510</v>
      </c>
      <c r="D1335" t="s">
        <v>62</v>
      </c>
      <c r="E1335" t="s">
        <v>62</v>
      </c>
      <c r="F1335">
        <v>0</v>
      </c>
      <c r="G1335">
        <v>329.8</v>
      </c>
      <c r="H1335">
        <v>73</v>
      </c>
      <c r="I1335">
        <v>56.07</v>
      </c>
      <c r="J1335">
        <v>208.3</v>
      </c>
      <c r="K1335">
        <v>120</v>
      </c>
      <c r="L1335">
        <v>17.71</v>
      </c>
      <c r="M1335">
        <v>267.1</v>
      </c>
      <c r="N1335">
        <v>102</v>
      </c>
      <c r="O1335">
        <v>12.02</v>
      </c>
      <c r="P1335">
        <v>10.6</v>
      </c>
      <c r="Q1335">
        <v>6</v>
      </c>
      <c r="R1335">
        <v>2.86</v>
      </c>
      <c r="S1335">
        <v>0</v>
      </c>
      <c r="T1335" t="b">
        <v>1</v>
      </c>
    </row>
    <row r="1336" spans="1:20">
      <c r="A1336" t="s">
        <v>82</v>
      </c>
      <c r="B1336">
        <v>110</v>
      </c>
      <c r="C1336">
        <v>510</v>
      </c>
      <c r="D1336" t="s">
        <v>62</v>
      </c>
      <c r="E1336" t="s">
        <v>62</v>
      </c>
      <c r="F1336">
        <v>0</v>
      </c>
      <c r="G1336">
        <v>131.9</v>
      </c>
      <c r="H1336">
        <v>93</v>
      </c>
      <c r="I1336">
        <v>22.42</v>
      </c>
      <c r="J1336">
        <v>272.7</v>
      </c>
      <c r="K1336">
        <v>106</v>
      </c>
      <c r="L1336">
        <v>23.18</v>
      </c>
      <c r="M1336">
        <v>192.8</v>
      </c>
      <c r="N1336">
        <v>105</v>
      </c>
      <c r="O1336">
        <v>8.68</v>
      </c>
      <c r="P1336">
        <v>7.1</v>
      </c>
      <c r="Q1336">
        <v>4</v>
      </c>
      <c r="R1336">
        <v>1.92</v>
      </c>
      <c r="S1336">
        <v>1</v>
      </c>
      <c r="T1336" t="b">
        <v>0</v>
      </c>
    </row>
    <row r="1337" spans="1:20">
      <c r="A1337" t="s">
        <v>112</v>
      </c>
      <c r="B1337">
        <v>47</v>
      </c>
      <c r="C1337">
        <v>415</v>
      </c>
      <c r="D1337" t="s">
        <v>62</v>
      </c>
      <c r="E1337" t="s">
        <v>63</v>
      </c>
      <c r="F1337">
        <v>30</v>
      </c>
      <c r="G1337">
        <v>196.6</v>
      </c>
      <c r="H1337">
        <v>93</v>
      </c>
      <c r="I1337">
        <v>33.42</v>
      </c>
      <c r="J1337">
        <v>241.4</v>
      </c>
      <c r="K1337">
        <v>140</v>
      </c>
      <c r="L1337">
        <v>20.52</v>
      </c>
      <c r="M1337">
        <v>226</v>
      </c>
      <c r="N1337">
        <v>118</v>
      </c>
      <c r="O1337">
        <v>10.17</v>
      </c>
      <c r="P1337">
        <v>12.9</v>
      </c>
      <c r="Q1337">
        <v>4</v>
      </c>
      <c r="R1337">
        <v>3.48</v>
      </c>
      <c r="S1337">
        <v>2</v>
      </c>
      <c r="T1337" t="b">
        <v>0</v>
      </c>
    </row>
    <row r="1338" spans="1:20">
      <c r="A1338" t="s">
        <v>107</v>
      </c>
      <c r="B1338">
        <v>115</v>
      </c>
      <c r="C1338">
        <v>510</v>
      </c>
      <c r="D1338" t="s">
        <v>62</v>
      </c>
      <c r="E1338" t="s">
        <v>62</v>
      </c>
      <c r="F1338">
        <v>0</v>
      </c>
      <c r="G1338">
        <v>99.7</v>
      </c>
      <c r="H1338">
        <v>107</v>
      </c>
      <c r="I1338">
        <v>16.95</v>
      </c>
      <c r="J1338">
        <v>145.1</v>
      </c>
      <c r="K1338">
        <v>96</v>
      </c>
      <c r="L1338">
        <v>12.33</v>
      </c>
      <c r="M1338">
        <v>149.4</v>
      </c>
      <c r="N1338">
        <v>99</v>
      </c>
      <c r="O1338">
        <v>6.72</v>
      </c>
      <c r="P1338">
        <v>14.1</v>
      </c>
      <c r="Q1338">
        <v>4</v>
      </c>
      <c r="R1338">
        <v>3.81</v>
      </c>
      <c r="S1338">
        <v>2</v>
      </c>
      <c r="T1338" t="b">
        <v>0</v>
      </c>
    </row>
    <row r="1339" spans="1:20">
      <c r="A1339" t="s">
        <v>113</v>
      </c>
      <c r="B1339">
        <v>69</v>
      </c>
      <c r="C1339">
        <v>415</v>
      </c>
      <c r="D1339" t="s">
        <v>62</v>
      </c>
      <c r="E1339" t="s">
        <v>62</v>
      </c>
      <c r="F1339">
        <v>0</v>
      </c>
      <c r="G1339">
        <v>143.6</v>
      </c>
      <c r="H1339">
        <v>88</v>
      </c>
      <c r="I1339">
        <v>24.41</v>
      </c>
      <c r="J1339">
        <v>141.8</v>
      </c>
      <c r="K1339">
        <v>86</v>
      </c>
      <c r="L1339">
        <v>12.05</v>
      </c>
      <c r="M1339">
        <v>194</v>
      </c>
      <c r="N1339">
        <v>83</v>
      </c>
      <c r="O1339">
        <v>8.73</v>
      </c>
      <c r="P1339">
        <v>10.8</v>
      </c>
      <c r="Q1339">
        <v>5</v>
      </c>
      <c r="R1339">
        <v>2.92</v>
      </c>
      <c r="S1339">
        <v>3</v>
      </c>
      <c r="T1339" t="b">
        <v>0</v>
      </c>
    </row>
    <row r="1340" spans="1:20">
      <c r="A1340" t="s">
        <v>116</v>
      </c>
      <c r="B1340">
        <v>90</v>
      </c>
      <c r="C1340">
        <v>415</v>
      </c>
      <c r="D1340" t="s">
        <v>62</v>
      </c>
      <c r="E1340" t="s">
        <v>62</v>
      </c>
      <c r="F1340">
        <v>0</v>
      </c>
      <c r="G1340">
        <v>37.8</v>
      </c>
      <c r="H1340">
        <v>80</v>
      </c>
      <c r="I1340">
        <v>6.43</v>
      </c>
      <c r="J1340">
        <v>155.3</v>
      </c>
      <c r="K1340">
        <v>105</v>
      </c>
      <c r="L1340">
        <v>13.2</v>
      </c>
      <c r="M1340">
        <v>175</v>
      </c>
      <c r="N1340">
        <v>111</v>
      </c>
      <c r="O1340">
        <v>7.88</v>
      </c>
      <c r="P1340">
        <v>14.2</v>
      </c>
      <c r="Q1340">
        <v>5</v>
      </c>
      <c r="R1340">
        <v>3.83</v>
      </c>
      <c r="S1340">
        <v>3</v>
      </c>
      <c r="T1340" t="b">
        <v>0</v>
      </c>
    </row>
    <row r="1341" spans="1:20">
      <c r="A1341" t="s">
        <v>102</v>
      </c>
      <c r="B1341">
        <v>98</v>
      </c>
      <c r="C1341">
        <v>415</v>
      </c>
      <c r="D1341" t="s">
        <v>62</v>
      </c>
      <c r="E1341" t="s">
        <v>62</v>
      </c>
      <c r="F1341">
        <v>0</v>
      </c>
      <c r="G1341">
        <v>72.8</v>
      </c>
      <c r="H1341">
        <v>107</v>
      </c>
      <c r="I1341">
        <v>12.38</v>
      </c>
      <c r="J1341">
        <v>186.4</v>
      </c>
      <c r="K1341">
        <v>103</v>
      </c>
      <c r="L1341">
        <v>15.84</v>
      </c>
      <c r="M1341">
        <v>175.3</v>
      </c>
      <c r="N1341">
        <v>110</v>
      </c>
      <c r="O1341">
        <v>7.89</v>
      </c>
      <c r="P1341">
        <v>10.5</v>
      </c>
      <c r="Q1341">
        <v>4</v>
      </c>
      <c r="R1341">
        <v>2.84</v>
      </c>
      <c r="S1341">
        <v>3</v>
      </c>
      <c r="T1341" t="b">
        <v>0</v>
      </c>
    </row>
    <row r="1342" spans="1:20">
      <c r="A1342" t="s">
        <v>85</v>
      </c>
      <c r="B1342">
        <v>90</v>
      </c>
      <c r="C1342">
        <v>408</v>
      </c>
      <c r="D1342" t="s">
        <v>62</v>
      </c>
      <c r="E1342" t="s">
        <v>63</v>
      </c>
      <c r="F1342">
        <v>39</v>
      </c>
      <c r="G1342">
        <v>94.8</v>
      </c>
      <c r="H1342">
        <v>89</v>
      </c>
      <c r="I1342">
        <v>16.12</v>
      </c>
      <c r="J1342">
        <v>219.1</v>
      </c>
      <c r="K1342">
        <v>91</v>
      </c>
      <c r="L1342">
        <v>18.62</v>
      </c>
      <c r="M1342">
        <v>197.4</v>
      </c>
      <c r="N1342">
        <v>65</v>
      </c>
      <c r="O1342">
        <v>8.88</v>
      </c>
      <c r="P1342">
        <v>11.4</v>
      </c>
      <c r="Q1342">
        <v>5</v>
      </c>
      <c r="R1342">
        <v>3.08</v>
      </c>
      <c r="S1342">
        <v>1</v>
      </c>
      <c r="T1342" t="b">
        <v>0</v>
      </c>
    </row>
    <row r="1343" spans="1:20">
      <c r="A1343" t="s">
        <v>113</v>
      </c>
      <c r="B1343">
        <v>174</v>
      </c>
      <c r="C1343">
        <v>415</v>
      </c>
      <c r="D1343" t="s">
        <v>62</v>
      </c>
      <c r="E1343" t="s">
        <v>63</v>
      </c>
      <c r="F1343">
        <v>15</v>
      </c>
      <c r="G1343">
        <v>221.8</v>
      </c>
      <c r="H1343">
        <v>143</v>
      </c>
      <c r="I1343">
        <v>37.71</v>
      </c>
      <c r="J1343">
        <v>210.6</v>
      </c>
      <c r="K1343">
        <v>115</v>
      </c>
      <c r="L1343">
        <v>17.9</v>
      </c>
      <c r="M1343">
        <v>221.8</v>
      </c>
      <c r="N1343">
        <v>109</v>
      </c>
      <c r="O1343">
        <v>9.98</v>
      </c>
      <c r="P1343">
        <v>12.4</v>
      </c>
      <c r="Q1343">
        <v>9</v>
      </c>
      <c r="R1343">
        <v>3.35</v>
      </c>
      <c r="S1343">
        <v>1</v>
      </c>
      <c r="T1343" t="b">
        <v>0</v>
      </c>
    </row>
    <row r="1344" spans="1:20">
      <c r="A1344" t="s">
        <v>113</v>
      </c>
      <c r="B1344">
        <v>79</v>
      </c>
      <c r="C1344">
        <v>415</v>
      </c>
      <c r="D1344" t="s">
        <v>62</v>
      </c>
      <c r="E1344" t="s">
        <v>62</v>
      </c>
      <c r="F1344">
        <v>0</v>
      </c>
      <c r="G1344">
        <v>268.3</v>
      </c>
      <c r="H1344">
        <v>114</v>
      </c>
      <c r="I1344">
        <v>45.61</v>
      </c>
      <c r="J1344">
        <v>185.5</v>
      </c>
      <c r="K1344">
        <v>111</v>
      </c>
      <c r="L1344">
        <v>15.77</v>
      </c>
      <c r="M1344">
        <v>264.6</v>
      </c>
      <c r="N1344">
        <v>88</v>
      </c>
      <c r="O1344">
        <v>11.91</v>
      </c>
      <c r="P1344">
        <v>6.3</v>
      </c>
      <c r="Q1344">
        <v>7</v>
      </c>
      <c r="R1344">
        <v>1.7</v>
      </c>
      <c r="S1344">
        <v>1</v>
      </c>
      <c r="T1344" t="b">
        <v>1</v>
      </c>
    </row>
    <row r="1345" spans="1:20">
      <c r="A1345" t="s">
        <v>78</v>
      </c>
      <c r="B1345">
        <v>99</v>
      </c>
      <c r="C1345">
        <v>415</v>
      </c>
      <c r="D1345" t="s">
        <v>62</v>
      </c>
      <c r="E1345" t="s">
        <v>62</v>
      </c>
      <c r="F1345">
        <v>0</v>
      </c>
      <c r="G1345">
        <v>115.5</v>
      </c>
      <c r="H1345">
        <v>75</v>
      </c>
      <c r="I1345">
        <v>19.64</v>
      </c>
      <c r="J1345">
        <v>218.1</v>
      </c>
      <c r="K1345">
        <v>111</v>
      </c>
      <c r="L1345">
        <v>18.54</v>
      </c>
      <c r="M1345">
        <v>254.9</v>
      </c>
      <c r="N1345">
        <v>98</v>
      </c>
      <c r="O1345">
        <v>11.47</v>
      </c>
      <c r="P1345">
        <v>11.5</v>
      </c>
      <c r="Q1345">
        <v>7</v>
      </c>
      <c r="R1345">
        <v>3.11</v>
      </c>
      <c r="S1345">
        <v>7</v>
      </c>
      <c r="T1345" t="b">
        <v>1</v>
      </c>
    </row>
    <row r="1346" spans="1:20">
      <c r="A1346" t="s">
        <v>77</v>
      </c>
      <c r="B1346">
        <v>114</v>
      </c>
      <c r="C1346">
        <v>415</v>
      </c>
      <c r="D1346" t="s">
        <v>62</v>
      </c>
      <c r="E1346" t="s">
        <v>62</v>
      </c>
      <c r="F1346">
        <v>0</v>
      </c>
      <c r="G1346">
        <v>202.1</v>
      </c>
      <c r="H1346">
        <v>100</v>
      </c>
      <c r="I1346">
        <v>34.36</v>
      </c>
      <c r="J1346">
        <v>195.7</v>
      </c>
      <c r="K1346">
        <v>102</v>
      </c>
      <c r="L1346">
        <v>16.63</v>
      </c>
      <c r="M1346">
        <v>291.8</v>
      </c>
      <c r="N1346">
        <v>120</v>
      </c>
      <c r="O1346">
        <v>13.13</v>
      </c>
      <c r="P1346">
        <v>13.3</v>
      </c>
      <c r="Q1346">
        <v>5</v>
      </c>
      <c r="R1346">
        <v>3.59</v>
      </c>
      <c r="S1346">
        <v>2</v>
      </c>
      <c r="T1346" t="b">
        <v>0</v>
      </c>
    </row>
    <row r="1347" spans="1:20">
      <c r="A1347" t="s">
        <v>113</v>
      </c>
      <c r="B1347">
        <v>141</v>
      </c>
      <c r="C1347">
        <v>510</v>
      </c>
      <c r="D1347" t="s">
        <v>62</v>
      </c>
      <c r="E1347" t="s">
        <v>62</v>
      </c>
      <c r="F1347">
        <v>0</v>
      </c>
      <c r="G1347">
        <v>215.6</v>
      </c>
      <c r="H1347">
        <v>113</v>
      </c>
      <c r="I1347">
        <v>36.65</v>
      </c>
      <c r="J1347">
        <v>200.6</v>
      </c>
      <c r="K1347">
        <v>81</v>
      </c>
      <c r="L1347">
        <v>17.05</v>
      </c>
      <c r="M1347">
        <v>153.8</v>
      </c>
      <c r="N1347">
        <v>107</v>
      </c>
      <c r="O1347">
        <v>6.92</v>
      </c>
      <c r="P1347">
        <v>12.4</v>
      </c>
      <c r="Q1347">
        <v>6</v>
      </c>
      <c r="R1347">
        <v>3.35</v>
      </c>
      <c r="S1347">
        <v>1</v>
      </c>
      <c r="T1347" t="b">
        <v>0</v>
      </c>
    </row>
    <row r="1348" spans="1:20">
      <c r="A1348" t="s">
        <v>103</v>
      </c>
      <c r="B1348">
        <v>132</v>
      </c>
      <c r="C1348">
        <v>408</v>
      </c>
      <c r="D1348" t="s">
        <v>62</v>
      </c>
      <c r="E1348" t="s">
        <v>62</v>
      </c>
      <c r="F1348">
        <v>0</v>
      </c>
      <c r="G1348">
        <v>169.9</v>
      </c>
      <c r="H1348">
        <v>107</v>
      </c>
      <c r="I1348">
        <v>28.88</v>
      </c>
      <c r="J1348">
        <v>209.4</v>
      </c>
      <c r="K1348">
        <v>121</v>
      </c>
      <c r="L1348">
        <v>17.8</v>
      </c>
      <c r="M1348">
        <v>206.1</v>
      </c>
      <c r="N1348">
        <v>79</v>
      </c>
      <c r="O1348">
        <v>9.27</v>
      </c>
      <c r="P1348">
        <v>11.5</v>
      </c>
      <c r="Q1348">
        <v>2</v>
      </c>
      <c r="R1348">
        <v>3.11</v>
      </c>
      <c r="S1348">
        <v>1</v>
      </c>
      <c r="T1348" t="b">
        <v>0</v>
      </c>
    </row>
    <row r="1349" spans="1:20">
      <c r="A1349" t="s">
        <v>81</v>
      </c>
      <c r="B1349">
        <v>133</v>
      </c>
      <c r="C1349">
        <v>510</v>
      </c>
      <c r="D1349" t="s">
        <v>62</v>
      </c>
      <c r="E1349" t="s">
        <v>62</v>
      </c>
      <c r="F1349">
        <v>0</v>
      </c>
      <c r="G1349">
        <v>201.7</v>
      </c>
      <c r="H1349">
        <v>85</v>
      </c>
      <c r="I1349">
        <v>34.29</v>
      </c>
      <c r="J1349">
        <v>169.4</v>
      </c>
      <c r="K1349">
        <v>116</v>
      </c>
      <c r="L1349">
        <v>14.4</v>
      </c>
      <c r="M1349">
        <v>286.3</v>
      </c>
      <c r="N1349">
        <v>80</v>
      </c>
      <c r="O1349">
        <v>12.88</v>
      </c>
      <c r="P1349">
        <v>6</v>
      </c>
      <c r="Q1349">
        <v>4</v>
      </c>
      <c r="R1349">
        <v>1.62</v>
      </c>
      <c r="S1349">
        <v>0</v>
      </c>
      <c r="T1349" t="b">
        <v>0</v>
      </c>
    </row>
    <row r="1350" spans="1:20">
      <c r="A1350" t="s">
        <v>80</v>
      </c>
      <c r="B1350">
        <v>133</v>
      </c>
      <c r="C1350">
        <v>408</v>
      </c>
      <c r="D1350" t="s">
        <v>62</v>
      </c>
      <c r="E1350" t="s">
        <v>62</v>
      </c>
      <c r="F1350">
        <v>0</v>
      </c>
      <c r="G1350">
        <v>221.1</v>
      </c>
      <c r="H1350">
        <v>133</v>
      </c>
      <c r="I1350">
        <v>37.59</v>
      </c>
      <c r="J1350">
        <v>160.2</v>
      </c>
      <c r="K1350">
        <v>140</v>
      </c>
      <c r="L1350">
        <v>13.62</v>
      </c>
      <c r="M1350">
        <v>161.8</v>
      </c>
      <c r="N1350">
        <v>84</v>
      </c>
      <c r="O1350">
        <v>7.28</v>
      </c>
      <c r="P1350">
        <v>8.4</v>
      </c>
      <c r="Q1350">
        <v>3</v>
      </c>
      <c r="R1350">
        <v>2.27</v>
      </c>
      <c r="S1350">
        <v>4</v>
      </c>
      <c r="T1350" t="b">
        <v>0</v>
      </c>
    </row>
    <row r="1351" spans="1:20">
      <c r="A1351" t="s">
        <v>78</v>
      </c>
      <c r="B1351">
        <v>93</v>
      </c>
      <c r="C1351">
        <v>510</v>
      </c>
      <c r="D1351" t="s">
        <v>62</v>
      </c>
      <c r="E1351" t="s">
        <v>63</v>
      </c>
      <c r="F1351">
        <v>32</v>
      </c>
      <c r="G1351">
        <v>218.7</v>
      </c>
      <c r="H1351">
        <v>117</v>
      </c>
      <c r="I1351">
        <v>37.18</v>
      </c>
      <c r="J1351">
        <v>115</v>
      </c>
      <c r="K1351">
        <v>61</v>
      </c>
      <c r="L1351">
        <v>9.78</v>
      </c>
      <c r="M1351">
        <v>192.7</v>
      </c>
      <c r="N1351">
        <v>85</v>
      </c>
      <c r="O1351">
        <v>8.67</v>
      </c>
      <c r="P1351">
        <v>9.4</v>
      </c>
      <c r="Q1351">
        <v>5</v>
      </c>
      <c r="R1351">
        <v>2.54</v>
      </c>
      <c r="S1351">
        <v>2</v>
      </c>
      <c r="T1351" t="b">
        <v>0</v>
      </c>
    </row>
    <row r="1352" spans="1:20">
      <c r="A1352" t="s">
        <v>94</v>
      </c>
      <c r="B1352">
        <v>140</v>
      </c>
      <c r="C1352">
        <v>415</v>
      </c>
      <c r="D1352" t="s">
        <v>62</v>
      </c>
      <c r="E1352" t="s">
        <v>62</v>
      </c>
      <c r="F1352">
        <v>0</v>
      </c>
      <c r="G1352">
        <v>120.3</v>
      </c>
      <c r="H1352">
        <v>108</v>
      </c>
      <c r="I1352">
        <v>20.45</v>
      </c>
      <c r="J1352">
        <v>240.4</v>
      </c>
      <c r="K1352">
        <v>84</v>
      </c>
      <c r="L1352">
        <v>20.43</v>
      </c>
      <c r="M1352">
        <v>216.4</v>
      </c>
      <c r="N1352">
        <v>74</v>
      </c>
      <c r="O1352">
        <v>9.74</v>
      </c>
      <c r="P1352">
        <v>7.7</v>
      </c>
      <c r="Q1352">
        <v>3</v>
      </c>
      <c r="R1352">
        <v>2.08</v>
      </c>
      <c r="S1352">
        <v>4</v>
      </c>
      <c r="T1352" t="b">
        <v>1</v>
      </c>
    </row>
    <row r="1353" spans="1:20">
      <c r="A1353" t="s">
        <v>81</v>
      </c>
      <c r="B1353">
        <v>144</v>
      </c>
      <c r="C1353">
        <v>510</v>
      </c>
      <c r="D1353" t="s">
        <v>62</v>
      </c>
      <c r="E1353" t="s">
        <v>62</v>
      </c>
      <c r="F1353">
        <v>0</v>
      </c>
      <c r="G1353">
        <v>278.5</v>
      </c>
      <c r="H1353">
        <v>95</v>
      </c>
      <c r="I1353">
        <v>47.35</v>
      </c>
      <c r="J1353">
        <v>240.7</v>
      </c>
      <c r="K1353">
        <v>90</v>
      </c>
      <c r="L1353">
        <v>20.46</v>
      </c>
      <c r="M1353">
        <v>120</v>
      </c>
      <c r="N1353">
        <v>90</v>
      </c>
      <c r="O1353">
        <v>5.4</v>
      </c>
      <c r="P1353">
        <v>11.6</v>
      </c>
      <c r="Q1353">
        <v>5</v>
      </c>
      <c r="R1353">
        <v>3.13</v>
      </c>
      <c r="S1353">
        <v>1</v>
      </c>
      <c r="T1353" t="b">
        <v>1</v>
      </c>
    </row>
    <row r="1354" spans="1:20">
      <c r="A1354" t="s">
        <v>77</v>
      </c>
      <c r="B1354">
        <v>24</v>
      </c>
      <c r="C1354">
        <v>408</v>
      </c>
      <c r="D1354" t="s">
        <v>62</v>
      </c>
      <c r="E1354" t="s">
        <v>63</v>
      </c>
      <c r="F1354">
        <v>29</v>
      </c>
      <c r="G1354">
        <v>236.3</v>
      </c>
      <c r="H1354">
        <v>105</v>
      </c>
      <c r="I1354">
        <v>40.17</v>
      </c>
      <c r="J1354">
        <v>190.8</v>
      </c>
      <c r="K1354">
        <v>114</v>
      </c>
      <c r="L1354">
        <v>16.22</v>
      </c>
      <c r="M1354">
        <v>129</v>
      </c>
      <c r="N1354">
        <v>105</v>
      </c>
      <c r="O1354">
        <v>5.81</v>
      </c>
      <c r="P1354">
        <v>7.2</v>
      </c>
      <c r="Q1354">
        <v>2</v>
      </c>
      <c r="R1354">
        <v>1.94</v>
      </c>
      <c r="S1354">
        <v>3</v>
      </c>
      <c r="T1354" t="b">
        <v>0</v>
      </c>
    </row>
    <row r="1355" spans="1:20">
      <c r="A1355" t="s">
        <v>91</v>
      </c>
      <c r="B1355">
        <v>54</v>
      </c>
      <c r="C1355">
        <v>415</v>
      </c>
      <c r="D1355" t="s">
        <v>62</v>
      </c>
      <c r="E1355" t="s">
        <v>62</v>
      </c>
      <c r="F1355">
        <v>0</v>
      </c>
      <c r="G1355">
        <v>273.8</v>
      </c>
      <c r="H1355">
        <v>113</v>
      </c>
      <c r="I1355">
        <v>46.55</v>
      </c>
      <c r="J1355">
        <v>119.6</v>
      </c>
      <c r="K1355">
        <v>156</v>
      </c>
      <c r="L1355">
        <v>10.17</v>
      </c>
      <c r="M1355">
        <v>267.6</v>
      </c>
      <c r="N1355">
        <v>117</v>
      </c>
      <c r="O1355">
        <v>12.04</v>
      </c>
      <c r="P1355">
        <v>11.7</v>
      </c>
      <c r="Q1355">
        <v>3</v>
      </c>
      <c r="R1355">
        <v>3.16</v>
      </c>
      <c r="S1355">
        <v>1</v>
      </c>
      <c r="T1355" t="b">
        <v>0</v>
      </c>
    </row>
    <row r="1356" spans="1:20">
      <c r="A1356" t="s">
        <v>71</v>
      </c>
      <c r="B1356">
        <v>50</v>
      </c>
      <c r="C1356">
        <v>408</v>
      </c>
      <c r="D1356" t="s">
        <v>62</v>
      </c>
      <c r="E1356" t="s">
        <v>62</v>
      </c>
      <c r="F1356">
        <v>0</v>
      </c>
      <c r="G1356">
        <v>131.1</v>
      </c>
      <c r="H1356">
        <v>129</v>
      </c>
      <c r="I1356">
        <v>22.29</v>
      </c>
      <c r="J1356">
        <v>160.5</v>
      </c>
      <c r="K1356">
        <v>94</v>
      </c>
      <c r="L1356">
        <v>13.64</v>
      </c>
      <c r="M1356">
        <v>206.9</v>
      </c>
      <c r="N1356">
        <v>88</v>
      </c>
      <c r="O1356">
        <v>9.31</v>
      </c>
      <c r="P1356">
        <v>5.6</v>
      </c>
      <c r="Q1356">
        <v>9</v>
      </c>
      <c r="R1356">
        <v>1.51</v>
      </c>
      <c r="S1356">
        <v>5</v>
      </c>
      <c r="T1356" t="b">
        <v>1</v>
      </c>
    </row>
    <row r="1357" spans="1:20">
      <c r="A1357" t="s">
        <v>77</v>
      </c>
      <c r="B1357">
        <v>92</v>
      </c>
      <c r="C1357">
        <v>415</v>
      </c>
      <c r="D1357" t="s">
        <v>62</v>
      </c>
      <c r="E1357" t="s">
        <v>63</v>
      </c>
      <c r="F1357">
        <v>23</v>
      </c>
      <c r="G1357">
        <v>167.4</v>
      </c>
      <c r="H1357">
        <v>83</v>
      </c>
      <c r="I1357">
        <v>28.46</v>
      </c>
      <c r="J1357">
        <v>258.6</v>
      </c>
      <c r="K1357">
        <v>129</v>
      </c>
      <c r="L1357">
        <v>21.98</v>
      </c>
      <c r="M1357">
        <v>116.4</v>
      </c>
      <c r="N1357">
        <v>110</v>
      </c>
      <c r="O1357">
        <v>5.24</v>
      </c>
      <c r="P1357">
        <v>11.2</v>
      </c>
      <c r="Q1357">
        <v>3</v>
      </c>
      <c r="R1357">
        <v>3.02</v>
      </c>
      <c r="S1357">
        <v>4</v>
      </c>
      <c r="T1357" t="b">
        <v>0</v>
      </c>
    </row>
    <row r="1358" spans="1:20">
      <c r="A1358" t="s">
        <v>104</v>
      </c>
      <c r="B1358">
        <v>96</v>
      </c>
      <c r="C1358">
        <v>408</v>
      </c>
      <c r="D1358" t="s">
        <v>62</v>
      </c>
      <c r="E1358" t="s">
        <v>62</v>
      </c>
      <c r="F1358">
        <v>0</v>
      </c>
      <c r="G1358">
        <v>197.7</v>
      </c>
      <c r="H1358">
        <v>68</v>
      </c>
      <c r="I1358">
        <v>33.61</v>
      </c>
      <c r="J1358">
        <v>250.5</v>
      </c>
      <c r="K1358">
        <v>53</v>
      </c>
      <c r="L1358">
        <v>21.29</v>
      </c>
      <c r="M1358">
        <v>181.2</v>
      </c>
      <c r="N1358">
        <v>67</v>
      </c>
      <c r="O1358">
        <v>8.15</v>
      </c>
      <c r="P1358">
        <v>10.5</v>
      </c>
      <c r="Q1358">
        <v>3</v>
      </c>
      <c r="R1358">
        <v>2.84</v>
      </c>
      <c r="S1358">
        <v>3</v>
      </c>
      <c r="T1358" t="b">
        <v>0</v>
      </c>
    </row>
    <row r="1359" spans="1:20">
      <c r="A1359" t="s">
        <v>111</v>
      </c>
      <c r="B1359">
        <v>102</v>
      </c>
      <c r="C1359">
        <v>408</v>
      </c>
      <c r="D1359" t="s">
        <v>62</v>
      </c>
      <c r="E1359" t="s">
        <v>62</v>
      </c>
      <c r="F1359">
        <v>0</v>
      </c>
      <c r="G1359">
        <v>174.5</v>
      </c>
      <c r="H1359">
        <v>73</v>
      </c>
      <c r="I1359">
        <v>29.67</v>
      </c>
      <c r="J1359">
        <v>213.7</v>
      </c>
      <c r="K1359">
        <v>114</v>
      </c>
      <c r="L1359">
        <v>18.16</v>
      </c>
      <c r="M1359">
        <v>164.7</v>
      </c>
      <c r="N1359">
        <v>116</v>
      </c>
      <c r="O1359">
        <v>7.41</v>
      </c>
      <c r="P1359">
        <v>10.3</v>
      </c>
      <c r="Q1359">
        <v>5</v>
      </c>
      <c r="R1359">
        <v>2.78</v>
      </c>
      <c r="S1359">
        <v>4</v>
      </c>
      <c r="T1359" t="b">
        <v>0</v>
      </c>
    </row>
    <row r="1360" spans="1:20">
      <c r="A1360" t="s">
        <v>84</v>
      </c>
      <c r="B1360">
        <v>99</v>
      </c>
      <c r="C1360">
        <v>415</v>
      </c>
      <c r="D1360" t="s">
        <v>62</v>
      </c>
      <c r="E1360" t="s">
        <v>62</v>
      </c>
      <c r="F1360">
        <v>0</v>
      </c>
      <c r="G1360">
        <v>200</v>
      </c>
      <c r="H1360">
        <v>66</v>
      </c>
      <c r="I1360">
        <v>34</v>
      </c>
      <c r="J1360">
        <v>107.9</v>
      </c>
      <c r="K1360">
        <v>104</v>
      </c>
      <c r="L1360">
        <v>9.17</v>
      </c>
      <c r="M1360">
        <v>233.7</v>
      </c>
      <c r="N1360">
        <v>82</v>
      </c>
      <c r="O1360">
        <v>10.52</v>
      </c>
      <c r="P1360">
        <v>11.4</v>
      </c>
      <c r="Q1360">
        <v>2</v>
      </c>
      <c r="R1360">
        <v>3.08</v>
      </c>
      <c r="S1360">
        <v>3</v>
      </c>
      <c r="T1360" t="b">
        <v>0</v>
      </c>
    </row>
    <row r="1361" spans="1:20">
      <c r="A1361" t="s">
        <v>108</v>
      </c>
      <c r="B1361">
        <v>36</v>
      </c>
      <c r="C1361">
        <v>510</v>
      </c>
      <c r="D1361" t="s">
        <v>62</v>
      </c>
      <c r="E1361" t="s">
        <v>63</v>
      </c>
      <c r="F1361">
        <v>25</v>
      </c>
      <c r="G1361">
        <v>152.8</v>
      </c>
      <c r="H1361">
        <v>110</v>
      </c>
      <c r="I1361">
        <v>25.98</v>
      </c>
      <c r="J1361">
        <v>242.8</v>
      </c>
      <c r="K1361">
        <v>67</v>
      </c>
      <c r="L1361">
        <v>20.64</v>
      </c>
      <c r="M1361">
        <v>147.4</v>
      </c>
      <c r="N1361">
        <v>74</v>
      </c>
      <c r="O1361">
        <v>6.63</v>
      </c>
      <c r="P1361">
        <v>9.1</v>
      </c>
      <c r="Q1361">
        <v>2</v>
      </c>
      <c r="R1361">
        <v>2.46</v>
      </c>
      <c r="S1361">
        <v>1</v>
      </c>
      <c r="T1361" t="b">
        <v>0</v>
      </c>
    </row>
    <row r="1362" spans="1:20">
      <c r="A1362" t="s">
        <v>110</v>
      </c>
      <c r="B1362">
        <v>70</v>
      </c>
      <c r="C1362">
        <v>510</v>
      </c>
      <c r="D1362" t="s">
        <v>62</v>
      </c>
      <c r="E1362" t="s">
        <v>62</v>
      </c>
      <c r="F1362">
        <v>0</v>
      </c>
      <c r="G1362">
        <v>129.9</v>
      </c>
      <c r="H1362">
        <v>102</v>
      </c>
      <c r="I1362">
        <v>22.08</v>
      </c>
      <c r="J1362">
        <v>208.7</v>
      </c>
      <c r="K1362">
        <v>133</v>
      </c>
      <c r="L1362">
        <v>17.74</v>
      </c>
      <c r="M1362">
        <v>231.4</v>
      </c>
      <c r="N1362">
        <v>93</v>
      </c>
      <c r="O1362">
        <v>10.41</v>
      </c>
      <c r="P1362">
        <v>14.3</v>
      </c>
      <c r="Q1362">
        <v>3</v>
      </c>
      <c r="R1362">
        <v>3.86</v>
      </c>
      <c r="S1362">
        <v>1</v>
      </c>
      <c r="T1362" t="b">
        <v>0</v>
      </c>
    </row>
    <row r="1363" spans="1:20">
      <c r="A1363" t="s">
        <v>83</v>
      </c>
      <c r="B1363">
        <v>109</v>
      </c>
      <c r="C1363">
        <v>415</v>
      </c>
      <c r="D1363" t="s">
        <v>63</v>
      </c>
      <c r="E1363" t="s">
        <v>62</v>
      </c>
      <c r="F1363">
        <v>0</v>
      </c>
      <c r="G1363">
        <v>268.4</v>
      </c>
      <c r="H1363">
        <v>85</v>
      </c>
      <c r="I1363">
        <v>45.63</v>
      </c>
      <c r="J1363">
        <v>150.6</v>
      </c>
      <c r="K1363">
        <v>131</v>
      </c>
      <c r="L1363">
        <v>12.8</v>
      </c>
      <c r="M1363">
        <v>297.9</v>
      </c>
      <c r="N1363">
        <v>84</v>
      </c>
      <c r="O1363">
        <v>13.41</v>
      </c>
      <c r="P1363">
        <v>9.7</v>
      </c>
      <c r="Q1363">
        <v>8</v>
      </c>
      <c r="R1363">
        <v>2.62</v>
      </c>
      <c r="S1363">
        <v>2</v>
      </c>
      <c r="T1363" t="b">
        <v>1</v>
      </c>
    </row>
    <row r="1364" spans="1:20">
      <c r="A1364" t="s">
        <v>83</v>
      </c>
      <c r="B1364">
        <v>100</v>
      </c>
      <c r="C1364">
        <v>415</v>
      </c>
      <c r="D1364" t="s">
        <v>62</v>
      </c>
      <c r="E1364" t="s">
        <v>62</v>
      </c>
      <c r="F1364">
        <v>0</v>
      </c>
      <c r="G1364">
        <v>188.5</v>
      </c>
      <c r="H1364">
        <v>152</v>
      </c>
      <c r="I1364">
        <v>32.05</v>
      </c>
      <c r="J1364">
        <v>148.3</v>
      </c>
      <c r="K1364">
        <v>115</v>
      </c>
      <c r="L1364">
        <v>12.61</v>
      </c>
      <c r="M1364">
        <v>179.8</v>
      </c>
      <c r="N1364">
        <v>88</v>
      </c>
      <c r="O1364">
        <v>8.09</v>
      </c>
      <c r="P1364">
        <v>15.2</v>
      </c>
      <c r="Q1364">
        <v>5</v>
      </c>
      <c r="R1364">
        <v>4.1</v>
      </c>
      <c r="S1364">
        <v>2</v>
      </c>
      <c r="T1364" t="b">
        <v>0</v>
      </c>
    </row>
    <row r="1365" spans="1:20">
      <c r="A1365" t="s">
        <v>68</v>
      </c>
      <c r="B1365">
        <v>80</v>
      </c>
      <c r="C1365">
        <v>510</v>
      </c>
      <c r="D1365" t="s">
        <v>62</v>
      </c>
      <c r="E1365" t="s">
        <v>62</v>
      </c>
      <c r="F1365">
        <v>0</v>
      </c>
      <c r="G1365">
        <v>149.8</v>
      </c>
      <c r="H1365">
        <v>123</v>
      </c>
      <c r="I1365">
        <v>25.47</v>
      </c>
      <c r="J1365">
        <v>276.3</v>
      </c>
      <c r="K1365">
        <v>75</v>
      </c>
      <c r="L1365">
        <v>23.49</v>
      </c>
      <c r="M1365">
        <v>241.4</v>
      </c>
      <c r="N1365">
        <v>75</v>
      </c>
      <c r="O1365">
        <v>10.86</v>
      </c>
      <c r="P1365">
        <v>10.9</v>
      </c>
      <c r="Q1365">
        <v>7</v>
      </c>
      <c r="R1365">
        <v>2.94</v>
      </c>
      <c r="S1365">
        <v>2</v>
      </c>
      <c r="T1365" t="b">
        <v>0</v>
      </c>
    </row>
    <row r="1366" spans="1:20">
      <c r="A1366" t="s">
        <v>111</v>
      </c>
      <c r="B1366">
        <v>100</v>
      </c>
      <c r="C1366">
        <v>510</v>
      </c>
      <c r="D1366" t="s">
        <v>62</v>
      </c>
      <c r="E1366" t="s">
        <v>62</v>
      </c>
      <c r="F1366">
        <v>0</v>
      </c>
      <c r="G1366">
        <v>115.9</v>
      </c>
      <c r="H1366">
        <v>87</v>
      </c>
      <c r="I1366">
        <v>19.7</v>
      </c>
      <c r="J1366">
        <v>111.3</v>
      </c>
      <c r="K1366">
        <v>56</v>
      </c>
      <c r="L1366">
        <v>9.46</v>
      </c>
      <c r="M1366">
        <v>170.2</v>
      </c>
      <c r="N1366">
        <v>77</v>
      </c>
      <c r="O1366">
        <v>7.66</v>
      </c>
      <c r="P1366">
        <v>7.1</v>
      </c>
      <c r="Q1366">
        <v>4</v>
      </c>
      <c r="R1366">
        <v>1.92</v>
      </c>
      <c r="S1366">
        <v>1</v>
      </c>
      <c r="T1366" t="b">
        <v>0</v>
      </c>
    </row>
    <row r="1367" spans="1:20">
      <c r="A1367" t="s">
        <v>71</v>
      </c>
      <c r="B1367">
        <v>50</v>
      </c>
      <c r="C1367">
        <v>510</v>
      </c>
      <c r="D1367" t="s">
        <v>62</v>
      </c>
      <c r="E1367" t="s">
        <v>62</v>
      </c>
      <c r="F1367">
        <v>0</v>
      </c>
      <c r="G1367">
        <v>131.7</v>
      </c>
      <c r="H1367">
        <v>108</v>
      </c>
      <c r="I1367">
        <v>22.39</v>
      </c>
      <c r="J1367">
        <v>216.5</v>
      </c>
      <c r="K1367">
        <v>103</v>
      </c>
      <c r="L1367">
        <v>18.4</v>
      </c>
      <c r="M1367">
        <v>196.1</v>
      </c>
      <c r="N1367">
        <v>126</v>
      </c>
      <c r="O1367">
        <v>8.82</v>
      </c>
      <c r="P1367">
        <v>11</v>
      </c>
      <c r="Q1367">
        <v>5</v>
      </c>
      <c r="R1367">
        <v>2.97</v>
      </c>
      <c r="S1367">
        <v>1</v>
      </c>
      <c r="T1367" t="b">
        <v>0</v>
      </c>
    </row>
    <row r="1368" spans="1:20">
      <c r="A1368" t="s">
        <v>109</v>
      </c>
      <c r="B1368">
        <v>105</v>
      </c>
      <c r="C1368">
        <v>415</v>
      </c>
      <c r="D1368" t="s">
        <v>62</v>
      </c>
      <c r="E1368" t="s">
        <v>62</v>
      </c>
      <c r="F1368">
        <v>0</v>
      </c>
      <c r="G1368">
        <v>101.4</v>
      </c>
      <c r="H1368">
        <v>48</v>
      </c>
      <c r="I1368">
        <v>17.24</v>
      </c>
      <c r="J1368">
        <v>159.1</v>
      </c>
      <c r="K1368">
        <v>119</v>
      </c>
      <c r="L1368">
        <v>13.52</v>
      </c>
      <c r="M1368">
        <v>259.2</v>
      </c>
      <c r="N1368">
        <v>53</v>
      </c>
      <c r="O1368">
        <v>11.66</v>
      </c>
      <c r="P1368">
        <v>12.2</v>
      </c>
      <c r="Q1368">
        <v>2</v>
      </c>
      <c r="R1368">
        <v>3.29</v>
      </c>
      <c r="S1368">
        <v>1</v>
      </c>
      <c r="T1368" t="b">
        <v>0</v>
      </c>
    </row>
    <row r="1369" spans="1:20">
      <c r="A1369" t="s">
        <v>79</v>
      </c>
      <c r="B1369">
        <v>113</v>
      </c>
      <c r="C1369">
        <v>415</v>
      </c>
      <c r="D1369" t="s">
        <v>62</v>
      </c>
      <c r="E1369" t="s">
        <v>63</v>
      </c>
      <c r="F1369">
        <v>23</v>
      </c>
      <c r="G1369">
        <v>149</v>
      </c>
      <c r="H1369">
        <v>104</v>
      </c>
      <c r="I1369">
        <v>25.33</v>
      </c>
      <c r="J1369">
        <v>235.8</v>
      </c>
      <c r="K1369">
        <v>67</v>
      </c>
      <c r="L1369">
        <v>20.04</v>
      </c>
      <c r="M1369">
        <v>201.8</v>
      </c>
      <c r="N1369">
        <v>76</v>
      </c>
      <c r="O1369">
        <v>9.08</v>
      </c>
      <c r="P1369">
        <v>9.5</v>
      </c>
      <c r="Q1369">
        <v>5</v>
      </c>
      <c r="R1369">
        <v>2.57</v>
      </c>
      <c r="S1369">
        <v>4</v>
      </c>
      <c r="T1369" t="b">
        <v>0</v>
      </c>
    </row>
    <row r="1370" spans="1:20">
      <c r="A1370" t="s">
        <v>109</v>
      </c>
      <c r="B1370">
        <v>111</v>
      </c>
      <c r="C1370">
        <v>415</v>
      </c>
      <c r="D1370" t="s">
        <v>62</v>
      </c>
      <c r="E1370" t="s">
        <v>63</v>
      </c>
      <c r="F1370">
        <v>36</v>
      </c>
      <c r="G1370">
        <v>96.8</v>
      </c>
      <c r="H1370">
        <v>123</v>
      </c>
      <c r="I1370">
        <v>16.46</v>
      </c>
      <c r="J1370">
        <v>170.6</v>
      </c>
      <c r="K1370">
        <v>105</v>
      </c>
      <c r="L1370">
        <v>14.5</v>
      </c>
      <c r="M1370">
        <v>166</v>
      </c>
      <c r="N1370">
        <v>85</v>
      </c>
      <c r="O1370">
        <v>7.47</v>
      </c>
      <c r="P1370">
        <v>13.4</v>
      </c>
      <c r="Q1370">
        <v>4</v>
      </c>
      <c r="R1370">
        <v>3.62</v>
      </c>
      <c r="S1370">
        <v>2</v>
      </c>
      <c r="T1370" t="b">
        <v>0</v>
      </c>
    </row>
    <row r="1371" spans="1:20">
      <c r="A1371" t="s">
        <v>103</v>
      </c>
      <c r="B1371">
        <v>161</v>
      </c>
      <c r="C1371">
        <v>408</v>
      </c>
      <c r="D1371" t="s">
        <v>62</v>
      </c>
      <c r="E1371" t="s">
        <v>62</v>
      </c>
      <c r="F1371">
        <v>0</v>
      </c>
      <c r="G1371">
        <v>107.5</v>
      </c>
      <c r="H1371">
        <v>121</v>
      </c>
      <c r="I1371">
        <v>18.28</v>
      </c>
      <c r="J1371">
        <v>256.4</v>
      </c>
      <c r="K1371">
        <v>46</v>
      </c>
      <c r="L1371">
        <v>21.79</v>
      </c>
      <c r="M1371">
        <v>247.2</v>
      </c>
      <c r="N1371">
        <v>131</v>
      </c>
      <c r="O1371">
        <v>11.12</v>
      </c>
      <c r="P1371">
        <v>12.6</v>
      </c>
      <c r="Q1371">
        <v>3</v>
      </c>
      <c r="R1371">
        <v>3.4</v>
      </c>
      <c r="S1371">
        <v>2</v>
      </c>
      <c r="T1371" t="b">
        <v>0</v>
      </c>
    </row>
    <row r="1372" spans="1:20">
      <c r="A1372" t="s">
        <v>80</v>
      </c>
      <c r="B1372">
        <v>70</v>
      </c>
      <c r="C1372">
        <v>415</v>
      </c>
      <c r="D1372" t="s">
        <v>62</v>
      </c>
      <c r="E1372" t="s">
        <v>62</v>
      </c>
      <c r="F1372">
        <v>0</v>
      </c>
      <c r="G1372">
        <v>232.8</v>
      </c>
      <c r="H1372">
        <v>95</v>
      </c>
      <c r="I1372">
        <v>39.58</v>
      </c>
      <c r="J1372">
        <v>303.4</v>
      </c>
      <c r="K1372">
        <v>111</v>
      </c>
      <c r="L1372">
        <v>25.79</v>
      </c>
      <c r="M1372">
        <v>255.6</v>
      </c>
      <c r="N1372">
        <v>104</v>
      </c>
      <c r="O1372">
        <v>11.5</v>
      </c>
      <c r="P1372">
        <v>12.9</v>
      </c>
      <c r="Q1372">
        <v>7</v>
      </c>
      <c r="R1372">
        <v>3.48</v>
      </c>
      <c r="S1372">
        <v>0</v>
      </c>
      <c r="T1372" t="b">
        <v>1</v>
      </c>
    </row>
    <row r="1373" spans="1:20">
      <c r="A1373" t="s">
        <v>114</v>
      </c>
      <c r="B1373">
        <v>97</v>
      </c>
      <c r="C1373">
        <v>415</v>
      </c>
      <c r="D1373" t="s">
        <v>62</v>
      </c>
      <c r="E1373" t="s">
        <v>63</v>
      </c>
      <c r="F1373">
        <v>43</v>
      </c>
      <c r="G1373">
        <v>121.1</v>
      </c>
      <c r="H1373">
        <v>105</v>
      </c>
      <c r="I1373">
        <v>20.59</v>
      </c>
      <c r="J1373">
        <v>260.2</v>
      </c>
      <c r="K1373">
        <v>115</v>
      </c>
      <c r="L1373">
        <v>22.12</v>
      </c>
      <c r="M1373">
        <v>222.4</v>
      </c>
      <c r="N1373">
        <v>100</v>
      </c>
      <c r="O1373">
        <v>10.01</v>
      </c>
      <c r="P1373">
        <v>8.3</v>
      </c>
      <c r="Q1373">
        <v>5</v>
      </c>
      <c r="R1373">
        <v>2.24</v>
      </c>
      <c r="S1373">
        <v>3</v>
      </c>
      <c r="T1373" t="b">
        <v>0</v>
      </c>
    </row>
    <row r="1374" spans="1:20">
      <c r="A1374" t="s">
        <v>101</v>
      </c>
      <c r="B1374">
        <v>130</v>
      </c>
      <c r="C1374">
        <v>510</v>
      </c>
      <c r="D1374" t="s">
        <v>62</v>
      </c>
      <c r="E1374" t="s">
        <v>62</v>
      </c>
      <c r="F1374">
        <v>0</v>
      </c>
      <c r="G1374">
        <v>124.3</v>
      </c>
      <c r="H1374">
        <v>70</v>
      </c>
      <c r="I1374">
        <v>21.13</v>
      </c>
      <c r="J1374">
        <v>270.7</v>
      </c>
      <c r="K1374">
        <v>99</v>
      </c>
      <c r="L1374">
        <v>23.01</v>
      </c>
      <c r="M1374">
        <v>239.5</v>
      </c>
      <c r="N1374">
        <v>83</v>
      </c>
      <c r="O1374">
        <v>10.78</v>
      </c>
      <c r="P1374">
        <v>3.5</v>
      </c>
      <c r="Q1374">
        <v>6</v>
      </c>
      <c r="R1374">
        <v>0.95</v>
      </c>
      <c r="S1374">
        <v>0</v>
      </c>
      <c r="T1374" t="b">
        <v>0</v>
      </c>
    </row>
    <row r="1375" spans="1:20">
      <c r="A1375" t="s">
        <v>93</v>
      </c>
      <c r="B1375">
        <v>92</v>
      </c>
      <c r="C1375">
        <v>415</v>
      </c>
      <c r="D1375" t="s">
        <v>62</v>
      </c>
      <c r="E1375" t="s">
        <v>62</v>
      </c>
      <c r="F1375">
        <v>0</v>
      </c>
      <c r="G1375">
        <v>157.7</v>
      </c>
      <c r="H1375">
        <v>101</v>
      </c>
      <c r="I1375">
        <v>26.81</v>
      </c>
      <c r="J1375">
        <v>298.6</v>
      </c>
      <c r="K1375">
        <v>100</v>
      </c>
      <c r="L1375">
        <v>25.38</v>
      </c>
      <c r="M1375">
        <v>216.9</v>
      </c>
      <c r="N1375">
        <v>99</v>
      </c>
      <c r="O1375">
        <v>9.76</v>
      </c>
      <c r="P1375">
        <v>13.8</v>
      </c>
      <c r="Q1375">
        <v>3</v>
      </c>
      <c r="R1375">
        <v>3.73</v>
      </c>
      <c r="S1375">
        <v>1</v>
      </c>
      <c r="T1375" t="b">
        <v>0</v>
      </c>
    </row>
    <row r="1376" spans="1:20">
      <c r="A1376" t="s">
        <v>82</v>
      </c>
      <c r="B1376">
        <v>119</v>
      </c>
      <c r="C1376">
        <v>408</v>
      </c>
      <c r="D1376" t="s">
        <v>62</v>
      </c>
      <c r="E1376" t="s">
        <v>62</v>
      </c>
      <c r="F1376">
        <v>0</v>
      </c>
      <c r="G1376">
        <v>124.3</v>
      </c>
      <c r="H1376">
        <v>68</v>
      </c>
      <c r="I1376">
        <v>21.13</v>
      </c>
      <c r="J1376">
        <v>207.1</v>
      </c>
      <c r="K1376">
        <v>88</v>
      </c>
      <c r="L1376">
        <v>17.6</v>
      </c>
      <c r="M1376">
        <v>157.4</v>
      </c>
      <c r="N1376">
        <v>93</v>
      </c>
      <c r="O1376">
        <v>7.08</v>
      </c>
      <c r="P1376">
        <v>14.8</v>
      </c>
      <c r="Q1376">
        <v>1</v>
      </c>
      <c r="R1376">
        <v>4</v>
      </c>
      <c r="S1376">
        <v>0</v>
      </c>
      <c r="T1376" t="b">
        <v>0</v>
      </c>
    </row>
    <row r="1377" spans="1:20">
      <c r="A1377" t="s">
        <v>104</v>
      </c>
      <c r="B1377">
        <v>115</v>
      </c>
      <c r="C1377">
        <v>415</v>
      </c>
      <c r="D1377" t="s">
        <v>62</v>
      </c>
      <c r="E1377" t="s">
        <v>62</v>
      </c>
      <c r="F1377">
        <v>0</v>
      </c>
      <c r="G1377">
        <v>286.4</v>
      </c>
      <c r="H1377">
        <v>125</v>
      </c>
      <c r="I1377">
        <v>48.69</v>
      </c>
      <c r="J1377">
        <v>205.7</v>
      </c>
      <c r="K1377">
        <v>74</v>
      </c>
      <c r="L1377">
        <v>17.48</v>
      </c>
      <c r="M1377">
        <v>191.4</v>
      </c>
      <c r="N1377">
        <v>141</v>
      </c>
      <c r="O1377">
        <v>8.61</v>
      </c>
      <c r="P1377">
        <v>6.9</v>
      </c>
      <c r="Q1377">
        <v>6</v>
      </c>
      <c r="R1377">
        <v>1.86</v>
      </c>
      <c r="S1377">
        <v>1</v>
      </c>
      <c r="T1377" t="b">
        <v>1</v>
      </c>
    </row>
    <row r="1378" spans="1:20">
      <c r="A1378" t="s">
        <v>79</v>
      </c>
      <c r="B1378">
        <v>127</v>
      </c>
      <c r="C1378">
        <v>408</v>
      </c>
      <c r="D1378" t="s">
        <v>62</v>
      </c>
      <c r="E1378" t="s">
        <v>63</v>
      </c>
      <c r="F1378">
        <v>25</v>
      </c>
      <c r="G1378">
        <v>173</v>
      </c>
      <c r="H1378">
        <v>91</v>
      </c>
      <c r="I1378">
        <v>29.41</v>
      </c>
      <c r="J1378">
        <v>245.8</v>
      </c>
      <c r="K1378">
        <v>64</v>
      </c>
      <c r="L1378">
        <v>20.89</v>
      </c>
      <c r="M1378">
        <v>300</v>
      </c>
      <c r="N1378">
        <v>99</v>
      </c>
      <c r="O1378">
        <v>13.5</v>
      </c>
      <c r="P1378">
        <v>4.8</v>
      </c>
      <c r="Q1378">
        <v>3</v>
      </c>
      <c r="R1378">
        <v>1.3</v>
      </c>
      <c r="S1378">
        <v>0</v>
      </c>
      <c r="T1378" t="b">
        <v>0</v>
      </c>
    </row>
    <row r="1379" spans="1:20">
      <c r="A1379" t="s">
        <v>115</v>
      </c>
      <c r="B1379">
        <v>153</v>
      </c>
      <c r="C1379">
        <v>415</v>
      </c>
      <c r="D1379" t="s">
        <v>62</v>
      </c>
      <c r="E1379" t="s">
        <v>63</v>
      </c>
      <c r="F1379">
        <v>31</v>
      </c>
      <c r="G1379">
        <v>218.5</v>
      </c>
      <c r="H1379">
        <v>130</v>
      </c>
      <c r="I1379">
        <v>37.15</v>
      </c>
      <c r="J1379">
        <v>134.2</v>
      </c>
      <c r="K1379">
        <v>103</v>
      </c>
      <c r="L1379">
        <v>11.41</v>
      </c>
      <c r="M1379">
        <v>118.9</v>
      </c>
      <c r="N1379">
        <v>105</v>
      </c>
      <c r="O1379">
        <v>5.35</v>
      </c>
      <c r="P1379">
        <v>9.4</v>
      </c>
      <c r="Q1379">
        <v>6</v>
      </c>
      <c r="R1379">
        <v>2.54</v>
      </c>
      <c r="S1379">
        <v>0</v>
      </c>
      <c r="T1379" t="b">
        <v>0</v>
      </c>
    </row>
    <row r="1380" spans="1:20">
      <c r="A1380" t="s">
        <v>114</v>
      </c>
      <c r="B1380">
        <v>79</v>
      </c>
      <c r="C1380">
        <v>415</v>
      </c>
      <c r="D1380" t="s">
        <v>62</v>
      </c>
      <c r="E1380" t="s">
        <v>62</v>
      </c>
      <c r="F1380">
        <v>0</v>
      </c>
      <c r="G1380">
        <v>41.9</v>
      </c>
      <c r="H1380">
        <v>124</v>
      </c>
      <c r="I1380">
        <v>7.12</v>
      </c>
      <c r="J1380">
        <v>211</v>
      </c>
      <c r="K1380">
        <v>95</v>
      </c>
      <c r="L1380">
        <v>17.94</v>
      </c>
      <c r="M1380">
        <v>237.9</v>
      </c>
      <c r="N1380">
        <v>55</v>
      </c>
      <c r="O1380">
        <v>10.71</v>
      </c>
      <c r="P1380">
        <v>11.4</v>
      </c>
      <c r="Q1380">
        <v>5</v>
      </c>
      <c r="R1380">
        <v>3.08</v>
      </c>
      <c r="S1380">
        <v>1</v>
      </c>
      <c r="T1380" t="b">
        <v>0</v>
      </c>
    </row>
    <row r="1381" spans="1:20">
      <c r="A1381" t="s">
        <v>115</v>
      </c>
      <c r="B1381">
        <v>35</v>
      </c>
      <c r="C1381">
        <v>415</v>
      </c>
      <c r="D1381" t="s">
        <v>62</v>
      </c>
      <c r="E1381" t="s">
        <v>62</v>
      </c>
      <c r="F1381">
        <v>0</v>
      </c>
      <c r="G1381">
        <v>260.8</v>
      </c>
      <c r="H1381">
        <v>87</v>
      </c>
      <c r="I1381">
        <v>44.34</v>
      </c>
      <c r="J1381">
        <v>258.1</v>
      </c>
      <c r="K1381">
        <v>78</v>
      </c>
      <c r="L1381">
        <v>21.94</v>
      </c>
      <c r="M1381">
        <v>131.3</v>
      </c>
      <c r="N1381">
        <v>123</v>
      </c>
      <c r="O1381">
        <v>5.91</v>
      </c>
      <c r="P1381">
        <v>5.8</v>
      </c>
      <c r="Q1381">
        <v>2</v>
      </c>
      <c r="R1381">
        <v>1.57</v>
      </c>
      <c r="S1381">
        <v>1</v>
      </c>
      <c r="T1381" t="b">
        <v>0</v>
      </c>
    </row>
    <row r="1382" spans="1:20">
      <c r="A1382" t="s">
        <v>102</v>
      </c>
      <c r="B1382">
        <v>68</v>
      </c>
      <c r="C1382">
        <v>510</v>
      </c>
      <c r="D1382" t="s">
        <v>62</v>
      </c>
      <c r="E1382" t="s">
        <v>62</v>
      </c>
      <c r="F1382">
        <v>0</v>
      </c>
      <c r="G1382">
        <v>226.7</v>
      </c>
      <c r="H1382">
        <v>94</v>
      </c>
      <c r="I1382">
        <v>38.54</v>
      </c>
      <c r="J1382">
        <v>168.4</v>
      </c>
      <c r="K1382">
        <v>129</v>
      </c>
      <c r="L1382">
        <v>14.31</v>
      </c>
      <c r="M1382">
        <v>188.7</v>
      </c>
      <c r="N1382">
        <v>117</v>
      </c>
      <c r="O1382">
        <v>8.49</v>
      </c>
      <c r="P1382">
        <v>10.2</v>
      </c>
      <c r="Q1382">
        <v>1</v>
      </c>
      <c r="R1382">
        <v>2.75</v>
      </c>
      <c r="S1382">
        <v>0</v>
      </c>
      <c r="T1382" t="b">
        <v>0</v>
      </c>
    </row>
    <row r="1383" spans="1:20">
      <c r="A1383" t="s">
        <v>105</v>
      </c>
      <c r="B1383">
        <v>60</v>
      </c>
      <c r="C1383">
        <v>408</v>
      </c>
      <c r="D1383" t="s">
        <v>62</v>
      </c>
      <c r="E1383" t="s">
        <v>62</v>
      </c>
      <c r="F1383">
        <v>0</v>
      </c>
      <c r="G1383">
        <v>179.3</v>
      </c>
      <c r="H1383">
        <v>147</v>
      </c>
      <c r="I1383">
        <v>30.48</v>
      </c>
      <c r="J1383">
        <v>208.9</v>
      </c>
      <c r="K1383">
        <v>89</v>
      </c>
      <c r="L1383">
        <v>17.76</v>
      </c>
      <c r="M1383">
        <v>248.2</v>
      </c>
      <c r="N1383">
        <v>98</v>
      </c>
      <c r="O1383">
        <v>11.17</v>
      </c>
      <c r="P1383">
        <v>13.5</v>
      </c>
      <c r="Q1383">
        <v>6</v>
      </c>
      <c r="R1383">
        <v>3.65</v>
      </c>
      <c r="S1383">
        <v>1</v>
      </c>
      <c r="T1383" t="b">
        <v>1</v>
      </c>
    </row>
    <row r="1384" spans="1:20">
      <c r="A1384" t="s">
        <v>76</v>
      </c>
      <c r="B1384">
        <v>71</v>
      </c>
      <c r="C1384">
        <v>510</v>
      </c>
      <c r="D1384" t="s">
        <v>62</v>
      </c>
      <c r="E1384" t="s">
        <v>63</v>
      </c>
      <c r="F1384">
        <v>23</v>
      </c>
      <c r="G1384">
        <v>175.7</v>
      </c>
      <c r="H1384">
        <v>82</v>
      </c>
      <c r="I1384">
        <v>29.87</v>
      </c>
      <c r="J1384">
        <v>258.9</v>
      </c>
      <c r="K1384">
        <v>136</v>
      </c>
      <c r="L1384">
        <v>22.01</v>
      </c>
      <c r="M1384">
        <v>268.4</v>
      </c>
      <c r="N1384">
        <v>154</v>
      </c>
      <c r="O1384">
        <v>12.08</v>
      </c>
      <c r="P1384">
        <v>14.1</v>
      </c>
      <c r="Q1384">
        <v>7</v>
      </c>
      <c r="R1384">
        <v>3.81</v>
      </c>
      <c r="S1384">
        <v>1</v>
      </c>
      <c r="T1384" t="b">
        <v>0</v>
      </c>
    </row>
    <row r="1385" spans="1:20">
      <c r="A1385" t="s">
        <v>71</v>
      </c>
      <c r="B1385">
        <v>124</v>
      </c>
      <c r="C1385">
        <v>415</v>
      </c>
      <c r="D1385" t="s">
        <v>62</v>
      </c>
      <c r="E1385" t="s">
        <v>62</v>
      </c>
      <c r="F1385">
        <v>0</v>
      </c>
      <c r="G1385">
        <v>157.4</v>
      </c>
      <c r="H1385">
        <v>107</v>
      </c>
      <c r="I1385">
        <v>26.76</v>
      </c>
      <c r="J1385">
        <v>167.8</v>
      </c>
      <c r="K1385">
        <v>112</v>
      </c>
      <c r="L1385">
        <v>14.26</v>
      </c>
      <c r="M1385">
        <v>188.8</v>
      </c>
      <c r="N1385">
        <v>102</v>
      </c>
      <c r="O1385">
        <v>8.5</v>
      </c>
      <c r="P1385">
        <v>8.8</v>
      </c>
      <c r="Q1385">
        <v>3</v>
      </c>
      <c r="R1385">
        <v>2.38</v>
      </c>
      <c r="S1385">
        <v>3</v>
      </c>
      <c r="T1385" t="b">
        <v>0</v>
      </c>
    </row>
    <row r="1386" spans="1:20">
      <c r="A1386" t="s">
        <v>108</v>
      </c>
      <c r="B1386">
        <v>23</v>
      </c>
      <c r="C1386">
        <v>510</v>
      </c>
      <c r="D1386" t="s">
        <v>62</v>
      </c>
      <c r="E1386" t="s">
        <v>62</v>
      </c>
      <c r="F1386">
        <v>0</v>
      </c>
      <c r="G1386">
        <v>113.1</v>
      </c>
      <c r="H1386">
        <v>74</v>
      </c>
      <c r="I1386">
        <v>19.23</v>
      </c>
      <c r="J1386">
        <v>168.8</v>
      </c>
      <c r="K1386">
        <v>95</v>
      </c>
      <c r="L1386">
        <v>14.35</v>
      </c>
      <c r="M1386">
        <v>262.9</v>
      </c>
      <c r="N1386">
        <v>126</v>
      </c>
      <c r="O1386">
        <v>11.83</v>
      </c>
      <c r="P1386">
        <v>6.9</v>
      </c>
      <c r="Q1386">
        <v>2</v>
      </c>
      <c r="R1386">
        <v>1.86</v>
      </c>
      <c r="S1386">
        <v>1</v>
      </c>
      <c r="T1386" t="b">
        <v>1</v>
      </c>
    </row>
    <row r="1387" spans="1:20">
      <c r="A1387" t="s">
        <v>85</v>
      </c>
      <c r="B1387">
        <v>225</v>
      </c>
      <c r="C1387">
        <v>415</v>
      </c>
      <c r="D1387" t="s">
        <v>62</v>
      </c>
      <c r="E1387" t="s">
        <v>62</v>
      </c>
      <c r="F1387">
        <v>0</v>
      </c>
      <c r="G1387">
        <v>182.7</v>
      </c>
      <c r="H1387">
        <v>142</v>
      </c>
      <c r="I1387">
        <v>31.06</v>
      </c>
      <c r="J1387">
        <v>246.5</v>
      </c>
      <c r="K1387">
        <v>63</v>
      </c>
      <c r="L1387">
        <v>20.95</v>
      </c>
      <c r="M1387">
        <v>218</v>
      </c>
      <c r="N1387">
        <v>103</v>
      </c>
      <c r="O1387">
        <v>9.81</v>
      </c>
      <c r="P1387">
        <v>8.8</v>
      </c>
      <c r="Q1387">
        <v>2</v>
      </c>
      <c r="R1387">
        <v>2.38</v>
      </c>
      <c r="S1387">
        <v>1</v>
      </c>
      <c r="T1387" t="b">
        <v>0</v>
      </c>
    </row>
    <row r="1388" spans="1:20">
      <c r="A1388" t="s">
        <v>106</v>
      </c>
      <c r="B1388">
        <v>181</v>
      </c>
      <c r="C1388">
        <v>415</v>
      </c>
      <c r="D1388" t="s">
        <v>63</v>
      </c>
      <c r="E1388" t="s">
        <v>62</v>
      </c>
      <c r="F1388">
        <v>0</v>
      </c>
      <c r="G1388">
        <v>161.3</v>
      </c>
      <c r="H1388">
        <v>83</v>
      </c>
      <c r="I1388">
        <v>27.42</v>
      </c>
      <c r="J1388">
        <v>124.4</v>
      </c>
      <c r="K1388">
        <v>83</v>
      </c>
      <c r="L1388">
        <v>10.57</v>
      </c>
      <c r="M1388">
        <v>262</v>
      </c>
      <c r="N1388">
        <v>98</v>
      </c>
      <c r="O1388">
        <v>11.79</v>
      </c>
      <c r="P1388">
        <v>14.1</v>
      </c>
      <c r="Q1388">
        <v>3</v>
      </c>
      <c r="R1388">
        <v>3.81</v>
      </c>
      <c r="S1388">
        <v>0</v>
      </c>
      <c r="T1388" t="b">
        <v>1</v>
      </c>
    </row>
    <row r="1389" spans="1:20">
      <c r="A1389" t="s">
        <v>78</v>
      </c>
      <c r="B1389">
        <v>63</v>
      </c>
      <c r="C1389">
        <v>415</v>
      </c>
      <c r="D1389" t="s">
        <v>62</v>
      </c>
      <c r="E1389" t="s">
        <v>62</v>
      </c>
      <c r="F1389">
        <v>0</v>
      </c>
      <c r="G1389">
        <v>142.5</v>
      </c>
      <c r="H1389">
        <v>92</v>
      </c>
      <c r="I1389">
        <v>24.23</v>
      </c>
      <c r="J1389">
        <v>208.3</v>
      </c>
      <c r="K1389">
        <v>102</v>
      </c>
      <c r="L1389">
        <v>17.71</v>
      </c>
      <c r="M1389">
        <v>228.9</v>
      </c>
      <c r="N1389">
        <v>120</v>
      </c>
      <c r="O1389">
        <v>10.3</v>
      </c>
      <c r="P1389">
        <v>7.5</v>
      </c>
      <c r="Q1389">
        <v>2</v>
      </c>
      <c r="R1389">
        <v>2.03</v>
      </c>
      <c r="S1389">
        <v>2</v>
      </c>
      <c r="T1389" t="b">
        <v>0</v>
      </c>
    </row>
    <row r="1390" spans="1:20">
      <c r="A1390" t="s">
        <v>100</v>
      </c>
      <c r="B1390">
        <v>54</v>
      </c>
      <c r="C1390">
        <v>415</v>
      </c>
      <c r="D1390" t="s">
        <v>63</v>
      </c>
      <c r="E1390" t="s">
        <v>62</v>
      </c>
      <c r="F1390">
        <v>0</v>
      </c>
      <c r="G1390">
        <v>190.5</v>
      </c>
      <c r="H1390">
        <v>108</v>
      </c>
      <c r="I1390">
        <v>32.39</v>
      </c>
      <c r="J1390">
        <v>259.7</v>
      </c>
      <c r="K1390">
        <v>108</v>
      </c>
      <c r="L1390">
        <v>22.07</v>
      </c>
      <c r="M1390">
        <v>141.5</v>
      </c>
      <c r="N1390">
        <v>111</v>
      </c>
      <c r="O1390">
        <v>6.37</v>
      </c>
      <c r="P1390">
        <v>9.7</v>
      </c>
      <c r="Q1390">
        <v>2</v>
      </c>
      <c r="R1390">
        <v>2.62</v>
      </c>
      <c r="S1390">
        <v>2</v>
      </c>
      <c r="T1390" t="b">
        <v>1</v>
      </c>
    </row>
    <row r="1391" spans="1:20">
      <c r="A1391" t="s">
        <v>69</v>
      </c>
      <c r="B1391">
        <v>80</v>
      </c>
      <c r="C1391">
        <v>408</v>
      </c>
      <c r="D1391" t="s">
        <v>63</v>
      </c>
      <c r="E1391" t="s">
        <v>63</v>
      </c>
      <c r="F1391">
        <v>15</v>
      </c>
      <c r="G1391">
        <v>159.3</v>
      </c>
      <c r="H1391">
        <v>110</v>
      </c>
      <c r="I1391">
        <v>27.08</v>
      </c>
      <c r="J1391">
        <v>170.6</v>
      </c>
      <c r="K1391">
        <v>120</v>
      </c>
      <c r="L1391">
        <v>14.5</v>
      </c>
      <c r="M1391">
        <v>141.2</v>
      </c>
      <c r="N1391">
        <v>82</v>
      </c>
      <c r="O1391">
        <v>6.35</v>
      </c>
      <c r="P1391">
        <v>11.9</v>
      </c>
      <c r="Q1391">
        <v>5</v>
      </c>
      <c r="R1391">
        <v>3.21</v>
      </c>
      <c r="S1391">
        <v>1</v>
      </c>
      <c r="T1391" t="b">
        <v>0</v>
      </c>
    </row>
    <row r="1392" spans="1:20">
      <c r="A1392" t="s">
        <v>100</v>
      </c>
      <c r="B1392">
        <v>118</v>
      </c>
      <c r="C1392">
        <v>408</v>
      </c>
      <c r="D1392" t="s">
        <v>63</v>
      </c>
      <c r="E1392" t="s">
        <v>63</v>
      </c>
      <c r="F1392">
        <v>39</v>
      </c>
      <c r="G1392">
        <v>153.8</v>
      </c>
      <c r="H1392">
        <v>106</v>
      </c>
      <c r="I1392">
        <v>26.15</v>
      </c>
      <c r="J1392">
        <v>123.3</v>
      </c>
      <c r="K1392">
        <v>111</v>
      </c>
      <c r="L1392">
        <v>10.48</v>
      </c>
      <c r="M1392">
        <v>117.8</v>
      </c>
      <c r="N1392">
        <v>103</v>
      </c>
      <c r="O1392">
        <v>5.3</v>
      </c>
      <c r="P1392">
        <v>9.2</v>
      </c>
      <c r="Q1392">
        <v>6</v>
      </c>
      <c r="R1392">
        <v>2.48</v>
      </c>
      <c r="S1392">
        <v>1</v>
      </c>
      <c r="T1392" t="b">
        <v>0</v>
      </c>
    </row>
    <row r="1393" spans="1:20">
      <c r="A1393" t="s">
        <v>65</v>
      </c>
      <c r="B1393">
        <v>42</v>
      </c>
      <c r="C1393">
        <v>408</v>
      </c>
      <c r="D1393" t="s">
        <v>63</v>
      </c>
      <c r="E1393" t="s">
        <v>62</v>
      </c>
      <c r="F1393">
        <v>0</v>
      </c>
      <c r="G1393">
        <v>180.7</v>
      </c>
      <c r="H1393">
        <v>127</v>
      </c>
      <c r="I1393">
        <v>30.72</v>
      </c>
      <c r="J1393">
        <v>174.6</v>
      </c>
      <c r="K1393">
        <v>94</v>
      </c>
      <c r="L1393">
        <v>14.84</v>
      </c>
      <c r="M1393">
        <v>165.3</v>
      </c>
      <c r="N1393">
        <v>114</v>
      </c>
      <c r="O1393">
        <v>7.44</v>
      </c>
      <c r="P1393">
        <v>12</v>
      </c>
      <c r="Q1393">
        <v>6</v>
      </c>
      <c r="R1393">
        <v>3.24</v>
      </c>
      <c r="S1393">
        <v>2</v>
      </c>
      <c r="T1393" t="b">
        <v>0</v>
      </c>
    </row>
    <row r="1394" spans="1:20">
      <c r="A1394" t="s">
        <v>64</v>
      </c>
      <c r="B1394">
        <v>134</v>
      </c>
      <c r="C1394">
        <v>408</v>
      </c>
      <c r="D1394" t="s">
        <v>62</v>
      </c>
      <c r="E1394" t="s">
        <v>62</v>
      </c>
      <c r="F1394">
        <v>0</v>
      </c>
      <c r="G1394">
        <v>202.7</v>
      </c>
      <c r="H1394">
        <v>105</v>
      </c>
      <c r="I1394">
        <v>34.46</v>
      </c>
      <c r="J1394">
        <v>224.9</v>
      </c>
      <c r="K1394">
        <v>90</v>
      </c>
      <c r="L1394">
        <v>19.12</v>
      </c>
      <c r="M1394">
        <v>253.9</v>
      </c>
      <c r="N1394">
        <v>108</v>
      </c>
      <c r="O1394">
        <v>11.43</v>
      </c>
      <c r="P1394">
        <v>12.1</v>
      </c>
      <c r="Q1394">
        <v>7</v>
      </c>
      <c r="R1394">
        <v>3.27</v>
      </c>
      <c r="S1394">
        <v>0</v>
      </c>
      <c r="T1394" t="b">
        <v>0</v>
      </c>
    </row>
    <row r="1395" spans="1:20">
      <c r="A1395" t="s">
        <v>80</v>
      </c>
      <c r="B1395">
        <v>66</v>
      </c>
      <c r="C1395">
        <v>415</v>
      </c>
      <c r="D1395" t="s">
        <v>62</v>
      </c>
      <c r="E1395" t="s">
        <v>63</v>
      </c>
      <c r="F1395">
        <v>35</v>
      </c>
      <c r="G1395">
        <v>190.8</v>
      </c>
      <c r="H1395">
        <v>100</v>
      </c>
      <c r="I1395">
        <v>32.44</v>
      </c>
      <c r="J1395">
        <v>261.3</v>
      </c>
      <c r="K1395">
        <v>93</v>
      </c>
      <c r="L1395">
        <v>22.21</v>
      </c>
      <c r="M1395">
        <v>209.5</v>
      </c>
      <c r="N1395">
        <v>108</v>
      </c>
      <c r="O1395">
        <v>9.43</v>
      </c>
      <c r="P1395">
        <v>8.9</v>
      </c>
      <c r="Q1395">
        <v>6</v>
      </c>
      <c r="R1395">
        <v>2.4</v>
      </c>
      <c r="S1395">
        <v>0</v>
      </c>
      <c r="T1395" t="b">
        <v>0</v>
      </c>
    </row>
    <row r="1396" spans="1:20">
      <c r="A1396" t="s">
        <v>101</v>
      </c>
      <c r="B1396">
        <v>66</v>
      </c>
      <c r="C1396">
        <v>415</v>
      </c>
      <c r="D1396" t="s">
        <v>62</v>
      </c>
      <c r="E1396" t="s">
        <v>62</v>
      </c>
      <c r="F1396">
        <v>0</v>
      </c>
      <c r="G1396">
        <v>205.1</v>
      </c>
      <c r="H1396">
        <v>102</v>
      </c>
      <c r="I1396">
        <v>34.87</v>
      </c>
      <c r="J1396">
        <v>232.7</v>
      </c>
      <c r="K1396">
        <v>109</v>
      </c>
      <c r="L1396">
        <v>19.78</v>
      </c>
      <c r="M1396">
        <v>259.9</v>
      </c>
      <c r="N1396">
        <v>95</v>
      </c>
      <c r="O1396">
        <v>11.7</v>
      </c>
      <c r="P1396">
        <v>9.2</v>
      </c>
      <c r="Q1396">
        <v>6</v>
      </c>
      <c r="R1396">
        <v>2.48</v>
      </c>
      <c r="S1396">
        <v>2</v>
      </c>
      <c r="T1396" t="b">
        <v>0</v>
      </c>
    </row>
    <row r="1397" spans="1:20">
      <c r="A1397" t="s">
        <v>112</v>
      </c>
      <c r="B1397">
        <v>127</v>
      </c>
      <c r="C1397">
        <v>415</v>
      </c>
      <c r="D1397" t="s">
        <v>62</v>
      </c>
      <c r="E1397" t="s">
        <v>63</v>
      </c>
      <c r="F1397">
        <v>28</v>
      </c>
      <c r="G1397">
        <v>235.6</v>
      </c>
      <c r="H1397">
        <v>124</v>
      </c>
      <c r="I1397">
        <v>40.05</v>
      </c>
      <c r="J1397">
        <v>236.8</v>
      </c>
      <c r="K1397">
        <v>113</v>
      </c>
      <c r="L1397">
        <v>20.13</v>
      </c>
      <c r="M1397">
        <v>241.2</v>
      </c>
      <c r="N1397">
        <v>127</v>
      </c>
      <c r="O1397">
        <v>10.85</v>
      </c>
      <c r="P1397">
        <v>7.7</v>
      </c>
      <c r="Q1397">
        <v>2</v>
      </c>
      <c r="R1397">
        <v>2.08</v>
      </c>
      <c r="S1397">
        <v>1</v>
      </c>
      <c r="T1397" t="b">
        <v>0</v>
      </c>
    </row>
    <row r="1398" spans="1:20">
      <c r="A1398" t="s">
        <v>114</v>
      </c>
      <c r="B1398">
        <v>146</v>
      </c>
      <c r="C1398">
        <v>510</v>
      </c>
      <c r="D1398" t="s">
        <v>62</v>
      </c>
      <c r="E1398" t="s">
        <v>62</v>
      </c>
      <c r="F1398">
        <v>0</v>
      </c>
      <c r="G1398">
        <v>189.3</v>
      </c>
      <c r="H1398">
        <v>77</v>
      </c>
      <c r="I1398">
        <v>32.18</v>
      </c>
      <c r="J1398">
        <v>155.9</v>
      </c>
      <c r="K1398">
        <v>128</v>
      </c>
      <c r="L1398">
        <v>13.25</v>
      </c>
      <c r="M1398">
        <v>186</v>
      </c>
      <c r="N1398">
        <v>83</v>
      </c>
      <c r="O1398">
        <v>8.37</v>
      </c>
      <c r="P1398">
        <v>7.4</v>
      </c>
      <c r="Q1398">
        <v>3</v>
      </c>
      <c r="R1398">
        <v>2</v>
      </c>
      <c r="S1398">
        <v>0</v>
      </c>
      <c r="T1398" t="b">
        <v>0</v>
      </c>
    </row>
    <row r="1399" spans="1:20">
      <c r="A1399" t="s">
        <v>85</v>
      </c>
      <c r="B1399">
        <v>93</v>
      </c>
      <c r="C1399">
        <v>408</v>
      </c>
      <c r="D1399" t="s">
        <v>62</v>
      </c>
      <c r="E1399" t="s">
        <v>63</v>
      </c>
      <c r="F1399">
        <v>42</v>
      </c>
      <c r="G1399">
        <v>166.9</v>
      </c>
      <c r="H1399">
        <v>101</v>
      </c>
      <c r="I1399">
        <v>28.37</v>
      </c>
      <c r="J1399">
        <v>273.2</v>
      </c>
      <c r="K1399">
        <v>84</v>
      </c>
      <c r="L1399">
        <v>23.22</v>
      </c>
      <c r="M1399">
        <v>171</v>
      </c>
      <c r="N1399">
        <v>106</v>
      </c>
      <c r="O1399">
        <v>7.69</v>
      </c>
      <c r="P1399">
        <v>11.5</v>
      </c>
      <c r="Q1399">
        <v>1</v>
      </c>
      <c r="R1399">
        <v>3.11</v>
      </c>
      <c r="S1399">
        <v>1</v>
      </c>
      <c r="T1399" t="b">
        <v>0</v>
      </c>
    </row>
    <row r="1400" spans="1:20">
      <c r="A1400" t="s">
        <v>116</v>
      </c>
      <c r="B1400">
        <v>77</v>
      </c>
      <c r="C1400">
        <v>415</v>
      </c>
      <c r="D1400" t="s">
        <v>62</v>
      </c>
      <c r="E1400" t="s">
        <v>62</v>
      </c>
      <c r="F1400">
        <v>0</v>
      </c>
      <c r="G1400">
        <v>245.2</v>
      </c>
      <c r="H1400">
        <v>87</v>
      </c>
      <c r="I1400">
        <v>41.68</v>
      </c>
      <c r="J1400">
        <v>254.1</v>
      </c>
      <c r="K1400">
        <v>83</v>
      </c>
      <c r="L1400">
        <v>21.6</v>
      </c>
      <c r="M1400">
        <v>239.4</v>
      </c>
      <c r="N1400">
        <v>91</v>
      </c>
      <c r="O1400">
        <v>10.77</v>
      </c>
      <c r="P1400">
        <v>7.5</v>
      </c>
      <c r="Q1400">
        <v>4</v>
      </c>
      <c r="R1400">
        <v>2.03</v>
      </c>
      <c r="S1400">
        <v>0</v>
      </c>
      <c r="T1400" t="b">
        <v>1</v>
      </c>
    </row>
    <row r="1401" spans="1:20">
      <c r="A1401" t="s">
        <v>103</v>
      </c>
      <c r="B1401">
        <v>111</v>
      </c>
      <c r="C1401">
        <v>415</v>
      </c>
      <c r="D1401" t="s">
        <v>62</v>
      </c>
      <c r="E1401" t="s">
        <v>62</v>
      </c>
      <c r="F1401">
        <v>0</v>
      </c>
      <c r="G1401">
        <v>132.6</v>
      </c>
      <c r="H1401">
        <v>125</v>
      </c>
      <c r="I1401">
        <v>22.54</v>
      </c>
      <c r="J1401">
        <v>221.1</v>
      </c>
      <c r="K1401">
        <v>67</v>
      </c>
      <c r="L1401">
        <v>18.79</v>
      </c>
      <c r="M1401">
        <v>127.9</v>
      </c>
      <c r="N1401">
        <v>101</v>
      </c>
      <c r="O1401">
        <v>5.76</v>
      </c>
      <c r="P1401">
        <v>12.7</v>
      </c>
      <c r="Q1401">
        <v>2</v>
      </c>
      <c r="R1401">
        <v>3.43</v>
      </c>
      <c r="S1401">
        <v>4</v>
      </c>
      <c r="T1401" t="b">
        <v>1</v>
      </c>
    </row>
    <row r="1402" spans="1:20">
      <c r="A1402" t="s">
        <v>67</v>
      </c>
      <c r="B1402">
        <v>115</v>
      </c>
      <c r="C1402">
        <v>510</v>
      </c>
      <c r="D1402" t="s">
        <v>62</v>
      </c>
      <c r="E1402" t="s">
        <v>63</v>
      </c>
      <c r="F1402">
        <v>14</v>
      </c>
      <c r="G1402">
        <v>192.3</v>
      </c>
      <c r="H1402">
        <v>86</v>
      </c>
      <c r="I1402">
        <v>32.69</v>
      </c>
      <c r="J1402">
        <v>88.7</v>
      </c>
      <c r="K1402">
        <v>90</v>
      </c>
      <c r="L1402">
        <v>7.54</v>
      </c>
      <c r="M1402">
        <v>229.4</v>
      </c>
      <c r="N1402">
        <v>120</v>
      </c>
      <c r="O1402">
        <v>10.32</v>
      </c>
      <c r="P1402">
        <v>10.5</v>
      </c>
      <c r="Q1402">
        <v>3</v>
      </c>
      <c r="R1402">
        <v>2.84</v>
      </c>
      <c r="S1402">
        <v>2</v>
      </c>
      <c r="T1402" t="b">
        <v>0</v>
      </c>
    </row>
    <row r="1403" spans="1:20">
      <c r="A1403" t="s">
        <v>102</v>
      </c>
      <c r="B1403">
        <v>115</v>
      </c>
      <c r="C1403">
        <v>510</v>
      </c>
      <c r="D1403" t="s">
        <v>63</v>
      </c>
      <c r="E1403" t="s">
        <v>62</v>
      </c>
      <c r="F1403">
        <v>0</v>
      </c>
      <c r="G1403">
        <v>122</v>
      </c>
      <c r="H1403">
        <v>110</v>
      </c>
      <c r="I1403">
        <v>20.74</v>
      </c>
      <c r="J1403">
        <v>220.2</v>
      </c>
      <c r="K1403">
        <v>100</v>
      </c>
      <c r="L1403">
        <v>18.72</v>
      </c>
      <c r="M1403">
        <v>179.7</v>
      </c>
      <c r="N1403">
        <v>124</v>
      </c>
      <c r="O1403">
        <v>8.09</v>
      </c>
      <c r="P1403">
        <v>10.8</v>
      </c>
      <c r="Q1403">
        <v>2</v>
      </c>
      <c r="R1403">
        <v>2.92</v>
      </c>
      <c r="S1403">
        <v>2</v>
      </c>
      <c r="T1403" t="b">
        <v>1</v>
      </c>
    </row>
    <row r="1404" spans="1:20">
      <c r="A1404" t="s">
        <v>100</v>
      </c>
      <c r="B1404">
        <v>114</v>
      </c>
      <c r="C1404">
        <v>408</v>
      </c>
      <c r="D1404" t="s">
        <v>62</v>
      </c>
      <c r="E1404" t="s">
        <v>62</v>
      </c>
      <c r="F1404">
        <v>0</v>
      </c>
      <c r="G1404">
        <v>193</v>
      </c>
      <c r="H1404">
        <v>101</v>
      </c>
      <c r="I1404">
        <v>32.81</v>
      </c>
      <c r="J1404">
        <v>250</v>
      </c>
      <c r="K1404">
        <v>81</v>
      </c>
      <c r="L1404">
        <v>21.25</v>
      </c>
      <c r="M1404">
        <v>133.3</v>
      </c>
      <c r="N1404">
        <v>79</v>
      </c>
      <c r="O1404">
        <v>6</v>
      </c>
      <c r="P1404">
        <v>9.6</v>
      </c>
      <c r="Q1404">
        <v>2</v>
      </c>
      <c r="R1404">
        <v>2.59</v>
      </c>
      <c r="S1404">
        <v>2</v>
      </c>
      <c r="T1404" t="b">
        <v>0</v>
      </c>
    </row>
    <row r="1405" spans="1:20">
      <c r="A1405" t="s">
        <v>64</v>
      </c>
      <c r="B1405">
        <v>106</v>
      </c>
      <c r="C1405">
        <v>415</v>
      </c>
      <c r="D1405" t="s">
        <v>62</v>
      </c>
      <c r="E1405" t="s">
        <v>62</v>
      </c>
      <c r="F1405">
        <v>0</v>
      </c>
      <c r="G1405">
        <v>158.6</v>
      </c>
      <c r="H1405">
        <v>112</v>
      </c>
      <c r="I1405">
        <v>26.96</v>
      </c>
      <c r="J1405">
        <v>220</v>
      </c>
      <c r="K1405">
        <v>114</v>
      </c>
      <c r="L1405">
        <v>18.7</v>
      </c>
      <c r="M1405">
        <v>252.9</v>
      </c>
      <c r="N1405">
        <v>106</v>
      </c>
      <c r="O1405">
        <v>11.38</v>
      </c>
      <c r="P1405">
        <v>9.1</v>
      </c>
      <c r="Q1405">
        <v>3</v>
      </c>
      <c r="R1405">
        <v>2.46</v>
      </c>
      <c r="S1405">
        <v>0</v>
      </c>
      <c r="T1405" t="b">
        <v>0</v>
      </c>
    </row>
    <row r="1406" spans="1:20">
      <c r="A1406" t="s">
        <v>82</v>
      </c>
      <c r="B1406">
        <v>59</v>
      </c>
      <c r="C1406">
        <v>510</v>
      </c>
      <c r="D1406" t="s">
        <v>62</v>
      </c>
      <c r="E1406" t="s">
        <v>62</v>
      </c>
      <c r="F1406">
        <v>0</v>
      </c>
      <c r="G1406">
        <v>153.6</v>
      </c>
      <c r="H1406">
        <v>92</v>
      </c>
      <c r="I1406">
        <v>26.11</v>
      </c>
      <c r="J1406">
        <v>205.5</v>
      </c>
      <c r="K1406">
        <v>88</v>
      </c>
      <c r="L1406">
        <v>17.47</v>
      </c>
      <c r="M1406">
        <v>114.5</v>
      </c>
      <c r="N1406">
        <v>89</v>
      </c>
      <c r="O1406">
        <v>5.15</v>
      </c>
      <c r="P1406">
        <v>12.5</v>
      </c>
      <c r="Q1406">
        <v>10</v>
      </c>
      <c r="R1406">
        <v>3.38</v>
      </c>
      <c r="S1406">
        <v>1</v>
      </c>
      <c r="T1406" t="b">
        <v>0</v>
      </c>
    </row>
    <row r="1407" spans="1:20">
      <c r="A1407" t="s">
        <v>115</v>
      </c>
      <c r="B1407">
        <v>87</v>
      </c>
      <c r="C1407">
        <v>415</v>
      </c>
      <c r="D1407" t="s">
        <v>63</v>
      </c>
      <c r="E1407" t="s">
        <v>63</v>
      </c>
      <c r="F1407">
        <v>40</v>
      </c>
      <c r="G1407">
        <v>221.6</v>
      </c>
      <c r="H1407">
        <v>79</v>
      </c>
      <c r="I1407">
        <v>37.67</v>
      </c>
      <c r="J1407">
        <v>157.1</v>
      </c>
      <c r="K1407">
        <v>74</v>
      </c>
      <c r="L1407">
        <v>13.35</v>
      </c>
      <c r="M1407">
        <v>222.4</v>
      </c>
      <c r="N1407">
        <v>124</v>
      </c>
      <c r="O1407">
        <v>10.01</v>
      </c>
      <c r="P1407">
        <v>11.5</v>
      </c>
      <c r="Q1407">
        <v>3</v>
      </c>
      <c r="R1407">
        <v>3.11</v>
      </c>
      <c r="S1407">
        <v>1</v>
      </c>
      <c r="T1407" t="b">
        <v>0</v>
      </c>
    </row>
    <row r="1408" spans="1:20">
      <c r="A1408" t="s">
        <v>106</v>
      </c>
      <c r="B1408">
        <v>21</v>
      </c>
      <c r="C1408">
        <v>415</v>
      </c>
      <c r="D1408" t="s">
        <v>62</v>
      </c>
      <c r="E1408" t="s">
        <v>62</v>
      </c>
      <c r="F1408">
        <v>0</v>
      </c>
      <c r="G1408">
        <v>244.7</v>
      </c>
      <c r="H1408">
        <v>81</v>
      </c>
      <c r="I1408">
        <v>41.6</v>
      </c>
      <c r="J1408">
        <v>168</v>
      </c>
      <c r="K1408">
        <v>117</v>
      </c>
      <c r="L1408">
        <v>14.28</v>
      </c>
      <c r="M1408">
        <v>281.5</v>
      </c>
      <c r="N1408">
        <v>87</v>
      </c>
      <c r="O1408">
        <v>12.67</v>
      </c>
      <c r="P1408">
        <v>6.6</v>
      </c>
      <c r="Q1408">
        <v>1</v>
      </c>
      <c r="R1408">
        <v>1.78</v>
      </c>
      <c r="S1408">
        <v>1</v>
      </c>
      <c r="T1408" t="b">
        <v>0</v>
      </c>
    </row>
    <row r="1409" spans="1:20">
      <c r="A1409" t="s">
        <v>93</v>
      </c>
      <c r="B1409">
        <v>142</v>
      </c>
      <c r="C1409">
        <v>408</v>
      </c>
      <c r="D1409" t="s">
        <v>62</v>
      </c>
      <c r="E1409" t="s">
        <v>63</v>
      </c>
      <c r="F1409">
        <v>24</v>
      </c>
      <c r="G1409">
        <v>239.8</v>
      </c>
      <c r="H1409">
        <v>103</v>
      </c>
      <c r="I1409">
        <v>40.77</v>
      </c>
      <c r="J1409">
        <v>285.9</v>
      </c>
      <c r="K1409">
        <v>65</v>
      </c>
      <c r="L1409">
        <v>24.3</v>
      </c>
      <c r="M1409">
        <v>256.7</v>
      </c>
      <c r="N1409">
        <v>106</v>
      </c>
      <c r="O1409">
        <v>11.55</v>
      </c>
      <c r="P1409">
        <v>9.5</v>
      </c>
      <c r="Q1409">
        <v>4</v>
      </c>
      <c r="R1409">
        <v>2.57</v>
      </c>
      <c r="S1409">
        <v>0</v>
      </c>
      <c r="T1409" t="b">
        <v>0</v>
      </c>
    </row>
    <row r="1410" spans="1:20">
      <c r="A1410" t="s">
        <v>94</v>
      </c>
      <c r="B1410">
        <v>149</v>
      </c>
      <c r="C1410">
        <v>415</v>
      </c>
      <c r="D1410" t="s">
        <v>62</v>
      </c>
      <c r="E1410" t="s">
        <v>62</v>
      </c>
      <c r="F1410">
        <v>0</v>
      </c>
      <c r="G1410">
        <v>242.5</v>
      </c>
      <c r="H1410">
        <v>83</v>
      </c>
      <c r="I1410">
        <v>41.23</v>
      </c>
      <c r="J1410">
        <v>245.4</v>
      </c>
      <c r="K1410">
        <v>97</v>
      </c>
      <c r="L1410">
        <v>20.86</v>
      </c>
      <c r="M1410">
        <v>219.6</v>
      </c>
      <c r="N1410">
        <v>80</v>
      </c>
      <c r="O1410">
        <v>9.88</v>
      </c>
      <c r="P1410">
        <v>10</v>
      </c>
      <c r="Q1410">
        <v>3</v>
      </c>
      <c r="R1410">
        <v>2.7</v>
      </c>
      <c r="S1410">
        <v>3</v>
      </c>
      <c r="T1410" t="b">
        <v>1</v>
      </c>
    </row>
    <row r="1411" spans="1:20">
      <c r="A1411" t="s">
        <v>82</v>
      </c>
      <c r="B1411">
        <v>54</v>
      </c>
      <c r="C1411">
        <v>510</v>
      </c>
      <c r="D1411" t="s">
        <v>62</v>
      </c>
      <c r="E1411" t="s">
        <v>63</v>
      </c>
      <c r="F1411">
        <v>39</v>
      </c>
      <c r="G1411">
        <v>117.6</v>
      </c>
      <c r="H1411">
        <v>82</v>
      </c>
      <c r="I1411">
        <v>19.99</v>
      </c>
      <c r="J1411">
        <v>159.2</v>
      </c>
      <c r="K1411">
        <v>60</v>
      </c>
      <c r="L1411">
        <v>13.53</v>
      </c>
      <c r="M1411">
        <v>236.4</v>
      </c>
      <c r="N1411">
        <v>113</v>
      </c>
      <c r="O1411">
        <v>10.64</v>
      </c>
      <c r="P1411">
        <v>11.3</v>
      </c>
      <c r="Q1411">
        <v>10</v>
      </c>
      <c r="R1411">
        <v>3.05</v>
      </c>
      <c r="S1411">
        <v>2</v>
      </c>
      <c r="T1411" t="b">
        <v>0</v>
      </c>
    </row>
    <row r="1412" spans="1:20">
      <c r="A1412" t="s">
        <v>113</v>
      </c>
      <c r="B1412">
        <v>88</v>
      </c>
      <c r="C1412">
        <v>510</v>
      </c>
      <c r="D1412" t="s">
        <v>62</v>
      </c>
      <c r="E1412" t="s">
        <v>62</v>
      </c>
      <c r="F1412">
        <v>0</v>
      </c>
      <c r="G1412">
        <v>218.2</v>
      </c>
      <c r="H1412">
        <v>76</v>
      </c>
      <c r="I1412">
        <v>37.09</v>
      </c>
      <c r="J1412">
        <v>169.3</v>
      </c>
      <c r="K1412">
        <v>60</v>
      </c>
      <c r="L1412">
        <v>14.39</v>
      </c>
      <c r="M1412">
        <v>141.1</v>
      </c>
      <c r="N1412">
        <v>99</v>
      </c>
      <c r="O1412">
        <v>6.35</v>
      </c>
      <c r="P1412">
        <v>8</v>
      </c>
      <c r="Q1412">
        <v>1</v>
      </c>
      <c r="R1412">
        <v>2.16</v>
      </c>
      <c r="S1412">
        <v>1</v>
      </c>
      <c r="T1412" t="b">
        <v>0</v>
      </c>
    </row>
    <row r="1413" spans="1:20">
      <c r="A1413" t="s">
        <v>86</v>
      </c>
      <c r="B1413">
        <v>85</v>
      </c>
      <c r="C1413">
        <v>415</v>
      </c>
      <c r="D1413" t="s">
        <v>62</v>
      </c>
      <c r="E1413" t="s">
        <v>63</v>
      </c>
      <c r="F1413">
        <v>29</v>
      </c>
      <c r="G1413">
        <v>144.6</v>
      </c>
      <c r="H1413">
        <v>97</v>
      </c>
      <c r="I1413">
        <v>24.58</v>
      </c>
      <c r="J1413">
        <v>140</v>
      </c>
      <c r="K1413">
        <v>102</v>
      </c>
      <c r="L1413">
        <v>11.9</v>
      </c>
      <c r="M1413">
        <v>165.4</v>
      </c>
      <c r="N1413">
        <v>148</v>
      </c>
      <c r="O1413">
        <v>7.44</v>
      </c>
      <c r="P1413">
        <v>10.9</v>
      </c>
      <c r="Q1413">
        <v>3</v>
      </c>
      <c r="R1413">
        <v>2.94</v>
      </c>
      <c r="S1413">
        <v>1</v>
      </c>
      <c r="T1413" t="b">
        <v>0</v>
      </c>
    </row>
    <row r="1414" spans="1:20">
      <c r="A1414" t="s">
        <v>95</v>
      </c>
      <c r="B1414">
        <v>51</v>
      </c>
      <c r="C1414">
        <v>415</v>
      </c>
      <c r="D1414" t="s">
        <v>63</v>
      </c>
      <c r="E1414" t="s">
        <v>62</v>
      </c>
      <c r="F1414">
        <v>0</v>
      </c>
      <c r="G1414">
        <v>153.6</v>
      </c>
      <c r="H1414">
        <v>108</v>
      </c>
      <c r="I1414">
        <v>26.11</v>
      </c>
      <c r="J1414">
        <v>232.9</v>
      </c>
      <c r="K1414">
        <v>85</v>
      </c>
      <c r="L1414">
        <v>19.8</v>
      </c>
      <c r="M1414">
        <v>214.2</v>
      </c>
      <c r="N1414">
        <v>92</v>
      </c>
      <c r="O1414">
        <v>9.64</v>
      </c>
      <c r="P1414">
        <v>14.1</v>
      </c>
      <c r="Q1414">
        <v>4</v>
      </c>
      <c r="R1414">
        <v>3.81</v>
      </c>
      <c r="S1414">
        <v>0</v>
      </c>
      <c r="T1414" t="b">
        <v>1</v>
      </c>
    </row>
    <row r="1415" spans="1:20">
      <c r="A1415" t="s">
        <v>69</v>
      </c>
      <c r="B1415">
        <v>45</v>
      </c>
      <c r="C1415">
        <v>510</v>
      </c>
      <c r="D1415" t="s">
        <v>62</v>
      </c>
      <c r="E1415" t="s">
        <v>63</v>
      </c>
      <c r="F1415">
        <v>29</v>
      </c>
      <c r="G1415">
        <v>135.8</v>
      </c>
      <c r="H1415">
        <v>104</v>
      </c>
      <c r="I1415">
        <v>23.09</v>
      </c>
      <c r="J1415">
        <v>222.5</v>
      </c>
      <c r="K1415">
        <v>101</v>
      </c>
      <c r="L1415">
        <v>18.91</v>
      </c>
      <c r="M1415">
        <v>235.6</v>
      </c>
      <c r="N1415">
        <v>92</v>
      </c>
      <c r="O1415">
        <v>10.6</v>
      </c>
      <c r="P1415">
        <v>7.9</v>
      </c>
      <c r="Q1415">
        <v>6</v>
      </c>
      <c r="R1415">
        <v>2.13</v>
      </c>
      <c r="S1415">
        <v>2</v>
      </c>
      <c r="T1415" t="b">
        <v>0</v>
      </c>
    </row>
    <row r="1416" spans="1:20">
      <c r="A1416" t="s">
        <v>64</v>
      </c>
      <c r="B1416">
        <v>146</v>
      </c>
      <c r="C1416">
        <v>408</v>
      </c>
      <c r="D1416" t="s">
        <v>62</v>
      </c>
      <c r="E1416" t="s">
        <v>63</v>
      </c>
      <c r="F1416">
        <v>31</v>
      </c>
      <c r="G1416">
        <v>202.5</v>
      </c>
      <c r="H1416">
        <v>91</v>
      </c>
      <c r="I1416">
        <v>34.43</v>
      </c>
      <c r="J1416">
        <v>241.4</v>
      </c>
      <c r="K1416">
        <v>108</v>
      </c>
      <c r="L1416">
        <v>20.52</v>
      </c>
      <c r="M1416">
        <v>169.6</v>
      </c>
      <c r="N1416">
        <v>77</v>
      </c>
      <c r="O1416">
        <v>7.63</v>
      </c>
      <c r="P1416">
        <v>7.8</v>
      </c>
      <c r="Q1416">
        <v>2</v>
      </c>
      <c r="R1416">
        <v>2.11</v>
      </c>
      <c r="S1416">
        <v>1</v>
      </c>
      <c r="T1416" t="b">
        <v>0</v>
      </c>
    </row>
    <row r="1417" spans="1:20">
      <c r="A1417" t="s">
        <v>93</v>
      </c>
      <c r="B1417">
        <v>63</v>
      </c>
      <c r="C1417">
        <v>510</v>
      </c>
      <c r="D1417" t="s">
        <v>62</v>
      </c>
      <c r="E1417" t="s">
        <v>63</v>
      </c>
      <c r="F1417">
        <v>34</v>
      </c>
      <c r="G1417">
        <v>152.2</v>
      </c>
      <c r="H1417">
        <v>119</v>
      </c>
      <c r="I1417">
        <v>25.87</v>
      </c>
      <c r="J1417">
        <v>227.1</v>
      </c>
      <c r="K1417">
        <v>91</v>
      </c>
      <c r="L1417">
        <v>19.3</v>
      </c>
      <c r="M1417">
        <v>195.7</v>
      </c>
      <c r="N1417">
        <v>103</v>
      </c>
      <c r="O1417">
        <v>8.81</v>
      </c>
      <c r="P1417">
        <v>12.3</v>
      </c>
      <c r="Q1417">
        <v>5</v>
      </c>
      <c r="R1417">
        <v>3.32</v>
      </c>
      <c r="S1417">
        <v>1</v>
      </c>
      <c r="T1417" t="b">
        <v>0</v>
      </c>
    </row>
    <row r="1418" spans="1:20">
      <c r="A1418" t="s">
        <v>64</v>
      </c>
      <c r="B1418">
        <v>72</v>
      </c>
      <c r="C1418">
        <v>510</v>
      </c>
      <c r="D1418" t="s">
        <v>62</v>
      </c>
      <c r="E1418" t="s">
        <v>62</v>
      </c>
      <c r="F1418">
        <v>0</v>
      </c>
      <c r="G1418">
        <v>138.9</v>
      </c>
      <c r="H1418">
        <v>111</v>
      </c>
      <c r="I1418">
        <v>23.61</v>
      </c>
      <c r="J1418">
        <v>211.6</v>
      </c>
      <c r="K1418">
        <v>102</v>
      </c>
      <c r="L1418">
        <v>17.99</v>
      </c>
      <c r="M1418">
        <v>179.5</v>
      </c>
      <c r="N1418">
        <v>91</v>
      </c>
      <c r="O1418">
        <v>8.08</v>
      </c>
      <c r="P1418">
        <v>10.8</v>
      </c>
      <c r="Q1418">
        <v>3</v>
      </c>
      <c r="R1418">
        <v>2.92</v>
      </c>
      <c r="S1418">
        <v>1</v>
      </c>
      <c r="T1418" t="b">
        <v>0</v>
      </c>
    </row>
    <row r="1419" spans="1:20">
      <c r="A1419" t="s">
        <v>112</v>
      </c>
      <c r="B1419">
        <v>130</v>
      </c>
      <c r="C1419">
        <v>408</v>
      </c>
      <c r="D1419" t="s">
        <v>62</v>
      </c>
      <c r="E1419" t="s">
        <v>62</v>
      </c>
      <c r="F1419">
        <v>0</v>
      </c>
      <c r="G1419">
        <v>127</v>
      </c>
      <c r="H1419">
        <v>102</v>
      </c>
      <c r="I1419">
        <v>21.59</v>
      </c>
      <c r="J1419">
        <v>206.9</v>
      </c>
      <c r="K1419">
        <v>107</v>
      </c>
      <c r="L1419">
        <v>17.59</v>
      </c>
      <c r="M1419">
        <v>231.7</v>
      </c>
      <c r="N1419">
        <v>99</v>
      </c>
      <c r="O1419">
        <v>10.43</v>
      </c>
      <c r="P1419">
        <v>6.1</v>
      </c>
      <c r="Q1419">
        <v>6</v>
      </c>
      <c r="R1419">
        <v>1.65</v>
      </c>
      <c r="S1419">
        <v>0</v>
      </c>
      <c r="T1419" t="b">
        <v>0</v>
      </c>
    </row>
    <row r="1420" spans="1:20">
      <c r="A1420" t="s">
        <v>99</v>
      </c>
      <c r="B1420">
        <v>97</v>
      </c>
      <c r="C1420">
        <v>415</v>
      </c>
      <c r="D1420" t="s">
        <v>62</v>
      </c>
      <c r="E1420" t="s">
        <v>62</v>
      </c>
      <c r="F1420">
        <v>0</v>
      </c>
      <c r="G1420">
        <v>168.6</v>
      </c>
      <c r="H1420">
        <v>87</v>
      </c>
      <c r="I1420">
        <v>28.66</v>
      </c>
      <c r="J1420">
        <v>259.2</v>
      </c>
      <c r="K1420">
        <v>105</v>
      </c>
      <c r="L1420">
        <v>22.03</v>
      </c>
      <c r="M1420">
        <v>279.8</v>
      </c>
      <c r="N1420">
        <v>123</v>
      </c>
      <c r="O1420">
        <v>12.59</v>
      </c>
      <c r="P1420">
        <v>7.3</v>
      </c>
      <c r="Q1420">
        <v>4</v>
      </c>
      <c r="R1420">
        <v>1.97</v>
      </c>
      <c r="S1420">
        <v>1</v>
      </c>
      <c r="T1420" t="b">
        <v>0</v>
      </c>
    </row>
    <row r="1421" spans="1:20">
      <c r="A1421" t="s">
        <v>106</v>
      </c>
      <c r="B1421">
        <v>54</v>
      </c>
      <c r="C1421">
        <v>415</v>
      </c>
      <c r="D1421" t="s">
        <v>62</v>
      </c>
      <c r="E1421" t="s">
        <v>62</v>
      </c>
      <c r="F1421">
        <v>0</v>
      </c>
      <c r="G1421">
        <v>286.6</v>
      </c>
      <c r="H1421">
        <v>73</v>
      </c>
      <c r="I1421">
        <v>48.72</v>
      </c>
      <c r="J1421">
        <v>223.2</v>
      </c>
      <c r="K1421">
        <v>108</v>
      </c>
      <c r="L1421">
        <v>18.97</v>
      </c>
      <c r="M1421">
        <v>203.7</v>
      </c>
      <c r="N1421">
        <v>107</v>
      </c>
      <c r="O1421">
        <v>9.17</v>
      </c>
      <c r="P1421">
        <v>11.5</v>
      </c>
      <c r="Q1421">
        <v>5</v>
      </c>
      <c r="R1421">
        <v>3.11</v>
      </c>
      <c r="S1421">
        <v>1</v>
      </c>
      <c r="T1421" t="b">
        <v>1</v>
      </c>
    </row>
    <row r="1422" spans="1:20">
      <c r="A1422" t="s">
        <v>89</v>
      </c>
      <c r="B1422">
        <v>160</v>
      </c>
      <c r="C1422">
        <v>415</v>
      </c>
      <c r="D1422" t="s">
        <v>62</v>
      </c>
      <c r="E1422" t="s">
        <v>63</v>
      </c>
      <c r="F1422">
        <v>29</v>
      </c>
      <c r="G1422">
        <v>164.6</v>
      </c>
      <c r="H1422">
        <v>121</v>
      </c>
      <c r="I1422">
        <v>27.98</v>
      </c>
      <c r="J1422">
        <v>262.8</v>
      </c>
      <c r="K1422">
        <v>108</v>
      </c>
      <c r="L1422">
        <v>22.34</v>
      </c>
      <c r="M1422">
        <v>123.8</v>
      </c>
      <c r="N1422">
        <v>131</v>
      </c>
      <c r="O1422">
        <v>5.57</v>
      </c>
      <c r="P1422">
        <v>15.2</v>
      </c>
      <c r="Q1422">
        <v>4</v>
      </c>
      <c r="R1422">
        <v>4.1</v>
      </c>
      <c r="S1422">
        <v>1</v>
      </c>
      <c r="T1422" t="b">
        <v>0</v>
      </c>
    </row>
    <row r="1423" spans="1:20">
      <c r="A1423" t="s">
        <v>80</v>
      </c>
      <c r="B1423">
        <v>79</v>
      </c>
      <c r="C1423">
        <v>415</v>
      </c>
      <c r="D1423" t="s">
        <v>62</v>
      </c>
      <c r="E1423" t="s">
        <v>62</v>
      </c>
      <c r="F1423">
        <v>0</v>
      </c>
      <c r="G1423">
        <v>144</v>
      </c>
      <c r="H1423">
        <v>90</v>
      </c>
      <c r="I1423">
        <v>24.48</v>
      </c>
      <c r="J1423">
        <v>135.8</v>
      </c>
      <c r="K1423">
        <v>91</v>
      </c>
      <c r="L1423">
        <v>11.54</v>
      </c>
      <c r="M1423">
        <v>212.4</v>
      </c>
      <c r="N1423">
        <v>129</v>
      </c>
      <c r="O1423">
        <v>9.56</v>
      </c>
      <c r="P1423">
        <v>13</v>
      </c>
      <c r="Q1423">
        <v>4</v>
      </c>
      <c r="R1423">
        <v>3.51</v>
      </c>
      <c r="S1423">
        <v>1</v>
      </c>
      <c r="T1423" t="b">
        <v>0</v>
      </c>
    </row>
    <row r="1424" spans="1:20">
      <c r="A1424" t="s">
        <v>71</v>
      </c>
      <c r="B1424">
        <v>92</v>
      </c>
      <c r="C1424">
        <v>415</v>
      </c>
      <c r="D1424" t="s">
        <v>62</v>
      </c>
      <c r="E1424" t="s">
        <v>63</v>
      </c>
      <c r="F1424">
        <v>47</v>
      </c>
      <c r="G1424">
        <v>141.6</v>
      </c>
      <c r="H1424">
        <v>95</v>
      </c>
      <c r="I1424">
        <v>24.07</v>
      </c>
      <c r="J1424">
        <v>207.9</v>
      </c>
      <c r="K1424">
        <v>130</v>
      </c>
      <c r="L1424">
        <v>17.67</v>
      </c>
      <c r="M1424">
        <v>203.6</v>
      </c>
      <c r="N1424">
        <v>95</v>
      </c>
      <c r="O1424">
        <v>9.16</v>
      </c>
      <c r="P1424">
        <v>10.2</v>
      </c>
      <c r="Q1424">
        <v>11</v>
      </c>
      <c r="R1424">
        <v>2.75</v>
      </c>
      <c r="S1424">
        <v>0</v>
      </c>
      <c r="T1424" t="b">
        <v>0</v>
      </c>
    </row>
    <row r="1425" spans="1:20">
      <c r="A1425" t="s">
        <v>110</v>
      </c>
      <c r="B1425">
        <v>59</v>
      </c>
      <c r="C1425">
        <v>415</v>
      </c>
      <c r="D1425" t="s">
        <v>62</v>
      </c>
      <c r="E1425" t="s">
        <v>62</v>
      </c>
      <c r="F1425">
        <v>0</v>
      </c>
      <c r="G1425">
        <v>204.3</v>
      </c>
      <c r="H1425">
        <v>65</v>
      </c>
      <c r="I1425">
        <v>34.73</v>
      </c>
      <c r="J1425">
        <v>247.3</v>
      </c>
      <c r="K1425">
        <v>123</v>
      </c>
      <c r="L1425">
        <v>21.02</v>
      </c>
      <c r="M1425">
        <v>214.7</v>
      </c>
      <c r="N1425">
        <v>94</v>
      </c>
      <c r="O1425">
        <v>9.66</v>
      </c>
      <c r="P1425">
        <v>12</v>
      </c>
      <c r="Q1425">
        <v>4</v>
      </c>
      <c r="R1425">
        <v>3.24</v>
      </c>
      <c r="S1425">
        <v>1</v>
      </c>
      <c r="T1425" t="b">
        <v>0</v>
      </c>
    </row>
    <row r="1426" spans="1:20">
      <c r="A1426" t="s">
        <v>115</v>
      </c>
      <c r="B1426">
        <v>132</v>
      </c>
      <c r="C1426">
        <v>510</v>
      </c>
      <c r="D1426" t="s">
        <v>62</v>
      </c>
      <c r="E1426" t="s">
        <v>62</v>
      </c>
      <c r="F1426">
        <v>0</v>
      </c>
      <c r="G1426">
        <v>163.2</v>
      </c>
      <c r="H1426">
        <v>80</v>
      </c>
      <c r="I1426">
        <v>27.74</v>
      </c>
      <c r="J1426">
        <v>167.6</v>
      </c>
      <c r="K1426">
        <v>90</v>
      </c>
      <c r="L1426">
        <v>14.25</v>
      </c>
      <c r="M1426">
        <v>87.5</v>
      </c>
      <c r="N1426">
        <v>90</v>
      </c>
      <c r="O1426">
        <v>3.94</v>
      </c>
      <c r="P1426">
        <v>6.2</v>
      </c>
      <c r="Q1426">
        <v>10</v>
      </c>
      <c r="R1426">
        <v>1.67</v>
      </c>
      <c r="S1426">
        <v>1</v>
      </c>
      <c r="T1426" t="b">
        <v>0</v>
      </c>
    </row>
    <row r="1427" spans="1:20">
      <c r="A1427" t="s">
        <v>99</v>
      </c>
      <c r="B1427">
        <v>93</v>
      </c>
      <c r="C1427">
        <v>415</v>
      </c>
      <c r="D1427" t="s">
        <v>62</v>
      </c>
      <c r="E1427" t="s">
        <v>62</v>
      </c>
      <c r="F1427">
        <v>0</v>
      </c>
      <c r="G1427">
        <v>176.1</v>
      </c>
      <c r="H1427">
        <v>103</v>
      </c>
      <c r="I1427">
        <v>29.94</v>
      </c>
      <c r="J1427">
        <v>199.7</v>
      </c>
      <c r="K1427">
        <v>130</v>
      </c>
      <c r="L1427">
        <v>16.97</v>
      </c>
      <c r="M1427">
        <v>263.9</v>
      </c>
      <c r="N1427">
        <v>96</v>
      </c>
      <c r="O1427">
        <v>11.88</v>
      </c>
      <c r="P1427">
        <v>8.5</v>
      </c>
      <c r="Q1427">
        <v>6</v>
      </c>
      <c r="R1427">
        <v>2.3</v>
      </c>
      <c r="S1427">
        <v>2</v>
      </c>
      <c r="T1427" t="b">
        <v>0</v>
      </c>
    </row>
    <row r="1428" spans="1:20">
      <c r="A1428" t="s">
        <v>65</v>
      </c>
      <c r="B1428">
        <v>147</v>
      </c>
      <c r="C1428">
        <v>415</v>
      </c>
      <c r="D1428" t="s">
        <v>62</v>
      </c>
      <c r="E1428" t="s">
        <v>63</v>
      </c>
      <c r="F1428">
        <v>36</v>
      </c>
      <c r="G1428">
        <v>254.2</v>
      </c>
      <c r="H1428">
        <v>78</v>
      </c>
      <c r="I1428">
        <v>43.21</v>
      </c>
      <c r="J1428">
        <v>228.1</v>
      </c>
      <c r="K1428">
        <v>105</v>
      </c>
      <c r="L1428">
        <v>19.39</v>
      </c>
      <c r="M1428">
        <v>98</v>
      </c>
      <c r="N1428">
        <v>125</v>
      </c>
      <c r="O1428">
        <v>4.41</v>
      </c>
      <c r="P1428">
        <v>13.8</v>
      </c>
      <c r="Q1428">
        <v>7</v>
      </c>
      <c r="R1428">
        <v>3.73</v>
      </c>
      <c r="S1428">
        <v>5</v>
      </c>
      <c r="T1428" t="b">
        <v>0</v>
      </c>
    </row>
    <row r="1429" spans="1:20">
      <c r="A1429" t="s">
        <v>90</v>
      </c>
      <c r="B1429">
        <v>101</v>
      </c>
      <c r="C1429">
        <v>510</v>
      </c>
      <c r="D1429" t="s">
        <v>62</v>
      </c>
      <c r="E1429" t="s">
        <v>62</v>
      </c>
      <c r="F1429">
        <v>0</v>
      </c>
      <c r="G1429">
        <v>174.9</v>
      </c>
      <c r="H1429">
        <v>105</v>
      </c>
      <c r="I1429">
        <v>29.73</v>
      </c>
      <c r="J1429">
        <v>262</v>
      </c>
      <c r="K1429">
        <v>75</v>
      </c>
      <c r="L1429">
        <v>22.27</v>
      </c>
      <c r="M1429">
        <v>210</v>
      </c>
      <c r="N1429">
        <v>93</v>
      </c>
      <c r="O1429">
        <v>9.45</v>
      </c>
      <c r="P1429">
        <v>8.5</v>
      </c>
      <c r="Q1429">
        <v>5</v>
      </c>
      <c r="R1429">
        <v>2.3</v>
      </c>
      <c r="S1429">
        <v>1</v>
      </c>
      <c r="T1429" t="b">
        <v>0</v>
      </c>
    </row>
    <row r="1430" spans="1:20">
      <c r="A1430" t="s">
        <v>116</v>
      </c>
      <c r="B1430">
        <v>125</v>
      </c>
      <c r="C1430">
        <v>415</v>
      </c>
      <c r="D1430" t="s">
        <v>63</v>
      </c>
      <c r="E1430" t="s">
        <v>62</v>
      </c>
      <c r="F1430">
        <v>0</v>
      </c>
      <c r="G1430">
        <v>187.3</v>
      </c>
      <c r="H1430">
        <v>118</v>
      </c>
      <c r="I1430">
        <v>31.84</v>
      </c>
      <c r="J1430">
        <v>160.7</v>
      </c>
      <c r="K1430">
        <v>111</v>
      </c>
      <c r="L1430">
        <v>13.66</v>
      </c>
      <c r="M1430">
        <v>263.8</v>
      </c>
      <c r="N1430">
        <v>112</v>
      </c>
      <c r="O1430">
        <v>11.87</v>
      </c>
      <c r="P1430">
        <v>9.6</v>
      </c>
      <c r="Q1430">
        <v>2</v>
      </c>
      <c r="R1430">
        <v>2.59</v>
      </c>
      <c r="S1430">
        <v>0</v>
      </c>
      <c r="T1430" t="b">
        <v>1</v>
      </c>
    </row>
    <row r="1431" spans="1:20">
      <c r="A1431" t="s">
        <v>82</v>
      </c>
      <c r="B1431">
        <v>63</v>
      </c>
      <c r="C1431">
        <v>415</v>
      </c>
      <c r="D1431" t="s">
        <v>62</v>
      </c>
      <c r="E1431" t="s">
        <v>62</v>
      </c>
      <c r="F1431">
        <v>0</v>
      </c>
      <c r="G1431">
        <v>211.8</v>
      </c>
      <c r="H1431">
        <v>84</v>
      </c>
      <c r="I1431">
        <v>36.01</v>
      </c>
      <c r="J1431">
        <v>230.9</v>
      </c>
      <c r="K1431">
        <v>137</v>
      </c>
      <c r="L1431">
        <v>19.63</v>
      </c>
      <c r="M1431">
        <v>217.1</v>
      </c>
      <c r="N1431">
        <v>99</v>
      </c>
      <c r="O1431">
        <v>9.77</v>
      </c>
      <c r="P1431">
        <v>10.7</v>
      </c>
      <c r="Q1431">
        <v>9</v>
      </c>
      <c r="R1431">
        <v>2.89</v>
      </c>
      <c r="S1431">
        <v>3</v>
      </c>
      <c r="T1431" t="b">
        <v>0</v>
      </c>
    </row>
    <row r="1432" spans="1:20">
      <c r="A1432" t="s">
        <v>91</v>
      </c>
      <c r="B1432">
        <v>107</v>
      </c>
      <c r="C1432">
        <v>415</v>
      </c>
      <c r="D1432" t="s">
        <v>62</v>
      </c>
      <c r="E1432" t="s">
        <v>62</v>
      </c>
      <c r="F1432">
        <v>0</v>
      </c>
      <c r="G1432">
        <v>241.9</v>
      </c>
      <c r="H1432">
        <v>102</v>
      </c>
      <c r="I1432">
        <v>41.12</v>
      </c>
      <c r="J1432">
        <v>126.9</v>
      </c>
      <c r="K1432">
        <v>117</v>
      </c>
      <c r="L1432">
        <v>10.79</v>
      </c>
      <c r="M1432">
        <v>185.6</v>
      </c>
      <c r="N1432">
        <v>92</v>
      </c>
      <c r="O1432">
        <v>8.35</v>
      </c>
      <c r="P1432">
        <v>11.7</v>
      </c>
      <c r="Q1432">
        <v>6</v>
      </c>
      <c r="R1432">
        <v>3.16</v>
      </c>
      <c r="S1432">
        <v>0</v>
      </c>
      <c r="T1432" t="b">
        <v>0</v>
      </c>
    </row>
    <row r="1433" spans="1:20">
      <c r="A1433" t="s">
        <v>102</v>
      </c>
      <c r="B1433">
        <v>117</v>
      </c>
      <c r="C1433">
        <v>408</v>
      </c>
      <c r="D1433" t="s">
        <v>62</v>
      </c>
      <c r="E1433" t="s">
        <v>62</v>
      </c>
      <c r="F1433">
        <v>0</v>
      </c>
      <c r="G1433">
        <v>161.6</v>
      </c>
      <c r="H1433">
        <v>104</v>
      </c>
      <c r="I1433">
        <v>27.47</v>
      </c>
      <c r="J1433">
        <v>196.3</v>
      </c>
      <c r="K1433">
        <v>119</v>
      </c>
      <c r="L1433">
        <v>16.69</v>
      </c>
      <c r="M1433">
        <v>294.8</v>
      </c>
      <c r="N1433">
        <v>111</v>
      </c>
      <c r="O1433">
        <v>13.27</v>
      </c>
      <c r="P1433">
        <v>13.8</v>
      </c>
      <c r="Q1433">
        <v>2</v>
      </c>
      <c r="R1433">
        <v>3.73</v>
      </c>
      <c r="S1433">
        <v>1</v>
      </c>
      <c r="T1433" t="b">
        <v>0</v>
      </c>
    </row>
    <row r="1434" spans="1:20">
      <c r="A1434" t="s">
        <v>107</v>
      </c>
      <c r="B1434">
        <v>124</v>
      </c>
      <c r="C1434">
        <v>415</v>
      </c>
      <c r="D1434" t="s">
        <v>62</v>
      </c>
      <c r="E1434" t="s">
        <v>62</v>
      </c>
      <c r="F1434">
        <v>0</v>
      </c>
      <c r="G1434">
        <v>194</v>
      </c>
      <c r="H1434">
        <v>103</v>
      </c>
      <c r="I1434">
        <v>32.98</v>
      </c>
      <c r="J1434">
        <v>241</v>
      </c>
      <c r="K1434">
        <v>116</v>
      </c>
      <c r="L1434">
        <v>20.49</v>
      </c>
      <c r="M1434">
        <v>227.5</v>
      </c>
      <c r="N1434">
        <v>153</v>
      </c>
      <c r="O1434">
        <v>10.24</v>
      </c>
      <c r="P1434">
        <v>11.9</v>
      </c>
      <c r="Q1434">
        <v>5</v>
      </c>
      <c r="R1434">
        <v>3.21</v>
      </c>
      <c r="S1434">
        <v>0</v>
      </c>
      <c r="T1434" t="b">
        <v>0</v>
      </c>
    </row>
    <row r="1435" spans="1:20">
      <c r="A1435" t="s">
        <v>87</v>
      </c>
      <c r="B1435">
        <v>115</v>
      </c>
      <c r="C1435">
        <v>510</v>
      </c>
      <c r="D1435" t="s">
        <v>62</v>
      </c>
      <c r="E1435" t="s">
        <v>62</v>
      </c>
      <c r="F1435">
        <v>0</v>
      </c>
      <c r="G1435">
        <v>109.7</v>
      </c>
      <c r="H1435">
        <v>148</v>
      </c>
      <c r="I1435">
        <v>18.65</v>
      </c>
      <c r="J1435">
        <v>223.8</v>
      </c>
      <c r="K1435">
        <v>87</v>
      </c>
      <c r="L1435">
        <v>19.02</v>
      </c>
      <c r="M1435">
        <v>240.3</v>
      </c>
      <c r="N1435">
        <v>96</v>
      </c>
      <c r="O1435">
        <v>10.81</v>
      </c>
      <c r="P1435">
        <v>15.4</v>
      </c>
      <c r="Q1435">
        <v>8</v>
      </c>
      <c r="R1435">
        <v>4.16</v>
      </c>
      <c r="S1435">
        <v>3</v>
      </c>
      <c r="T1435" t="b">
        <v>0</v>
      </c>
    </row>
    <row r="1436" spans="1:20">
      <c r="A1436" t="s">
        <v>82</v>
      </c>
      <c r="B1436">
        <v>156</v>
      </c>
      <c r="C1436">
        <v>408</v>
      </c>
      <c r="D1436" t="s">
        <v>63</v>
      </c>
      <c r="E1436" t="s">
        <v>62</v>
      </c>
      <c r="F1436">
        <v>0</v>
      </c>
      <c r="G1436">
        <v>277</v>
      </c>
      <c r="H1436">
        <v>119</v>
      </c>
      <c r="I1436">
        <v>47.09</v>
      </c>
      <c r="J1436">
        <v>238.3</v>
      </c>
      <c r="K1436">
        <v>106</v>
      </c>
      <c r="L1436">
        <v>20.26</v>
      </c>
      <c r="M1436">
        <v>94.4</v>
      </c>
      <c r="N1436">
        <v>96</v>
      </c>
      <c r="O1436">
        <v>4.25</v>
      </c>
      <c r="P1436">
        <v>8.3</v>
      </c>
      <c r="Q1436">
        <v>3</v>
      </c>
      <c r="R1436">
        <v>2.24</v>
      </c>
      <c r="S1436">
        <v>1</v>
      </c>
      <c r="T1436" t="b">
        <v>0</v>
      </c>
    </row>
    <row r="1437" spans="1:20">
      <c r="A1437" t="s">
        <v>107</v>
      </c>
      <c r="B1437">
        <v>89</v>
      </c>
      <c r="C1437">
        <v>408</v>
      </c>
      <c r="D1437" t="s">
        <v>62</v>
      </c>
      <c r="E1437" t="s">
        <v>62</v>
      </c>
      <c r="F1437">
        <v>0</v>
      </c>
      <c r="G1437">
        <v>192.1</v>
      </c>
      <c r="H1437">
        <v>83</v>
      </c>
      <c r="I1437">
        <v>32.66</v>
      </c>
      <c r="J1437">
        <v>163.6</v>
      </c>
      <c r="K1437">
        <v>88</v>
      </c>
      <c r="L1437">
        <v>13.91</v>
      </c>
      <c r="M1437">
        <v>169.7</v>
      </c>
      <c r="N1437">
        <v>138</v>
      </c>
      <c r="O1437">
        <v>7.64</v>
      </c>
      <c r="P1437">
        <v>6.1</v>
      </c>
      <c r="Q1437">
        <v>3</v>
      </c>
      <c r="R1437">
        <v>1.65</v>
      </c>
      <c r="S1437">
        <v>0</v>
      </c>
      <c r="T1437" t="b">
        <v>0</v>
      </c>
    </row>
    <row r="1438" spans="1:20">
      <c r="A1438" t="s">
        <v>107</v>
      </c>
      <c r="B1438">
        <v>72</v>
      </c>
      <c r="C1438">
        <v>415</v>
      </c>
      <c r="D1438" t="s">
        <v>62</v>
      </c>
      <c r="E1438" t="s">
        <v>62</v>
      </c>
      <c r="F1438">
        <v>0</v>
      </c>
      <c r="G1438">
        <v>198.4</v>
      </c>
      <c r="H1438">
        <v>147</v>
      </c>
      <c r="I1438">
        <v>33.73</v>
      </c>
      <c r="J1438">
        <v>216.9</v>
      </c>
      <c r="K1438">
        <v>121</v>
      </c>
      <c r="L1438">
        <v>18.44</v>
      </c>
      <c r="M1438">
        <v>112.8</v>
      </c>
      <c r="N1438">
        <v>125</v>
      </c>
      <c r="O1438">
        <v>5.08</v>
      </c>
      <c r="P1438">
        <v>13.1</v>
      </c>
      <c r="Q1438">
        <v>4</v>
      </c>
      <c r="R1438">
        <v>3.54</v>
      </c>
      <c r="S1438">
        <v>0</v>
      </c>
      <c r="T1438" t="b">
        <v>0</v>
      </c>
    </row>
    <row r="1439" spans="1:20">
      <c r="A1439" t="s">
        <v>94</v>
      </c>
      <c r="B1439">
        <v>53</v>
      </c>
      <c r="C1439">
        <v>415</v>
      </c>
      <c r="D1439" t="s">
        <v>62</v>
      </c>
      <c r="E1439" t="s">
        <v>62</v>
      </c>
      <c r="F1439">
        <v>0</v>
      </c>
      <c r="G1439">
        <v>184.8</v>
      </c>
      <c r="H1439">
        <v>98</v>
      </c>
      <c r="I1439">
        <v>31.42</v>
      </c>
      <c r="J1439">
        <v>216.4</v>
      </c>
      <c r="K1439">
        <v>125</v>
      </c>
      <c r="L1439">
        <v>18.39</v>
      </c>
      <c r="M1439">
        <v>141.1</v>
      </c>
      <c r="N1439">
        <v>116</v>
      </c>
      <c r="O1439">
        <v>6.35</v>
      </c>
      <c r="P1439">
        <v>18.4</v>
      </c>
      <c r="Q1439">
        <v>3</v>
      </c>
      <c r="R1439">
        <v>4.97</v>
      </c>
      <c r="S1439">
        <v>2</v>
      </c>
      <c r="T1439" t="b">
        <v>0</v>
      </c>
    </row>
    <row r="1440" spans="1:20">
      <c r="A1440" t="s">
        <v>99</v>
      </c>
      <c r="B1440">
        <v>116</v>
      </c>
      <c r="C1440">
        <v>408</v>
      </c>
      <c r="D1440" t="s">
        <v>62</v>
      </c>
      <c r="E1440" t="s">
        <v>62</v>
      </c>
      <c r="F1440">
        <v>0</v>
      </c>
      <c r="G1440">
        <v>167.8</v>
      </c>
      <c r="H1440">
        <v>119</v>
      </c>
      <c r="I1440">
        <v>28.53</v>
      </c>
      <c r="J1440">
        <v>142</v>
      </c>
      <c r="K1440">
        <v>123</v>
      </c>
      <c r="L1440">
        <v>12.07</v>
      </c>
      <c r="M1440">
        <v>190.7</v>
      </c>
      <c r="N1440">
        <v>128</v>
      </c>
      <c r="O1440">
        <v>8.58</v>
      </c>
      <c r="P1440">
        <v>7.3</v>
      </c>
      <c r="Q1440">
        <v>4</v>
      </c>
      <c r="R1440">
        <v>1.97</v>
      </c>
      <c r="S1440">
        <v>2</v>
      </c>
      <c r="T1440" t="b">
        <v>0</v>
      </c>
    </row>
    <row r="1441" spans="1:20">
      <c r="A1441" t="s">
        <v>95</v>
      </c>
      <c r="B1441">
        <v>78</v>
      </c>
      <c r="C1441">
        <v>408</v>
      </c>
      <c r="D1441" t="s">
        <v>62</v>
      </c>
      <c r="E1441" t="s">
        <v>62</v>
      </c>
      <c r="F1441">
        <v>0</v>
      </c>
      <c r="G1441">
        <v>139.2</v>
      </c>
      <c r="H1441">
        <v>140</v>
      </c>
      <c r="I1441">
        <v>23.66</v>
      </c>
      <c r="J1441">
        <v>191.4</v>
      </c>
      <c r="K1441">
        <v>113</v>
      </c>
      <c r="L1441">
        <v>16.27</v>
      </c>
      <c r="M1441">
        <v>286.5</v>
      </c>
      <c r="N1441">
        <v>125</v>
      </c>
      <c r="O1441">
        <v>12.89</v>
      </c>
      <c r="P1441">
        <v>11.8</v>
      </c>
      <c r="Q1441">
        <v>3</v>
      </c>
      <c r="R1441">
        <v>3.19</v>
      </c>
      <c r="S1441">
        <v>3</v>
      </c>
      <c r="T1441" t="b">
        <v>0</v>
      </c>
    </row>
    <row r="1442" spans="1:20">
      <c r="A1442" t="s">
        <v>84</v>
      </c>
      <c r="B1442">
        <v>56</v>
      </c>
      <c r="C1442">
        <v>510</v>
      </c>
      <c r="D1442" t="s">
        <v>62</v>
      </c>
      <c r="E1442" t="s">
        <v>62</v>
      </c>
      <c r="F1442">
        <v>0</v>
      </c>
      <c r="G1442">
        <v>121.6</v>
      </c>
      <c r="H1442">
        <v>84</v>
      </c>
      <c r="I1442">
        <v>20.67</v>
      </c>
      <c r="J1442">
        <v>165.3</v>
      </c>
      <c r="K1442">
        <v>115</v>
      </c>
      <c r="L1442">
        <v>14.05</v>
      </c>
      <c r="M1442">
        <v>243.9</v>
      </c>
      <c r="N1442">
        <v>95</v>
      </c>
      <c r="O1442">
        <v>10.98</v>
      </c>
      <c r="P1442">
        <v>8.9</v>
      </c>
      <c r="Q1442">
        <v>2</v>
      </c>
      <c r="R1442">
        <v>2.4</v>
      </c>
      <c r="S1442">
        <v>1</v>
      </c>
      <c r="T1442" t="b">
        <v>0</v>
      </c>
    </row>
    <row r="1443" spans="1:20">
      <c r="A1443" t="s">
        <v>64</v>
      </c>
      <c r="B1443">
        <v>123</v>
      </c>
      <c r="C1443">
        <v>408</v>
      </c>
      <c r="D1443" t="s">
        <v>62</v>
      </c>
      <c r="E1443" t="s">
        <v>63</v>
      </c>
      <c r="F1443">
        <v>39</v>
      </c>
      <c r="G1443">
        <v>270.4</v>
      </c>
      <c r="H1443">
        <v>99</v>
      </c>
      <c r="I1443">
        <v>45.97</v>
      </c>
      <c r="J1443">
        <v>245.1</v>
      </c>
      <c r="K1443">
        <v>110</v>
      </c>
      <c r="L1443">
        <v>20.83</v>
      </c>
      <c r="M1443">
        <v>108.9</v>
      </c>
      <c r="N1443">
        <v>113</v>
      </c>
      <c r="O1443">
        <v>4.9</v>
      </c>
      <c r="P1443">
        <v>15.4</v>
      </c>
      <c r="Q1443">
        <v>7</v>
      </c>
      <c r="R1443">
        <v>4.16</v>
      </c>
      <c r="S1443">
        <v>1</v>
      </c>
      <c r="T1443" t="b">
        <v>0</v>
      </c>
    </row>
    <row r="1444" spans="1:20">
      <c r="A1444" t="s">
        <v>92</v>
      </c>
      <c r="B1444">
        <v>116</v>
      </c>
      <c r="C1444">
        <v>415</v>
      </c>
      <c r="D1444" t="s">
        <v>62</v>
      </c>
      <c r="E1444" t="s">
        <v>63</v>
      </c>
      <c r="F1444">
        <v>23</v>
      </c>
      <c r="G1444">
        <v>253</v>
      </c>
      <c r="H1444">
        <v>78</v>
      </c>
      <c r="I1444">
        <v>43.01</v>
      </c>
      <c r="J1444">
        <v>138.9</v>
      </c>
      <c r="K1444">
        <v>121</v>
      </c>
      <c r="L1444">
        <v>11.81</v>
      </c>
      <c r="M1444">
        <v>277.8</v>
      </c>
      <c r="N1444">
        <v>104</v>
      </c>
      <c r="O1444">
        <v>12.5</v>
      </c>
      <c r="P1444">
        <v>11.8</v>
      </c>
      <c r="Q1444">
        <v>3</v>
      </c>
      <c r="R1444">
        <v>3.19</v>
      </c>
      <c r="S1444">
        <v>2</v>
      </c>
      <c r="T1444" t="b">
        <v>0</v>
      </c>
    </row>
    <row r="1445" spans="1:20">
      <c r="A1445" t="s">
        <v>93</v>
      </c>
      <c r="B1445">
        <v>102</v>
      </c>
      <c r="C1445">
        <v>408</v>
      </c>
      <c r="D1445" t="s">
        <v>62</v>
      </c>
      <c r="E1445" t="s">
        <v>62</v>
      </c>
      <c r="F1445">
        <v>0</v>
      </c>
      <c r="G1445">
        <v>200.6</v>
      </c>
      <c r="H1445">
        <v>106</v>
      </c>
      <c r="I1445">
        <v>34.1</v>
      </c>
      <c r="J1445">
        <v>152.5</v>
      </c>
      <c r="K1445">
        <v>127</v>
      </c>
      <c r="L1445">
        <v>12.96</v>
      </c>
      <c r="M1445">
        <v>199.4</v>
      </c>
      <c r="N1445">
        <v>128</v>
      </c>
      <c r="O1445">
        <v>8.97</v>
      </c>
      <c r="P1445">
        <v>7.7</v>
      </c>
      <c r="Q1445">
        <v>2</v>
      </c>
      <c r="R1445">
        <v>2.08</v>
      </c>
      <c r="S1445">
        <v>3</v>
      </c>
      <c r="T1445" t="b">
        <v>0</v>
      </c>
    </row>
    <row r="1446" spans="1:20">
      <c r="A1446" t="s">
        <v>94</v>
      </c>
      <c r="B1446">
        <v>95</v>
      </c>
      <c r="C1446">
        <v>415</v>
      </c>
      <c r="D1446" t="s">
        <v>62</v>
      </c>
      <c r="E1446" t="s">
        <v>62</v>
      </c>
      <c r="F1446">
        <v>0</v>
      </c>
      <c r="G1446">
        <v>167.6</v>
      </c>
      <c r="H1446">
        <v>96</v>
      </c>
      <c r="I1446">
        <v>28.49</v>
      </c>
      <c r="J1446">
        <v>176</v>
      </c>
      <c r="K1446">
        <v>89</v>
      </c>
      <c r="L1446">
        <v>14.96</v>
      </c>
      <c r="M1446">
        <v>250.9</v>
      </c>
      <c r="N1446">
        <v>113</v>
      </c>
      <c r="O1446">
        <v>11.29</v>
      </c>
      <c r="P1446">
        <v>13.4</v>
      </c>
      <c r="Q1446">
        <v>6</v>
      </c>
      <c r="R1446">
        <v>3.62</v>
      </c>
      <c r="S1446">
        <v>2</v>
      </c>
      <c r="T1446" t="b">
        <v>0</v>
      </c>
    </row>
    <row r="1447" spans="1:20">
      <c r="A1447" t="s">
        <v>79</v>
      </c>
      <c r="B1447">
        <v>102</v>
      </c>
      <c r="C1447">
        <v>408</v>
      </c>
      <c r="D1447" t="s">
        <v>62</v>
      </c>
      <c r="E1447" t="s">
        <v>62</v>
      </c>
      <c r="F1447">
        <v>0</v>
      </c>
      <c r="G1447">
        <v>156.5</v>
      </c>
      <c r="H1447">
        <v>67</v>
      </c>
      <c r="I1447">
        <v>26.61</v>
      </c>
      <c r="J1447">
        <v>204.3</v>
      </c>
      <c r="K1447">
        <v>103</v>
      </c>
      <c r="L1447">
        <v>17.37</v>
      </c>
      <c r="M1447">
        <v>141.9</v>
      </c>
      <c r="N1447">
        <v>72</v>
      </c>
      <c r="O1447">
        <v>6.39</v>
      </c>
      <c r="P1447">
        <v>9.9</v>
      </c>
      <c r="Q1447">
        <v>2</v>
      </c>
      <c r="R1447">
        <v>2.67</v>
      </c>
      <c r="S1447">
        <v>2</v>
      </c>
      <c r="T1447" t="b">
        <v>0</v>
      </c>
    </row>
    <row r="1448" spans="1:20">
      <c r="A1448" t="s">
        <v>92</v>
      </c>
      <c r="B1448">
        <v>89</v>
      </c>
      <c r="C1448">
        <v>415</v>
      </c>
      <c r="D1448" t="s">
        <v>62</v>
      </c>
      <c r="E1448" t="s">
        <v>63</v>
      </c>
      <c r="F1448">
        <v>25</v>
      </c>
      <c r="G1448">
        <v>215.1</v>
      </c>
      <c r="H1448">
        <v>140</v>
      </c>
      <c r="I1448">
        <v>36.57</v>
      </c>
      <c r="J1448">
        <v>197.4</v>
      </c>
      <c r="K1448">
        <v>69</v>
      </c>
      <c r="L1448">
        <v>16.78</v>
      </c>
      <c r="M1448">
        <v>162.1</v>
      </c>
      <c r="N1448">
        <v>117</v>
      </c>
      <c r="O1448">
        <v>7.29</v>
      </c>
      <c r="P1448">
        <v>10.6</v>
      </c>
      <c r="Q1448">
        <v>10</v>
      </c>
      <c r="R1448">
        <v>2.86</v>
      </c>
      <c r="S1448">
        <v>1</v>
      </c>
      <c r="T1448" t="b">
        <v>0</v>
      </c>
    </row>
    <row r="1449" spans="1:20">
      <c r="A1449" t="s">
        <v>116</v>
      </c>
      <c r="B1449">
        <v>50</v>
      </c>
      <c r="C1449">
        <v>408</v>
      </c>
      <c r="D1449" t="s">
        <v>62</v>
      </c>
      <c r="E1449" t="s">
        <v>62</v>
      </c>
      <c r="F1449">
        <v>0</v>
      </c>
      <c r="G1449">
        <v>301.7</v>
      </c>
      <c r="H1449">
        <v>82</v>
      </c>
      <c r="I1449">
        <v>51.29</v>
      </c>
      <c r="J1449">
        <v>167.1</v>
      </c>
      <c r="K1449">
        <v>118</v>
      </c>
      <c r="L1449">
        <v>14.2</v>
      </c>
      <c r="M1449">
        <v>72.2</v>
      </c>
      <c r="N1449">
        <v>89</v>
      </c>
      <c r="O1449">
        <v>3.25</v>
      </c>
      <c r="P1449">
        <v>10.5</v>
      </c>
      <c r="Q1449">
        <v>6</v>
      </c>
      <c r="R1449">
        <v>2.84</v>
      </c>
      <c r="S1449">
        <v>1</v>
      </c>
      <c r="T1449" t="b">
        <v>0</v>
      </c>
    </row>
    <row r="1450" spans="1:20">
      <c r="A1450" t="s">
        <v>64</v>
      </c>
      <c r="B1450">
        <v>93</v>
      </c>
      <c r="C1450">
        <v>415</v>
      </c>
      <c r="D1450" t="s">
        <v>62</v>
      </c>
      <c r="E1450" t="s">
        <v>63</v>
      </c>
      <c r="F1450">
        <v>42</v>
      </c>
      <c r="G1450">
        <v>152.3</v>
      </c>
      <c r="H1450">
        <v>90</v>
      </c>
      <c r="I1450">
        <v>25.89</v>
      </c>
      <c r="J1450">
        <v>267.5</v>
      </c>
      <c r="K1450">
        <v>102</v>
      </c>
      <c r="L1450">
        <v>22.74</v>
      </c>
      <c r="M1450">
        <v>266.9</v>
      </c>
      <c r="N1450">
        <v>130</v>
      </c>
      <c r="O1450">
        <v>12.01</v>
      </c>
      <c r="P1450">
        <v>11.3</v>
      </c>
      <c r="Q1450">
        <v>5</v>
      </c>
      <c r="R1450">
        <v>3.05</v>
      </c>
      <c r="S1450">
        <v>7</v>
      </c>
      <c r="T1450" t="b">
        <v>0</v>
      </c>
    </row>
    <row r="1451" spans="1:20">
      <c r="A1451" t="s">
        <v>85</v>
      </c>
      <c r="B1451">
        <v>68</v>
      </c>
      <c r="C1451">
        <v>510</v>
      </c>
      <c r="D1451" t="s">
        <v>62</v>
      </c>
      <c r="E1451" t="s">
        <v>62</v>
      </c>
      <c r="F1451">
        <v>0</v>
      </c>
      <c r="G1451">
        <v>195.4</v>
      </c>
      <c r="H1451">
        <v>116</v>
      </c>
      <c r="I1451">
        <v>33.22</v>
      </c>
      <c r="J1451">
        <v>212.1</v>
      </c>
      <c r="K1451">
        <v>101</v>
      </c>
      <c r="L1451">
        <v>18.03</v>
      </c>
      <c r="M1451">
        <v>138.4</v>
      </c>
      <c r="N1451">
        <v>134</v>
      </c>
      <c r="O1451">
        <v>6.23</v>
      </c>
      <c r="P1451">
        <v>15.1</v>
      </c>
      <c r="Q1451">
        <v>11</v>
      </c>
      <c r="R1451">
        <v>4.08</v>
      </c>
      <c r="S1451">
        <v>1</v>
      </c>
      <c r="T1451" t="b">
        <v>0</v>
      </c>
    </row>
    <row r="1452" spans="1:20">
      <c r="A1452" t="s">
        <v>86</v>
      </c>
      <c r="B1452">
        <v>70</v>
      </c>
      <c r="C1452">
        <v>408</v>
      </c>
      <c r="D1452" t="s">
        <v>62</v>
      </c>
      <c r="E1452" t="s">
        <v>62</v>
      </c>
      <c r="F1452">
        <v>0</v>
      </c>
      <c r="G1452">
        <v>208.7</v>
      </c>
      <c r="H1452">
        <v>97</v>
      </c>
      <c r="I1452">
        <v>35.48</v>
      </c>
      <c r="J1452">
        <v>275.5</v>
      </c>
      <c r="K1452">
        <v>83</v>
      </c>
      <c r="L1452">
        <v>23.42</v>
      </c>
      <c r="M1452">
        <v>182.5</v>
      </c>
      <c r="N1452">
        <v>122</v>
      </c>
      <c r="O1452">
        <v>8.21</v>
      </c>
      <c r="P1452">
        <v>8</v>
      </c>
      <c r="Q1452">
        <v>3</v>
      </c>
      <c r="R1452">
        <v>2.16</v>
      </c>
      <c r="S1452">
        <v>2</v>
      </c>
      <c r="T1452" t="b">
        <v>0</v>
      </c>
    </row>
    <row r="1453" spans="1:20">
      <c r="A1453" t="s">
        <v>69</v>
      </c>
      <c r="B1453">
        <v>138</v>
      </c>
      <c r="C1453">
        <v>415</v>
      </c>
      <c r="D1453" t="s">
        <v>62</v>
      </c>
      <c r="E1453" t="s">
        <v>63</v>
      </c>
      <c r="F1453">
        <v>29</v>
      </c>
      <c r="G1453">
        <v>190.1</v>
      </c>
      <c r="H1453">
        <v>87</v>
      </c>
      <c r="I1453">
        <v>32.32</v>
      </c>
      <c r="J1453">
        <v>223.2</v>
      </c>
      <c r="K1453">
        <v>123</v>
      </c>
      <c r="L1453">
        <v>18.97</v>
      </c>
      <c r="M1453">
        <v>256.2</v>
      </c>
      <c r="N1453">
        <v>130</v>
      </c>
      <c r="O1453">
        <v>11.53</v>
      </c>
      <c r="P1453">
        <v>14.2</v>
      </c>
      <c r="Q1453">
        <v>6</v>
      </c>
      <c r="R1453">
        <v>3.83</v>
      </c>
      <c r="S1453">
        <v>0</v>
      </c>
      <c r="T1453" t="b">
        <v>0</v>
      </c>
    </row>
    <row r="1454" spans="1:20">
      <c r="A1454" t="s">
        <v>68</v>
      </c>
      <c r="B1454">
        <v>112</v>
      </c>
      <c r="C1454">
        <v>415</v>
      </c>
      <c r="D1454" t="s">
        <v>62</v>
      </c>
      <c r="E1454" t="s">
        <v>63</v>
      </c>
      <c r="F1454">
        <v>17</v>
      </c>
      <c r="G1454">
        <v>183.2</v>
      </c>
      <c r="H1454">
        <v>95</v>
      </c>
      <c r="I1454">
        <v>31.14</v>
      </c>
      <c r="J1454">
        <v>252.8</v>
      </c>
      <c r="K1454">
        <v>125</v>
      </c>
      <c r="L1454">
        <v>21.49</v>
      </c>
      <c r="M1454">
        <v>156.7</v>
      </c>
      <c r="N1454">
        <v>95</v>
      </c>
      <c r="O1454">
        <v>7.05</v>
      </c>
      <c r="P1454">
        <v>9.7</v>
      </c>
      <c r="Q1454">
        <v>3</v>
      </c>
      <c r="R1454">
        <v>2.62</v>
      </c>
      <c r="S1454">
        <v>0</v>
      </c>
      <c r="T1454" t="b">
        <v>0</v>
      </c>
    </row>
    <row r="1455" spans="1:20">
      <c r="A1455" t="s">
        <v>87</v>
      </c>
      <c r="B1455">
        <v>117</v>
      </c>
      <c r="C1455">
        <v>510</v>
      </c>
      <c r="D1455" t="s">
        <v>63</v>
      </c>
      <c r="E1455" t="s">
        <v>62</v>
      </c>
      <c r="F1455">
        <v>0</v>
      </c>
      <c r="G1455">
        <v>54.2</v>
      </c>
      <c r="H1455">
        <v>100</v>
      </c>
      <c r="I1455">
        <v>9.21</v>
      </c>
      <c r="J1455">
        <v>303.2</v>
      </c>
      <c r="K1455">
        <v>84</v>
      </c>
      <c r="L1455">
        <v>25.77</v>
      </c>
      <c r="M1455">
        <v>171.8</v>
      </c>
      <c r="N1455">
        <v>84</v>
      </c>
      <c r="O1455">
        <v>7.73</v>
      </c>
      <c r="P1455">
        <v>8.6</v>
      </c>
      <c r="Q1455">
        <v>2</v>
      </c>
      <c r="R1455">
        <v>2.32</v>
      </c>
      <c r="S1455">
        <v>1</v>
      </c>
      <c r="T1455" t="b">
        <v>1</v>
      </c>
    </row>
    <row r="1456" spans="1:20">
      <c r="A1456" t="s">
        <v>75</v>
      </c>
      <c r="B1456">
        <v>1</v>
      </c>
      <c r="C1456">
        <v>408</v>
      </c>
      <c r="D1456" t="s">
        <v>62</v>
      </c>
      <c r="E1456" t="s">
        <v>63</v>
      </c>
      <c r="F1456">
        <v>26</v>
      </c>
      <c r="G1456">
        <v>208</v>
      </c>
      <c r="H1456">
        <v>115</v>
      </c>
      <c r="I1456">
        <v>35.36</v>
      </c>
      <c r="J1456">
        <v>185</v>
      </c>
      <c r="K1456">
        <v>113</v>
      </c>
      <c r="L1456">
        <v>15.73</v>
      </c>
      <c r="M1456">
        <v>177.7</v>
      </c>
      <c r="N1456">
        <v>144</v>
      </c>
      <c r="O1456">
        <v>8</v>
      </c>
      <c r="P1456">
        <v>8.1</v>
      </c>
      <c r="Q1456">
        <v>9</v>
      </c>
      <c r="R1456">
        <v>2.19</v>
      </c>
      <c r="S1456">
        <v>1</v>
      </c>
      <c r="T1456" t="b">
        <v>0</v>
      </c>
    </row>
    <row r="1457" spans="1:20">
      <c r="A1457" t="s">
        <v>67</v>
      </c>
      <c r="B1457">
        <v>70</v>
      </c>
      <c r="C1457">
        <v>415</v>
      </c>
      <c r="D1457" t="s">
        <v>62</v>
      </c>
      <c r="E1457" t="s">
        <v>62</v>
      </c>
      <c r="F1457">
        <v>0</v>
      </c>
      <c r="G1457">
        <v>230.3</v>
      </c>
      <c r="H1457">
        <v>110</v>
      </c>
      <c r="I1457">
        <v>39.15</v>
      </c>
      <c r="J1457">
        <v>77.9</v>
      </c>
      <c r="K1457">
        <v>87</v>
      </c>
      <c r="L1457">
        <v>6.62</v>
      </c>
      <c r="M1457">
        <v>247.1</v>
      </c>
      <c r="N1457">
        <v>105</v>
      </c>
      <c r="O1457">
        <v>11.12</v>
      </c>
      <c r="P1457">
        <v>13.2</v>
      </c>
      <c r="Q1457">
        <v>4</v>
      </c>
      <c r="R1457">
        <v>3.56</v>
      </c>
      <c r="S1457">
        <v>1</v>
      </c>
      <c r="T1457" t="b">
        <v>0</v>
      </c>
    </row>
    <row r="1458" spans="1:20">
      <c r="A1458" t="s">
        <v>71</v>
      </c>
      <c r="B1458">
        <v>52</v>
      </c>
      <c r="C1458">
        <v>510</v>
      </c>
      <c r="D1458" t="s">
        <v>62</v>
      </c>
      <c r="E1458" t="s">
        <v>63</v>
      </c>
      <c r="F1458">
        <v>21</v>
      </c>
      <c r="G1458">
        <v>195.7</v>
      </c>
      <c r="H1458">
        <v>119</v>
      </c>
      <c r="I1458">
        <v>33.27</v>
      </c>
      <c r="J1458">
        <v>106.2</v>
      </c>
      <c r="K1458">
        <v>95</v>
      </c>
      <c r="L1458">
        <v>9.03</v>
      </c>
      <c r="M1458">
        <v>157.4</v>
      </c>
      <c r="N1458">
        <v>94</v>
      </c>
      <c r="O1458">
        <v>7.08</v>
      </c>
      <c r="P1458">
        <v>5.3</v>
      </c>
      <c r="Q1458">
        <v>3</v>
      </c>
      <c r="R1458">
        <v>1.43</v>
      </c>
      <c r="S1458">
        <v>2</v>
      </c>
      <c r="T1458" t="b">
        <v>0</v>
      </c>
    </row>
    <row r="1459" spans="1:20">
      <c r="A1459" t="s">
        <v>104</v>
      </c>
      <c r="B1459">
        <v>105</v>
      </c>
      <c r="C1459">
        <v>408</v>
      </c>
      <c r="D1459" t="s">
        <v>62</v>
      </c>
      <c r="E1459" t="s">
        <v>62</v>
      </c>
      <c r="F1459">
        <v>0</v>
      </c>
      <c r="G1459">
        <v>166.1</v>
      </c>
      <c r="H1459">
        <v>93</v>
      </c>
      <c r="I1459">
        <v>28.24</v>
      </c>
      <c r="J1459">
        <v>175.9</v>
      </c>
      <c r="K1459">
        <v>106</v>
      </c>
      <c r="L1459">
        <v>14.95</v>
      </c>
      <c r="M1459">
        <v>243.5</v>
      </c>
      <c r="N1459">
        <v>55</v>
      </c>
      <c r="O1459">
        <v>10.96</v>
      </c>
      <c r="P1459">
        <v>16.2</v>
      </c>
      <c r="Q1459">
        <v>3</v>
      </c>
      <c r="R1459">
        <v>4.37</v>
      </c>
      <c r="S1459">
        <v>2</v>
      </c>
      <c r="T1459" t="b">
        <v>0</v>
      </c>
    </row>
    <row r="1460" spans="1:20">
      <c r="A1460" t="s">
        <v>111</v>
      </c>
      <c r="B1460">
        <v>77</v>
      </c>
      <c r="C1460">
        <v>510</v>
      </c>
      <c r="D1460" t="s">
        <v>62</v>
      </c>
      <c r="E1460" t="s">
        <v>63</v>
      </c>
      <c r="F1460">
        <v>28</v>
      </c>
      <c r="G1460">
        <v>135.9</v>
      </c>
      <c r="H1460">
        <v>117</v>
      </c>
      <c r="I1460">
        <v>23.1</v>
      </c>
      <c r="J1460">
        <v>244.5</v>
      </c>
      <c r="K1460">
        <v>102</v>
      </c>
      <c r="L1460">
        <v>20.78</v>
      </c>
      <c r="M1460">
        <v>207.5</v>
      </c>
      <c r="N1460">
        <v>74</v>
      </c>
      <c r="O1460">
        <v>9.34</v>
      </c>
      <c r="P1460">
        <v>11.5</v>
      </c>
      <c r="Q1460">
        <v>3</v>
      </c>
      <c r="R1460">
        <v>3.11</v>
      </c>
      <c r="S1460">
        <v>4</v>
      </c>
      <c r="T1460" t="b">
        <v>1</v>
      </c>
    </row>
    <row r="1461" spans="1:20">
      <c r="A1461" t="s">
        <v>100</v>
      </c>
      <c r="B1461">
        <v>80</v>
      </c>
      <c r="C1461">
        <v>415</v>
      </c>
      <c r="D1461" t="s">
        <v>63</v>
      </c>
      <c r="E1461" t="s">
        <v>62</v>
      </c>
      <c r="F1461">
        <v>0</v>
      </c>
      <c r="G1461">
        <v>189.1</v>
      </c>
      <c r="H1461">
        <v>122</v>
      </c>
      <c r="I1461">
        <v>32.15</v>
      </c>
      <c r="J1461">
        <v>223.2</v>
      </c>
      <c r="K1461">
        <v>92</v>
      </c>
      <c r="L1461">
        <v>18.97</v>
      </c>
      <c r="M1461">
        <v>269</v>
      </c>
      <c r="N1461">
        <v>116</v>
      </c>
      <c r="O1461">
        <v>12.11</v>
      </c>
      <c r="P1461">
        <v>13.9</v>
      </c>
      <c r="Q1461">
        <v>3</v>
      </c>
      <c r="R1461">
        <v>3.75</v>
      </c>
      <c r="S1461">
        <v>2</v>
      </c>
      <c r="T1461" t="b">
        <v>1</v>
      </c>
    </row>
    <row r="1462" spans="1:20">
      <c r="A1462" t="s">
        <v>87</v>
      </c>
      <c r="B1462">
        <v>120</v>
      </c>
      <c r="C1462">
        <v>510</v>
      </c>
      <c r="D1462" t="s">
        <v>62</v>
      </c>
      <c r="E1462" t="s">
        <v>63</v>
      </c>
      <c r="F1462">
        <v>43</v>
      </c>
      <c r="G1462">
        <v>177.9</v>
      </c>
      <c r="H1462">
        <v>117</v>
      </c>
      <c r="I1462">
        <v>30.24</v>
      </c>
      <c r="J1462">
        <v>175.1</v>
      </c>
      <c r="K1462">
        <v>70</v>
      </c>
      <c r="L1462">
        <v>14.88</v>
      </c>
      <c r="M1462">
        <v>161.3</v>
      </c>
      <c r="N1462">
        <v>117</v>
      </c>
      <c r="O1462">
        <v>7.26</v>
      </c>
      <c r="P1462">
        <v>11.5</v>
      </c>
      <c r="Q1462">
        <v>4</v>
      </c>
      <c r="R1462">
        <v>3.11</v>
      </c>
      <c r="S1462">
        <v>1</v>
      </c>
      <c r="T1462" t="b">
        <v>0</v>
      </c>
    </row>
    <row r="1463" spans="1:20">
      <c r="A1463" t="s">
        <v>85</v>
      </c>
      <c r="B1463">
        <v>54</v>
      </c>
      <c r="C1463">
        <v>408</v>
      </c>
      <c r="D1463" t="s">
        <v>62</v>
      </c>
      <c r="E1463" t="s">
        <v>63</v>
      </c>
      <c r="F1463">
        <v>39</v>
      </c>
      <c r="G1463">
        <v>143.9</v>
      </c>
      <c r="H1463">
        <v>73</v>
      </c>
      <c r="I1463">
        <v>24.46</v>
      </c>
      <c r="J1463">
        <v>210.3</v>
      </c>
      <c r="K1463">
        <v>117</v>
      </c>
      <c r="L1463">
        <v>17.88</v>
      </c>
      <c r="M1463">
        <v>129.2</v>
      </c>
      <c r="N1463">
        <v>117</v>
      </c>
      <c r="O1463">
        <v>5.81</v>
      </c>
      <c r="P1463">
        <v>12.5</v>
      </c>
      <c r="Q1463">
        <v>8</v>
      </c>
      <c r="R1463">
        <v>3.38</v>
      </c>
      <c r="S1463">
        <v>2</v>
      </c>
      <c r="T1463" t="b">
        <v>0</v>
      </c>
    </row>
    <row r="1464" spans="1:20">
      <c r="A1464" t="s">
        <v>81</v>
      </c>
      <c r="B1464">
        <v>148</v>
      </c>
      <c r="C1464">
        <v>510</v>
      </c>
      <c r="D1464" t="s">
        <v>63</v>
      </c>
      <c r="E1464" t="s">
        <v>62</v>
      </c>
      <c r="F1464">
        <v>0</v>
      </c>
      <c r="G1464">
        <v>148.2</v>
      </c>
      <c r="H1464">
        <v>138</v>
      </c>
      <c r="I1464">
        <v>25.19</v>
      </c>
      <c r="J1464">
        <v>159.6</v>
      </c>
      <c r="K1464">
        <v>123</v>
      </c>
      <c r="L1464">
        <v>13.57</v>
      </c>
      <c r="M1464">
        <v>197.4</v>
      </c>
      <c r="N1464">
        <v>62</v>
      </c>
      <c r="O1464">
        <v>8.88</v>
      </c>
      <c r="P1464">
        <v>8.6</v>
      </c>
      <c r="Q1464">
        <v>3</v>
      </c>
      <c r="R1464">
        <v>2.32</v>
      </c>
      <c r="S1464">
        <v>2</v>
      </c>
      <c r="T1464" t="b">
        <v>0</v>
      </c>
    </row>
    <row r="1465" spans="1:20">
      <c r="A1465" t="s">
        <v>113</v>
      </c>
      <c r="B1465">
        <v>119</v>
      </c>
      <c r="C1465">
        <v>408</v>
      </c>
      <c r="D1465" t="s">
        <v>62</v>
      </c>
      <c r="E1465" t="s">
        <v>62</v>
      </c>
      <c r="F1465">
        <v>0</v>
      </c>
      <c r="G1465">
        <v>287.1</v>
      </c>
      <c r="H1465">
        <v>115</v>
      </c>
      <c r="I1465">
        <v>48.81</v>
      </c>
      <c r="J1465">
        <v>159.3</v>
      </c>
      <c r="K1465">
        <v>99</v>
      </c>
      <c r="L1465">
        <v>13.54</v>
      </c>
      <c r="M1465">
        <v>216.8</v>
      </c>
      <c r="N1465">
        <v>86</v>
      </c>
      <c r="O1465">
        <v>9.76</v>
      </c>
      <c r="P1465">
        <v>13.9</v>
      </c>
      <c r="Q1465">
        <v>1</v>
      </c>
      <c r="R1465">
        <v>3.75</v>
      </c>
      <c r="S1465">
        <v>2</v>
      </c>
      <c r="T1465" t="b">
        <v>1</v>
      </c>
    </row>
    <row r="1466" spans="1:20">
      <c r="A1466" t="s">
        <v>69</v>
      </c>
      <c r="B1466">
        <v>85</v>
      </c>
      <c r="C1466">
        <v>510</v>
      </c>
      <c r="D1466" t="s">
        <v>62</v>
      </c>
      <c r="E1466" t="s">
        <v>62</v>
      </c>
      <c r="F1466">
        <v>0</v>
      </c>
      <c r="G1466">
        <v>165.8</v>
      </c>
      <c r="H1466">
        <v>96</v>
      </c>
      <c r="I1466">
        <v>28.19</v>
      </c>
      <c r="J1466">
        <v>190</v>
      </c>
      <c r="K1466">
        <v>141</v>
      </c>
      <c r="L1466">
        <v>16.15</v>
      </c>
      <c r="M1466">
        <v>144</v>
      </c>
      <c r="N1466">
        <v>116</v>
      </c>
      <c r="O1466">
        <v>6.48</v>
      </c>
      <c r="P1466">
        <v>10.9</v>
      </c>
      <c r="Q1466">
        <v>3</v>
      </c>
      <c r="R1466">
        <v>2.94</v>
      </c>
      <c r="S1466">
        <v>5</v>
      </c>
      <c r="T1466" t="b">
        <v>1</v>
      </c>
    </row>
    <row r="1467" spans="1:20">
      <c r="A1467" t="s">
        <v>61</v>
      </c>
      <c r="B1467">
        <v>101</v>
      </c>
      <c r="C1467">
        <v>510</v>
      </c>
      <c r="D1467" t="s">
        <v>62</v>
      </c>
      <c r="E1467" t="s">
        <v>63</v>
      </c>
      <c r="F1467">
        <v>25</v>
      </c>
      <c r="G1467">
        <v>144.1</v>
      </c>
      <c r="H1467">
        <v>144</v>
      </c>
      <c r="I1467">
        <v>24.5</v>
      </c>
      <c r="J1467">
        <v>167.6</v>
      </c>
      <c r="K1467">
        <v>105</v>
      </c>
      <c r="L1467">
        <v>14.25</v>
      </c>
      <c r="M1467">
        <v>240</v>
      </c>
      <c r="N1467">
        <v>107</v>
      </c>
      <c r="O1467">
        <v>10.8</v>
      </c>
      <c r="P1467">
        <v>14.5</v>
      </c>
      <c r="Q1467">
        <v>3</v>
      </c>
      <c r="R1467">
        <v>3.92</v>
      </c>
      <c r="S1467">
        <v>1</v>
      </c>
      <c r="T1467" t="b">
        <v>0</v>
      </c>
    </row>
    <row r="1468" spans="1:20">
      <c r="A1468" t="s">
        <v>107</v>
      </c>
      <c r="B1468">
        <v>172</v>
      </c>
      <c r="C1468">
        <v>415</v>
      </c>
      <c r="D1468" t="s">
        <v>62</v>
      </c>
      <c r="E1468" t="s">
        <v>62</v>
      </c>
      <c r="F1468">
        <v>0</v>
      </c>
      <c r="G1468">
        <v>172.5</v>
      </c>
      <c r="H1468">
        <v>85</v>
      </c>
      <c r="I1468">
        <v>29.33</v>
      </c>
      <c r="J1468">
        <v>253.1</v>
      </c>
      <c r="K1468">
        <v>71</v>
      </c>
      <c r="L1468">
        <v>21.51</v>
      </c>
      <c r="M1468">
        <v>221.6</v>
      </c>
      <c r="N1468">
        <v>113</v>
      </c>
      <c r="O1468">
        <v>9.97</v>
      </c>
      <c r="P1468">
        <v>5.9</v>
      </c>
      <c r="Q1468">
        <v>6</v>
      </c>
      <c r="R1468">
        <v>1.59</v>
      </c>
      <c r="S1468">
        <v>0</v>
      </c>
      <c r="T1468" t="b">
        <v>0</v>
      </c>
    </row>
    <row r="1469" spans="1:20">
      <c r="A1469" t="s">
        <v>95</v>
      </c>
      <c r="B1469">
        <v>80</v>
      </c>
      <c r="C1469">
        <v>415</v>
      </c>
      <c r="D1469" t="s">
        <v>62</v>
      </c>
      <c r="E1469" t="s">
        <v>62</v>
      </c>
      <c r="F1469">
        <v>0</v>
      </c>
      <c r="G1469">
        <v>199.8</v>
      </c>
      <c r="H1469">
        <v>138</v>
      </c>
      <c r="I1469">
        <v>33.97</v>
      </c>
      <c r="J1469">
        <v>167.1</v>
      </c>
      <c r="K1469">
        <v>91</v>
      </c>
      <c r="L1469">
        <v>14.2</v>
      </c>
      <c r="M1469">
        <v>271.8</v>
      </c>
      <c r="N1469">
        <v>94</v>
      </c>
      <c r="O1469">
        <v>12.23</v>
      </c>
      <c r="P1469">
        <v>5.5</v>
      </c>
      <c r="Q1469">
        <v>4</v>
      </c>
      <c r="R1469">
        <v>1.49</v>
      </c>
      <c r="S1469">
        <v>1</v>
      </c>
      <c r="T1469" t="b">
        <v>0</v>
      </c>
    </row>
    <row r="1470" spans="1:20">
      <c r="A1470" t="s">
        <v>93</v>
      </c>
      <c r="B1470">
        <v>67</v>
      </c>
      <c r="C1470">
        <v>510</v>
      </c>
      <c r="D1470" t="s">
        <v>62</v>
      </c>
      <c r="E1470" t="s">
        <v>62</v>
      </c>
      <c r="F1470">
        <v>0</v>
      </c>
      <c r="G1470">
        <v>109.1</v>
      </c>
      <c r="H1470">
        <v>134</v>
      </c>
      <c r="I1470">
        <v>18.55</v>
      </c>
      <c r="J1470">
        <v>142.3</v>
      </c>
      <c r="K1470">
        <v>76</v>
      </c>
      <c r="L1470">
        <v>12.1</v>
      </c>
      <c r="M1470">
        <v>91.2</v>
      </c>
      <c r="N1470">
        <v>86</v>
      </c>
      <c r="O1470">
        <v>4.1</v>
      </c>
      <c r="P1470">
        <v>10.9</v>
      </c>
      <c r="Q1470">
        <v>5</v>
      </c>
      <c r="R1470">
        <v>2.94</v>
      </c>
      <c r="S1470">
        <v>2</v>
      </c>
      <c r="T1470" t="b">
        <v>0</v>
      </c>
    </row>
    <row r="1471" spans="1:20">
      <c r="A1471" t="s">
        <v>82</v>
      </c>
      <c r="B1471">
        <v>86</v>
      </c>
      <c r="C1471">
        <v>408</v>
      </c>
      <c r="D1471" t="s">
        <v>62</v>
      </c>
      <c r="E1471" t="s">
        <v>62</v>
      </c>
      <c r="F1471">
        <v>0</v>
      </c>
      <c r="G1471">
        <v>171.8</v>
      </c>
      <c r="H1471">
        <v>106</v>
      </c>
      <c r="I1471">
        <v>29.21</v>
      </c>
      <c r="J1471">
        <v>301.7</v>
      </c>
      <c r="K1471">
        <v>44</v>
      </c>
      <c r="L1471">
        <v>25.64</v>
      </c>
      <c r="M1471">
        <v>139.4</v>
      </c>
      <c r="N1471">
        <v>108</v>
      </c>
      <c r="O1471">
        <v>6.27</v>
      </c>
      <c r="P1471">
        <v>9.7</v>
      </c>
      <c r="Q1471">
        <v>5</v>
      </c>
      <c r="R1471">
        <v>2.62</v>
      </c>
      <c r="S1471">
        <v>1</v>
      </c>
      <c r="T1471" t="b">
        <v>0</v>
      </c>
    </row>
    <row r="1472" spans="1:20">
      <c r="A1472" t="s">
        <v>103</v>
      </c>
      <c r="B1472">
        <v>107</v>
      </c>
      <c r="C1472">
        <v>415</v>
      </c>
      <c r="D1472" t="s">
        <v>62</v>
      </c>
      <c r="E1472" t="s">
        <v>62</v>
      </c>
      <c r="F1472">
        <v>0</v>
      </c>
      <c r="G1472">
        <v>222.3</v>
      </c>
      <c r="H1472">
        <v>101</v>
      </c>
      <c r="I1472">
        <v>37.79</v>
      </c>
      <c r="J1472">
        <v>286</v>
      </c>
      <c r="K1472">
        <v>111</v>
      </c>
      <c r="L1472">
        <v>24.31</v>
      </c>
      <c r="M1472">
        <v>249.4</v>
      </c>
      <c r="N1472">
        <v>117</v>
      </c>
      <c r="O1472">
        <v>11.22</v>
      </c>
      <c r="P1472">
        <v>12.1</v>
      </c>
      <c r="Q1472">
        <v>4</v>
      </c>
      <c r="R1472">
        <v>3.27</v>
      </c>
      <c r="S1472">
        <v>1</v>
      </c>
      <c r="T1472" t="b">
        <v>1</v>
      </c>
    </row>
    <row r="1473" spans="1:20">
      <c r="A1473" t="s">
        <v>95</v>
      </c>
      <c r="B1473">
        <v>133</v>
      </c>
      <c r="C1473">
        <v>510</v>
      </c>
      <c r="D1473" t="s">
        <v>62</v>
      </c>
      <c r="E1473" t="s">
        <v>62</v>
      </c>
      <c r="F1473">
        <v>0</v>
      </c>
      <c r="G1473">
        <v>245.8</v>
      </c>
      <c r="H1473">
        <v>102</v>
      </c>
      <c r="I1473">
        <v>41.79</v>
      </c>
      <c r="J1473">
        <v>264.7</v>
      </c>
      <c r="K1473">
        <v>90</v>
      </c>
      <c r="L1473">
        <v>22.5</v>
      </c>
      <c r="M1473">
        <v>111.7</v>
      </c>
      <c r="N1473">
        <v>103</v>
      </c>
      <c r="O1473">
        <v>5.03</v>
      </c>
      <c r="P1473">
        <v>11.2</v>
      </c>
      <c r="Q1473">
        <v>7</v>
      </c>
      <c r="R1473">
        <v>3.02</v>
      </c>
      <c r="S1473">
        <v>0</v>
      </c>
      <c r="T1473" t="b">
        <v>0</v>
      </c>
    </row>
    <row r="1474" spans="1:20">
      <c r="A1474" t="s">
        <v>86</v>
      </c>
      <c r="B1474">
        <v>116</v>
      </c>
      <c r="C1474">
        <v>510</v>
      </c>
      <c r="D1474" t="s">
        <v>62</v>
      </c>
      <c r="E1474" t="s">
        <v>62</v>
      </c>
      <c r="F1474">
        <v>0</v>
      </c>
      <c r="G1474">
        <v>164.6</v>
      </c>
      <c r="H1474">
        <v>110</v>
      </c>
      <c r="I1474">
        <v>27.98</v>
      </c>
      <c r="J1474">
        <v>270.6</v>
      </c>
      <c r="K1474">
        <v>103</v>
      </c>
      <c r="L1474">
        <v>23</v>
      </c>
      <c r="M1474">
        <v>230.4</v>
      </c>
      <c r="N1474">
        <v>109</v>
      </c>
      <c r="O1474">
        <v>10.37</v>
      </c>
      <c r="P1474">
        <v>8</v>
      </c>
      <c r="Q1474">
        <v>3</v>
      </c>
      <c r="R1474">
        <v>2.16</v>
      </c>
      <c r="S1474">
        <v>0</v>
      </c>
      <c r="T1474" t="b">
        <v>0</v>
      </c>
    </row>
    <row r="1475" spans="1:20">
      <c r="A1475" t="s">
        <v>101</v>
      </c>
      <c r="B1475">
        <v>63</v>
      </c>
      <c r="C1475">
        <v>408</v>
      </c>
      <c r="D1475" t="s">
        <v>62</v>
      </c>
      <c r="E1475" t="s">
        <v>62</v>
      </c>
      <c r="F1475">
        <v>0</v>
      </c>
      <c r="G1475">
        <v>211.7</v>
      </c>
      <c r="H1475">
        <v>107</v>
      </c>
      <c r="I1475">
        <v>35.99</v>
      </c>
      <c r="J1475">
        <v>271.7</v>
      </c>
      <c r="K1475">
        <v>77</v>
      </c>
      <c r="L1475">
        <v>23.09</v>
      </c>
      <c r="M1475">
        <v>203.3</v>
      </c>
      <c r="N1475">
        <v>108</v>
      </c>
      <c r="O1475">
        <v>9.15</v>
      </c>
      <c r="P1475">
        <v>7.4</v>
      </c>
      <c r="Q1475">
        <v>7</v>
      </c>
      <c r="R1475">
        <v>2</v>
      </c>
      <c r="S1475">
        <v>0</v>
      </c>
      <c r="T1475" t="b">
        <v>0</v>
      </c>
    </row>
    <row r="1476" spans="1:20">
      <c r="A1476" t="s">
        <v>68</v>
      </c>
      <c r="B1476">
        <v>119</v>
      </c>
      <c r="C1476">
        <v>408</v>
      </c>
      <c r="D1476" t="s">
        <v>63</v>
      </c>
      <c r="E1476" t="s">
        <v>63</v>
      </c>
      <c r="F1476">
        <v>16</v>
      </c>
      <c r="G1476">
        <v>147.2</v>
      </c>
      <c r="H1476">
        <v>103</v>
      </c>
      <c r="I1476">
        <v>25.02</v>
      </c>
      <c r="J1476">
        <v>160.1</v>
      </c>
      <c r="K1476">
        <v>96</v>
      </c>
      <c r="L1476">
        <v>13.61</v>
      </c>
      <c r="M1476">
        <v>184</v>
      </c>
      <c r="N1476">
        <v>120</v>
      </c>
      <c r="O1476">
        <v>8.28</v>
      </c>
      <c r="P1476">
        <v>7.7</v>
      </c>
      <c r="Q1476">
        <v>2</v>
      </c>
      <c r="R1476">
        <v>2.08</v>
      </c>
      <c r="S1476">
        <v>0</v>
      </c>
      <c r="T1476" t="b">
        <v>1</v>
      </c>
    </row>
    <row r="1477" spans="1:20">
      <c r="A1477" t="s">
        <v>64</v>
      </c>
      <c r="B1477">
        <v>133</v>
      </c>
      <c r="C1477">
        <v>408</v>
      </c>
      <c r="D1477" t="s">
        <v>63</v>
      </c>
      <c r="E1477" t="s">
        <v>62</v>
      </c>
      <c r="F1477">
        <v>0</v>
      </c>
      <c r="G1477">
        <v>254.7</v>
      </c>
      <c r="H1477">
        <v>103</v>
      </c>
      <c r="I1477">
        <v>43.3</v>
      </c>
      <c r="J1477">
        <v>252.2</v>
      </c>
      <c r="K1477">
        <v>80</v>
      </c>
      <c r="L1477">
        <v>21.44</v>
      </c>
      <c r="M1477">
        <v>178.1</v>
      </c>
      <c r="N1477">
        <v>103</v>
      </c>
      <c r="O1477">
        <v>8.01</v>
      </c>
      <c r="P1477">
        <v>8</v>
      </c>
      <c r="Q1477">
        <v>3</v>
      </c>
      <c r="R1477">
        <v>2.16</v>
      </c>
      <c r="S1477">
        <v>0</v>
      </c>
      <c r="T1477" t="b">
        <v>1</v>
      </c>
    </row>
    <row r="1478" spans="1:20">
      <c r="A1478" t="s">
        <v>112</v>
      </c>
      <c r="B1478">
        <v>94</v>
      </c>
      <c r="C1478">
        <v>408</v>
      </c>
      <c r="D1478" t="s">
        <v>63</v>
      </c>
      <c r="E1478" t="s">
        <v>62</v>
      </c>
      <c r="F1478">
        <v>0</v>
      </c>
      <c r="G1478">
        <v>170.1</v>
      </c>
      <c r="H1478">
        <v>113</v>
      </c>
      <c r="I1478">
        <v>28.92</v>
      </c>
      <c r="J1478">
        <v>271.8</v>
      </c>
      <c r="K1478">
        <v>94</v>
      </c>
      <c r="L1478">
        <v>23.1</v>
      </c>
      <c r="M1478">
        <v>110.7</v>
      </c>
      <c r="N1478">
        <v>78</v>
      </c>
      <c r="O1478">
        <v>4.98</v>
      </c>
      <c r="P1478">
        <v>8.7</v>
      </c>
      <c r="Q1478">
        <v>4</v>
      </c>
      <c r="R1478">
        <v>2.35</v>
      </c>
      <c r="S1478">
        <v>1</v>
      </c>
      <c r="T1478" t="b">
        <v>0</v>
      </c>
    </row>
    <row r="1479" spans="1:20">
      <c r="A1479" t="s">
        <v>68</v>
      </c>
      <c r="B1479">
        <v>69</v>
      </c>
      <c r="C1479">
        <v>510</v>
      </c>
      <c r="D1479" t="s">
        <v>62</v>
      </c>
      <c r="E1479" t="s">
        <v>62</v>
      </c>
      <c r="F1479">
        <v>0</v>
      </c>
      <c r="G1479">
        <v>195.1</v>
      </c>
      <c r="H1479">
        <v>91</v>
      </c>
      <c r="I1479">
        <v>33.17</v>
      </c>
      <c r="J1479">
        <v>261.5</v>
      </c>
      <c r="K1479">
        <v>57</v>
      </c>
      <c r="L1479">
        <v>22.23</v>
      </c>
      <c r="M1479">
        <v>203.8</v>
      </c>
      <c r="N1479">
        <v>90</v>
      </c>
      <c r="O1479">
        <v>9.17</v>
      </c>
      <c r="P1479">
        <v>11.4</v>
      </c>
      <c r="Q1479">
        <v>5</v>
      </c>
      <c r="R1479">
        <v>3.08</v>
      </c>
      <c r="S1479">
        <v>0</v>
      </c>
      <c r="T1479" t="b">
        <v>0</v>
      </c>
    </row>
    <row r="1480" spans="1:20">
      <c r="A1480" t="s">
        <v>110</v>
      </c>
      <c r="B1480">
        <v>146</v>
      </c>
      <c r="C1480">
        <v>408</v>
      </c>
      <c r="D1480" t="s">
        <v>62</v>
      </c>
      <c r="E1480" t="s">
        <v>62</v>
      </c>
      <c r="F1480">
        <v>0</v>
      </c>
      <c r="G1480">
        <v>149.3</v>
      </c>
      <c r="H1480">
        <v>83</v>
      </c>
      <c r="I1480">
        <v>25.38</v>
      </c>
      <c r="J1480">
        <v>187.1</v>
      </c>
      <c r="K1480">
        <v>130</v>
      </c>
      <c r="L1480">
        <v>15.9</v>
      </c>
      <c r="M1480">
        <v>149.8</v>
      </c>
      <c r="N1480">
        <v>100</v>
      </c>
      <c r="O1480">
        <v>6.74</v>
      </c>
      <c r="P1480">
        <v>7.9</v>
      </c>
      <c r="Q1480">
        <v>4</v>
      </c>
      <c r="R1480">
        <v>2.13</v>
      </c>
      <c r="S1480">
        <v>7</v>
      </c>
      <c r="T1480" t="b">
        <v>1</v>
      </c>
    </row>
    <row r="1481" spans="1:20">
      <c r="A1481" t="s">
        <v>87</v>
      </c>
      <c r="B1481">
        <v>142</v>
      </c>
      <c r="C1481">
        <v>408</v>
      </c>
      <c r="D1481" t="s">
        <v>63</v>
      </c>
      <c r="E1481" t="s">
        <v>63</v>
      </c>
      <c r="F1481">
        <v>25</v>
      </c>
      <c r="G1481">
        <v>191.1</v>
      </c>
      <c r="H1481">
        <v>109</v>
      </c>
      <c r="I1481">
        <v>32.49</v>
      </c>
      <c r="J1481">
        <v>149.6</v>
      </c>
      <c r="K1481">
        <v>120</v>
      </c>
      <c r="L1481">
        <v>12.72</v>
      </c>
      <c r="M1481">
        <v>227.8</v>
      </c>
      <c r="N1481">
        <v>60</v>
      </c>
      <c r="O1481">
        <v>10.25</v>
      </c>
      <c r="P1481">
        <v>9.8</v>
      </c>
      <c r="Q1481">
        <v>3</v>
      </c>
      <c r="R1481">
        <v>2.65</v>
      </c>
      <c r="S1481">
        <v>0</v>
      </c>
      <c r="T1481" t="b">
        <v>0</v>
      </c>
    </row>
    <row r="1482" spans="1:20">
      <c r="A1482" t="s">
        <v>91</v>
      </c>
      <c r="B1482">
        <v>123</v>
      </c>
      <c r="C1482">
        <v>408</v>
      </c>
      <c r="D1482" t="s">
        <v>62</v>
      </c>
      <c r="E1482" t="s">
        <v>62</v>
      </c>
      <c r="F1482">
        <v>0</v>
      </c>
      <c r="G1482">
        <v>206.9</v>
      </c>
      <c r="H1482">
        <v>115</v>
      </c>
      <c r="I1482">
        <v>35.17</v>
      </c>
      <c r="J1482">
        <v>224.4</v>
      </c>
      <c r="K1482">
        <v>86</v>
      </c>
      <c r="L1482">
        <v>19.07</v>
      </c>
      <c r="M1482">
        <v>197.4</v>
      </c>
      <c r="N1482">
        <v>60</v>
      </c>
      <c r="O1482">
        <v>8.88</v>
      </c>
      <c r="P1482">
        <v>8.3</v>
      </c>
      <c r="Q1482">
        <v>2</v>
      </c>
      <c r="R1482">
        <v>2.24</v>
      </c>
      <c r="S1482">
        <v>3</v>
      </c>
      <c r="T1482" t="b">
        <v>0</v>
      </c>
    </row>
    <row r="1483" spans="1:20">
      <c r="A1483" t="s">
        <v>109</v>
      </c>
      <c r="B1483">
        <v>101</v>
      </c>
      <c r="C1483">
        <v>408</v>
      </c>
      <c r="D1483" t="s">
        <v>62</v>
      </c>
      <c r="E1483" t="s">
        <v>62</v>
      </c>
      <c r="F1483">
        <v>0</v>
      </c>
      <c r="G1483">
        <v>239</v>
      </c>
      <c r="H1483">
        <v>156</v>
      </c>
      <c r="I1483">
        <v>40.63</v>
      </c>
      <c r="J1483">
        <v>273</v>
      </c>
      <c r="K1483">
        <v>106</v>
      </c>
      <c r="L1483">
        <v>23.21</v>
      </c>
      <c r="M1483">
        <v>278.2</v>
      </c>
      <c r="N1483">
        <v>93</v>
      </c>
      <c r="O1483">
        <v>12.52</v>
      </c>
      <c r="P1483">
        <v>13.5</v>
      </c>
      <c r="Q1483">
        <v>8</v>
      </c>
      <c r="R1483">
        <v>3.65</v>
      </c>
      <c r="S1483">
        <v>1</v>
      </c>
      <c r="T1483" t="b">
        <v>1</v>
      </c>
    </row>
    <row r="1484" spans="1:20">
      <c r="A1484" t="s">
        <v>83</v>
      </c>
      <c r="B1484">
        <v>43</v>
      </c>
      <c r="C1484">
        <v>415</v>
      </c>
      <c r="D1484" t="s">
        <v>62</v>
      </c>
      <c r="E1484" t="s">
        <v>62</v>
      </c>
      <c r="F1484">
        <v>0</v>
      </c>
      <c r="G1484">
        <v>179.3</v>
      </c>
      <c r="H1484">
        <v>97</v>
      </c>
      <c r="I1484">
        <v>30.48</v>
      </c>
      <c r="J1484">
        <v>252.7</v>
      </c>
      <c r="K1484">
        <v>126</v>
      </c>
      <c r="L1484">
        <v>21.48</v>
      </c>
      <c r="M1484">
        <v>227.5</v>
      </c>
      <c r="N1484">
        <v>114</v>
      </c>
      <c r="O1484">
        <v>10.24</v>
      </c>
      <c r="P1484">
        <v>8</v>
      </c>
      <c r="Q1484">
        <v>5</v>
      </c>
      <c r="R1484">
        <v>2.16</v>
      </c>
      <c r="S1484">
        <v>0</v>
      </c>
      <c r="T1484" t="b">
        <v>0</v>
      </c>
    </row>
    <row r="1485" spans="1:20">
      <c r="A1485" t="s">
        <v>96</v>
      </c>
      <c r="B1485">
        <v>69</v>
      </c>
      <c r="C1485">
        <v>408</v>
      </c>
      <c r="D1485" t="s">
        <v>62</v>
      </c>
      <c r="E1485" t="s">
        <v>62</v>
      </c>
      <c r="F1485">
        <v>0</v>
      </c>
      <c r="G1485">
        <v>185.3</v>
      </c>
      <c r="H1485">
        <v>91</v>
      </c>
      <c r="I1485">
        <v>31.5</v>
      </c>
      <c r="J1485">
        <v>219.1</v>
      </c>
      <c r="K1485">
        <v>88</v>
      </c>
      <c r="L1485">
        <v>18.62</v>
      </c>
      <c r="M1485">
        <v>243.6</v>
      </c>
      <c r="N1485">
        <v>107</v>
      </c>
      <c r="O1485">
        <v>10.96</v>
      </c>
      <c r="P1485">
        <v>5.5</v>
      </c>
      <c r="Q1485">
        <v>5</v>
      </c>
      <c r="R1485">
        <v>1.49</v>
      </c>
      <c r="S1485">
        <v>0</v>
      </c>
      <c r="T1485" t="b">
        <v>0</v>
      </c>
    </row>
    <row r="1486" spans="1:20">
      <c r="A1486" t="s">
        <v>106</v>
      </c>
      <c r="B1486">
        <v>15</v>
      </c>
      <c r="C1486">
        <v>510</v>
      </c>
      <c r="D1486" t="s">
        <v>63</v>
      </c>
      <c r="E1486" t="s">
        <v>62</v>
      </c>
      <c r="F1486">
        <v>0</v>
      </c>
      <c r="G1486">
        <v>141.4</v>
      </c>
      <c r="H1486">
        <v>80</v>
      </c>
      <c r="I1486">
        <v>24.04</v>
      </c>
      <c r="J1486">
        <v>123.9</v>
      </c>
      <c r="K1486">
        <v>76</v>
      </c>
      <c r="L1486">
        <v>10.53</v>
      </c>
      <c r="M1486">
        <v>323.5</v>
      </c>
      <c r="N1486">
        <v>88</v>
      </c>
      <c r="O1486">
        <v>14.56</v>
      </c>
      <c r="P1486">
        <v>8.1</v>
      </c>
      <c r="Q1486">
        <v>3</v>
      </c>
      <c r="R1486">
        <v>2.19</v>
      </c>
      <c r="S1486">
        <v>2</v>
      </c>
      <c r="T1486" t="b">
        <v>0</v>
      </c>
    </row>
    <row r="1487" spans="1:20">
      <c r="A1487" t="s">
        <v>71</v>
      </c>
      <c r="B1487">
        <v>67</v>
      </c>
      <c r="C1487">
        <v>510</v>
      </c>
      <c r="D1487" t="s">
        <v>62</v>
      </c>
      <c r="E1487" t="s">
        <v>62</v>
      </c>
      <c r="F1487">
        <v>0</v>
      </c>
      <c r="G1487">
        <v>152.5</v>
      </c>
      <c r="H1487">
        <v>131</v>
      </c>
      <c r="I1487">
        <v>25.93</v>
      </c>
      <c r="J1487">
        <v>252.4</v>
      </c>
      <c r="K1487">
        <v>107</v>
      </c>
      <c r="L1487">
        <v>21.45</v>
      </c>
      <c r="M1487">
        <v>185.4</v>
      </c>
      <c r="N1487">
        <v>104</v>
      </c>
      <c r="O1487">
        <v>8.34</v>
      </c>
      <c r="P1487">
        <v>4.9</v>
      </c>
      <c r="Q1487">
        <v>3</v>
      </c>
      <c r="R1487">
        <v>1.32</v>
      </c>
      <c r="S1487">
        <v>2</v>
      </c>
      <c r="T1487" t="b">
        <v>0</v>
      </c>
    </row>
    <row r="1488" spans="1:20">
      <c r="A1488" t="s">
        <v>106</v>
      </c>
      <c r="B1488">
        <v>99</v>
      </c>
      <c r="C1488">
        <v>415</v>
      </c>
      <c r="D1488" t="s">
        <v>62</v>
      </c>
      <c r="E1488" t="s">
        <v>62</v>
      </c>
      <c r="F1488">
        <v>0</v>
      </c>
      <c r="G1488">
        <v>145.6</v>
      </c>
      <c r="H1488">
        <v>102</v>
      </c>
      <c r="I1488">
        <v>24.75</v>
      </c>
      <c r="J1488">
        <v>230.9</v>
      </c>
      <c r="K1488">
        <v>87</v>
      </c>
      <c r="L1488">
        <v>19.63</v>
      </c>
      <c r="M1488">
        <v>181.5</v>
      </c>
      <c r="N1488">
        <v>86</v>
      </c>
      <c r="O1488">
        <v>8.17</v>
      </c>
      <c r="P1488">
        <v>11.4</v>
      </c>
      <c r="Q1488">
        <v>7</v>
      </c>
      <c r="R1488">
        <v>3.08</v>
      </c>
      <c r="S1488">
        <v>1</v>
      </c>
      <c r="T1488" t="b">
        <v>0</v>
      </c>
    </row>
    <row r="1489" spans="1:20">
      <c r="A1489" t="s">
        <v>66</v>
      </c>
      <c r="B1489">
        <v>46</v>
      </c>
      <c r="C1489">
        <v>415</v>
      </c>
      <c r="D1489" t="s">
        <v>62</v>
      </c>
      <c r="E1489" t="s">
        <v>62</v>
      </c>
      <c r="F1489">
        <v>0</v>
      </c>
      <c r="G1489">
        <v>164.2</v>
      </c>
      <c r="H1489">
        <v>116</v>
      </c>
      <c r="I1489">
        <v>27.91</v>
      </c>
      <c r="J1489">
        <v>196.2</v>
      </c>
      <c r="K1489">
        <v>153</v>
      </c>
      <c r="L1489">
        <v>16.68</v>
      </c>
      <c r="M1489">
        <v>236.1</v>
      </c>
      <c r="N1489">
        <v>119</v>
      </c>
      <c r="O1489">
        <v>10.62</v>
      </c>
      <c r="P1489">
        <v>8.1</v>
      </c>
      <c r="Q1489">
        <v>1</v>
      </c>
      <c r="R1489">
        <v>2.19</v>
      </c>
      <c r="S1489">
        <v>1</v>
      </c>
      <c r="T1489" t="b">
        <v>0</v>
      </c>
    </row>
    <row r="1490" spans="1:20">
      <c r="A1490" t="s">
        <v>100</v>
      </c>
      <c r="B1490">
        <v>55</v>
      </c>
      <c r="C1490">
        <v>408</v>
      </c>
      <c r="D1490" t="s">
        <v>63</v>
      </c>
      <c r="E1490" t="s">
        <v>62</v>
      </c>
      <c r="F1490">
        <v>0</v>
      </c>
      <c r="G1490">
        <v>221</v>
      </c>
      <c r="H1490">
        <v>115</v>
      </c>
      <c r="I1490">
        <v>37.57</v>
      </c>
      <c r="J1490">
        <v>165.4</v>
      </c>
      <c r="K1490">
        <v>97</v>
      </c>
      <c r="L1490">
        <v>14.06</v>
      </c>
      <c r="M1490">
        <v>235.4</v>
      </c>
      <c r="N1490">
        <v>117</v>
      </c>
      <c r="O1490">
        <v>10.59</v>
      </c>
      <c r="P1490">
        <v>9.7</v>
      </c>
      <c r="Q1490">
        <v>4</v>
      </c>
      <c r="R1490">
        <v>2.62</v>
      </c>
      <c r="S1490">
        <v>1</v>
      </c>
      <c r="T1490" t="b">
        <v>0</v>
      </c>
    </row>
    <row r="1491" spans="1:20">
      <c r="A1491" t="s">
        <v>107</v>
      </c>
      <c r="B1491">
        <v>39</v>
      </c>
      <c r="C1491">
        <v>415</v>
      </c>
      <c r="D1491" t="s">
        <v>62</v>
      </c>
      <c r="E1491" t="s">
        <v>62</v>
      </c>
      <c r="F1491">
        <v>0</v>
      </c>
      <c r="G1491">
        <v>295.4</v>
      </c>
      <c r="H1491">
        <v>126</v>
      </c>
      <c r="I1491">
        <v>50.22</v>
      </c>
      <c r="J1491">
        <v>232.1</v>
      </c>
      <c r="K1491">
        <v>117</v>
      </c>
      <c r="L1491">
        <v>19.73</v>
      </c>
      <c r="M1491">
        <v>204.4</v>
      </c>
      <c r="N1491">
        <v>123</v>
      </c>
      <c r="O1491">
        <v>9.2</v>
      </c>
      <c r="P1491">
        <v>11.5</v>
      </c>
      <c r="Q1491">
        <v>2</v>
      </c>
      <c r="R1491">
        <v>3.11</v>
      </c>
      <c r="S1491">
        <v>1</v>
      </c>
      <c r="T1491" t="b">
        <v>1</v>
      </c>
    </row>
    <row r="1492" spans="1:20">
      <c r="A1492" t="s">
        <v>80</v>
      </c>
      <c r="B1492">
        <v>92</v>
      </c>
      <c r="C1492">
        <v>510</v>
      </c>
      <c r="D1492" t="s">
        <v>62</v>
      </c>
      <c r="E1492" t="s">
        <v>62</v>
      </c>
      <c r="F1492">
        <v>0</v>
      </c>
      <c r="G1492">
        <v>139.8</v>
      </c>
      <c r="H1492">
        <v>98</v>
      </c>
      <c r="I1492">
        <v>23.77</v>
      </c>
      <c r="J1492">
        <v>174.9</v>
      </c>
      <c r="K1492">
        <v>143</v>
      </c>
      <c r="L1492">
        <v>14.87</v>
      </c>
      <c r="M1492">
        <v>201.6</v>
      </c>
      <c r="N1492">
        <v>135</v>
      </c>
      <c r="O1492">
        <v>9.07</v>
      </c>
      <c r="P1492">
        <v>9.4</v>
      </c>
      <c r="Q1492">
        <v>7</v>
      </c>
      <c r="R1492">
        <v>2.54</v>
      </c>
      <c r="S1492">
        <v>2</v>
      </c>
      <c r="T1492" t="b">
        <v>0</v>
      </c>
    </row>
    <row r="1493" spans="1:20">
      <c r="A1493" t="s">
        <v>116</v>
      </c>
      <c r="B1493">
        <v>56</v>
      </c>
      <c r="C1493">
        <v>415</v>
      </c>
      <c r="D1493" t="s">
        <v>62</v>
      </c>
      <c r="E1493" t="s">
        <v>62</v>
      </c>
      <c r="F1493">
        <v>0</v>
      </c>
      <c r="G1493">
        <v>162.3</v>
      </c>
      <c r="H1493">
        <v>99</v>
      </c>
      <c r="I1493">
        <v>27.59</v>
      </c>
      <c r="J1493">
        <v>149.1</v>
      </c>
      <c r="K1493">
        <v>78</v>
      </c>
      <c r="L1493">
        <v>12.67</v>
      </c>
      <c r="M1493">
        <v>255.5</v>
      </c>
      <c r="N1493">
        <v>115</v>
      </c>
      <c r="O1493">
        <v>11.5</v>
      </c>
      <c r="P1493">
        <v>14.8</v>
      </c>
      <c r="Q1493">
        <v>1</v>
      </c>
      <c r="R1493">
        <v>4</v>
      </c>
      <c r="S1493">
        <v>4</v>
      </c>
      <c r="T1493" t="b">
        <v>1</v>
      </c>
    </row>
    <row r="1494" spans="1:20">
      <c r="A1494" t="s">
        <v>84</v>
      </c>
      <c r="B1494">
        <v>76</v>
      </c>
      <c r="C1494">
        <v>415</v>
      </c>
      <c r="D1494" t="s">
        <v>62</v>
      </c>
      <c r="E1494" t="s">
        <v>62</v>
      </c>
      <c r="F1494">
        <v>0</v>
      </c>
      <c r="G1494">
        <v>272.7</v>
      </c>
      <c r="H1494">
        <v>97</v>
      </c>
      <c r="I1494">
        <v>46.36</v>
      </c>
      <c r="J1494">
        <v>236.4</v>
      </c>
      <c r="K1494">
        <v>95</v>
      </c>
      <c r="L1494">
        <v>20.09</v>
      </c>
      <c r="M1494">
        <v>235.5</v>
      </c>
      <c r="N1494">
        <v>105</v>
      </c>
      <c r="O1494">
        <v>10.6</v>
      </c>
      <c r="P1494">
        <v>7.7</v>
      </c>
      <c r="Q1494">
        <v>2</v>
      </c>
      <c r="R1494">
        <v>2.08</v>
      </c>
      <c r="S1494">
        <v>0</v>
      </c>
      <c r="T1494" t="b">
        <v>1</v>
      </c>
    </row>
    <row r="1495" spans="1:20">
      <c r="A1495" t="s">
        <v>114</v>
      </c>
      <c r="B1495">
        <v>132</v>
      </c>
      <c r="C1495">
        <v>408</v>
      </c>
      <c r="D1495" t="s">
        <v>63</v>
      </c>
      <c r="E1495" t="s">
        <v>63</v>
      </c>
      <c r="F1495">
        <v>33</v>
      </c>
      <c r="G1495">
        <v>200.3</v>
      </c>
      <c r="H1495">
        <v>75</v>
      </c>
      <c r="I1495">
        <v>34.05</v>
      </c>
      <c r="J1495">
        <v>226.6</v>
      </c>
      <c r="K1495">
        <v>67</v>
      </c>
      <c r="L1495">
        <v>19.26</v>
      </c>
      <c r="M1495">
        <v>198.8</v>
      </c>
      <c r="N1495">
        <v>91</v>
      </c>
      <c r="O1495">
        <v>8.95</v>
      </c>
      <c r="P1495">
        <v>12.9</v>
      </c>
      <c r="Q1495">
        <v>3</v>
      </c>
      <c r="R1495">
        <v>3.48</v>
      </c>
      <c r="S1495">
        <v>2</v>
      </c>
      <c r="T1495" t="b">
        <v>0</v>
      </c>
    </row>
    <row r="1496" spans="1:20">
      <c r="A1496" t="s">
        <v>90</v>
      </c>
      <c r="B1496">
        <v>51</v>
      </c>
      <c r="C1496">
        <v>510</v>
      </c>
      <c r="D1496" t="s">
        <v>63</v>
      </c>
      <c r="E1496" t="s">
        <v>63</v>
      </c>
      <c r="F1496">
        <v>12</v>
      </c>
      <c r="G1496">
        <v>135.8</v>
      </c>
      <c r="H1496">
        <v>60</v>
      </c>
      <c r="I1496">
        <v>23.09</v>
      </c>
      <c r="J1496">
        <v>200.6</v>
      </c>
      <c r="K1496">
        <v>134</v>
      </c>
      <c r="L1496">
        <v>17.05</v>
      </c>
      <c r="M1496">
        <v>192.4</v>
      </c>
      <c r="N1496">
        <v>98</v>
      </c>
      <c r="O1496">
        <v>8.66</v>
      </c>
      <c r="P1496">
        <v>12.3</v>
      </c>
      <c r="Q1496">
        <v>7</v>
      </c>
      <c r="R1496">
        <v>3.32</v>
      </c>
      <c r="S1496">
        <v>2</v>
      </c>
      <c r="T1496" t="b">
        <v>0</v>
      </c>
    </row>
    <row r="1497" spans="1:20">
      <c r="A1497" t="s">
        <v>99</v>
      </c>
      <c r="B1497">
        <v>27</v>
      </c>
      <c r="C1497">
        <v>408</v>
      </c>
      <c r="D1497" t="s">
        <v>62</v>
      </c>
      <c r="E1497" t="s">
        <v>62</v>
      </c>
      <c r="F1497">
        <v>0</v>
      </c>
      <c r="G1497">
        <v>236.7</v>
      </c>
      <c r="H1497">
        <v>110</v>
      </c>
      <c r="I1497">
        <v>40.24</v>
      </c>
      <c r="J1497">
        <v>231.9</v>
      </c>
      <c r="K1497">
        <v>92</v>
      </c>
      <c r="L1497">
        <v>19.71</v>
      </c>
      <c r="M1497">
        <v>164.7</v>
      </c>
      <c r="N1497">
        <v>85</v>
      </c>
      <c r="O1497">
        <v>7.41</v>
      </c>
      <c r="P1497">
        <v>12.7</v>
      </c>
      <c r="Q1497">
        <v>6</v>
      </c>
      <c r="R1497">
        <v>3.43</v>
      </c>
      <c r="S1497">
        <v>1</v>
      </c>
      <c r="T1497" t="b">
        <v>0</v>
      </c>
    </row>
    <row r="1498" spans="1:20">
      <c r="A1498" t="s">
        <v>77</v>
      </c>
      <c r="B1498">
        <v>224</v>
      </c>
      <c r="C1498">
        <v>510</v>
      </c>
      <c r="D1498" t="s">
        <v>62</v>
      </c>
      <c r="E1498" t="s">
        <v>62</v>
      </c>
      <c r="F1498">
        <v>0</v>
      </c>
      <c r="G1498">
        <v>111.4</v>
      </c>
      <c r="H1498">
        <v>133</v>
      </c>
      <c r="I1498">
        <v>18.94</v>
      </c>
      <c r="J1498">
        <v>175</v>
      </c>
      <c r="K1498">
        <v>66</v>
      </c>
      <c r="L1498">
        <v>14.88</v>
      </c>
      <c r="M1498">
        <v>217.2</v>
      </c>
      <c r="N1498">
        <v>106</v>
      </c>
      <c r="O1498">
        <v>9.77</v>
      </c>
      <c r="P1498">
        <v>5.5</v>
      </c>
      <c r="Q1498">
        <v>6</v>
      </c>
      <c r="R1498">
        <v>1.49</v>
      </c>
      <c r="S1498">
        <v>3</v>
      </c>
      <c r="T1498" t="b">
        <v>0</v>
      </c>
    </row>
    <row r="1499" spans="1:20">
      <c r="A1499" t="s">
        <v>66</v>
      </c>
      <c r="B1499">
        <v>105</v>
      </c>
      <c r="C1499">
        <v>510</v>
      </c>
      <c r="D1499" t="s">
        <v>63</v>
      </c>
      <c r="E1499" t="s">
        <v>63</v>
      </c>
      <c r="F1499">
        <v>28</v>
      </c>
      <c r="G1499">
        <v>156.1</v>
      </c>
      <c r="H1499">
        <v>89</v>
      </c>
      <c r="I1499">
        <v>26.54</v>
      </c>
      <c r="J1499">
        <v>107.1</v>
      </c>
      <c r="K1499">
        <v>114</v>
      </c>
      <c r="L1499">
        <v>9.1</v>
      </c>
      <c r="M1499">
        <v>167.7</v>
      </c>
      <c r="N1499">
        <v>95</v>
      </c>
      <c r="O1499">
        <v>7.55</v>
      </c>
      <c r="P1499">
        <v>14.7</v>
      </c>
      <c r="Q1499">
        <v>3</v>
      </c>
      <c r="R1499">
        <v>3.97</v>
      </c>
      <c r="S1499">
        <v>0</v>
      </c>
      <c r="T1499" t="b">
        <v>1</v>
      </c>
    </row>
    <row r="1500" spans="1:20">
      <c r="A1500" t="s">
        <v>101</v>
      </c>
      <c r="B1500">
        <v>117</v>
      </c>
      <c r="C1500">
        <v>408</v>
      </c>
      <c r="D1500" t="s">
        <v>62</v>
      </c>
      <c r="E1500" t="s">
        <v>62</v>
      </c>
      <c r="F1500">
        <v>0</v>
      </c>
      <c r="G1500">
        <v>191.1</v>
      </c>
      <c r="H1500">
        <v>93</v>
      </c>
      <c r="I1500">
        <v>32.49</v>
      </c>
      <c r="J1500">
        <v>282.8</v>
      </c>
      <c r="K1500">
        <v>56</v>
      </c>
      <c r="L1500">
        <v>24.04</v>
      </c>
      <c r="M1500">
        <v>84.8</v>
      </c>
      <c r="N1500">
        <v>118</v>
      </c>
      <c r="O1500">
        <v>3.82</v>
      </c>
      <c r="P1500">
        <v>12</v>
      </c>
      <c r="Q1500">
        <v>4</v>
      </c>
      <c r="R1500">
        <v>3.24</v>
      </c>
      <c r="S1500">
        <v>2</v>
      </c>
      <c r="T1500" t="b">
        <v>0</v>
      </c>
    </row>
    <row r="1501" spans="1:20">
      <c r="A1501" t="s">
        <v>79</v>
      </c>
      <c r="B1501">
        <v>146</v>
      </c>
      <c r="C1501">
        <v>415</v>
      </c>
      <c r="D1501" t="s">
        <v>62</v>
      </c>
      <c r="E1501" t="s">
        <v>62</v>
      </c>
      <c r="F1501">
        <v>0</v>
      </c>
      <c r="G1501">
        <v>205.4</v>
      </c>
      <c r="H1501">
        <v>101</v>
      </c>
      <c r="I1501">
        <v>34.92</v>
      </c>
      <c r="J1501">
        <v>134.9</v>
      </c>
      <c r="K1501">
        <v>77</v>
      </c>
      <c r="L1501">
        <v>11.47</v>
      </c>
      <c r="M1501">
        <v>310.5</v>
      </c>
      <c r="N1501">
        <v>83</v>
      </c>
      <c r="O1501">
        <v>13.97</v>
      </c>
      <c r="P1501">
        <v>10.3</v>
      </c>
      <c r="Q1501">
        <v>2</v>
      </c>
      <c r="R1501">
        <v>2.78</v>
      </c>
      <c r="S1501">
        <v>3</v>
      </c>
      <c r="T1501" t="b">
        <v>0</v>
      </c>
    </row>
    <row r="1502" spans="1:20">
      <c r="A1502" t="s">
        <v>93</v>
      </c>
      <c r="B1502">
        <v>147</v>
      </c>
      <c r="C1502">
        <v>415</v>
      </c>
      <c r="D1502" t="s">
        <v>63</v>
      </c>
      <c r="E1502" t="s">
        <v>62</v>
      </c>
      <c r="F1502">
        <v>0</v>
      </c>
      <c r="G1502">
        <v>225.2</v>
      </c>
      <c r="H1502">
        <v>111</v>
      </c>
      <c r="I1502">
        <v>38.28</v>
      </c>
      <c r="J1502">
        <v>184.9</v>
      </c>
      <c r="K1502">
        <v>98</v>
      </c>
      <c r="L1502">
        <v>15.72</v>
      </c>
      <c r="M1502">
        <v>143.2</v>
      </c>
      <c r="N1502">
        <v>146</v>
      </c>
      <c r="O1502">
        <v>6.44</v>
      </c>
      <c r="P1502">
        <v>9.9</v>
      </c>
      <c r="Q1502">
        <v>1</v>
      </c>
      <c r="R1502">
        <v>2.67</v>
      </c>
      <c r="S1502">
        <v>0</v>
      </c>
      <c r="T1502" t="b">
        <v>1</v>
      </c>
    </row>
    <row r="1503" spans="1:20">
      <c r="A1503" t="s">
        <v>96</v>
      </c>
      <c r="B1503">
        <v>68</v>
      </c>
      <c r="C1503">
        <v>510</v>
      </c>
      <c r="D1503" t="s">
        <v>62</v>
      </c>
      <c r="E1503" t="s">
        <v>62</v>
      </c>
      <c r="F1503">
        <v>0</v>
      </c>
      <c r="G1503">
        <v>249.9</v>
      </c>
      <c r="H1503">
        <v>127</v>
      </c>
      <c r="I1503">
        <v>42.48</v>
      </c>
      <c r="J1503">
        <v>254.5</v>
      </c>
      <c r="K1503">
        <v>118</v>
      </c>
      <c r="L1503">
        <v>21.63</v>
      </c>
      <c r="M1503">
        <v>273.2</v>
      </c>
      <c r="N1503">
        <v>98</v>
      </c>
      <c r="O1503">
        <v>12.29</v>
      </c>
      <c r="P1503">
        <v>8.9</v>
      </c>
      <c r="Q1503">
        <v>6</v>
      </c>
      <c r="R1503">
        <v>2.4</v>
      </c>
      <c r="S1503">
        <v>2</v>
      </c>
      <c r="T1503" t="b">
        <v>1</v>
      </c>
    </row>
    <row r="1504" spans="1:20">
      <c r="A1504" t="s">
        <v>103</v>
      </c>
      <c r="B1504">
        <v>68</v>
      </c>
      <c r="C1504">
        <v>408</v>
      </c>
      <c r="D1504" t="s">
        <v>62</v>
      </c>
      <c r="E1504" t="s">
        <v>62</v>
      </c>
      <c r="F1504">
        <v>0</v>
      </c>
      <c r="G1504">
        <v>131.6</v>
      </c>
      <c r="H1504">
        <v>89</v>
      </c>
      <c r="I1504">
        <v>22.37</v>
      </c>
      <c r="J1504">
        <v>137</v>
      </c>
      <c r="K1504">
        <v>109</v>
      </c>
      <c r="L1504">
        <v>11.65</v>
      </c>
      <c r="M1504">
        <v>256.3</v>
      </c>
      <c r="N1504">
        <v>107</v>
      </c>
      <c r="O1504">
        <v>11.53</v>
      </c>
      <c r="P1504">
        <v>10.2</v>
      </c>
      <c r="Q1504">
        <v>5</v>
      </c>
      <c r="R1504">
        <v>2.75</v>
      </c>
      <c r="S1504">
        <v>3</v>
      </c>
      <c r="T1504" t="b">
        <v>0</v>
      </c>
    </row>
    <row r="1505" spans="1:20">
      <c r="A1505" t="s">
        <v>78</v>
      </c>
      <c r="B1505">
        <v>159</v>
      </c>
      <c r="C1505">
        <v>415</v>
      </c>
      <c r="D1505" t="s">
        <v>62</v>
      </c>
      <c r="E1505" t="s">
        <v>62</v>
      </c>
      <c r="F1505">
        <v>0</v>
      </c>
      <c r="G1505">
        <v>275.8</v>
      </c>
      <c r="H1505">
        <v>103</v>
      </c>
      <c r="I1505">
        <v>46.89</v>
      </c>
      <c r="J1505">
        <v>189.5</v>
      </c>
      <c r="K1505">
        <v>108</v>
      </c>
      <c r="L1505">
        <v>16.11</v>
      </c>
      <c r="M1505">
        <v>223.9</v>
      </c>
      <c r="N1505">
        <v>93</v>
      </c>
      <c r="O1505">
        <v>10.08</v>
      </c>
      <c r="P1505">
        <v>7.4</v>
      </c>
      <c r="Q1505">
        <v>5</v>
      </c>
      <c r="R1505">
        <v>2</v>
      </c>
      <c r="S1505">
        <v>2</v>
      </c>
      <c r="T1505" t="b">
        <v>1</v>
      </c>
    </row>
    <row r="1506" spans="1:20">
      <c r="A1506" t="s">
        <v>83</v>
      </c>
      <c r="B1506">
        <v>134</v>
      </c>
      <c r="C1506">
        <v>415</v>
      </c>
      <c r="D1506" t="s">
        <v>62</v>
      </c>
      <c r="E1506" t="s">
        <v>63</v>
      </c>
      <c r="F1506">
        <v>40</v>
      </c>
      <c r="G1506">
        <v>142.9</v>
      </c>
      <c r="H1506">
        <v>105</v>
      </c>
      <c r="I1506">
        <v>24.29</v>
      </c>
      <c r="J1506">
        <v>88.6</v>
      </c>
      <c r="K1506">
        <v>61</v>
      </c>
      <c r="L1506">
        <v>7.53</v>
      </c>
      <c r="M1506">
        <v>290</v>
      </c>
      <c r="N1506">
        <v>96</v>
      </c>
      <c r="O1506">
        <v>13.05</v>
      </c>
      <c r="P1506">
        <v>10.8</v>
      </c>
      <c r="Q1506">
        <v>6</v>
      </c>
      <c r="R1506">
        <v>2.92</v>
      </c>
      <c r="S1506">
        <v>1</v>
      </c>
      <c r="T1506" t="b">
        <v>0</v>
      </c>
    </row>
    <row r="1507" spans="1:20">
      <c r="A1507" t="s">
        <v>78</v>
      </c>
      <c r="B1507">
        <v>113</v>
      </c>
      <c r="C1507">
        <v>510</v>
      </c>
      <c r="D1507" t="s">
        <v>62</v>
      </c>
      <c r="E1507" t="s">
        <v>62</v>
      </c>
      <c r="F1507">
        <v>0</v>
      </c>
      <c r="G1507">
        <v>207.2</v>
      </c>
      <c r="H1507">
        <v>113</v>
      </c>
      <c r="I1507">
        <v>35.22</v>
      </c>
      <c r="J1507">
        <v>256</v>
      </c>
      <c r="K1507">
        <v>80</v>
      </c>
      <c r="L1507">
        <v>21.76</v>
      </c>
      <c r="M1507">
        <v>211</v>
      </c>
      <c r="N1507">
        <v>87</v>
      </c>
      <c r="O1507">
        <v>9.49</v>
      </c>
      <c r="P1507">
        <v>9.9</v>
      </c>
      <c r="Q1507">
        <v>1</v>
      </c>
      <c r="R1507">
        <v>2.67</v>
      </c>
      <c r="S1507">
        <v>1</v>
      </c>
      <c r="T1507" t="b">
        <v>0</v>
      </c>
    </row>
    <row r="1508" spans="1:20">
      <c r="A1508" t="s">
        <v>69</v>
      </c>
      <c r="B1508">
        <v>132</v>
      </c>
      <c r="C1508">
        <v>408</v>
      </c>
      <c r="D1508" t="s">
        <v>62</v>
      </c>
      <c r="E1508" t="s">
        <v>62</v>
      </c>
      <c r="F1508">
        <v>0</v>
      </c>
      <c r="G1508">
        <v>206.2</v>
      </c>
      <c r="H1508">
        <v>100</v>
      </c>
      <c r="I1508">
        <v>35.05</v>
      </c>
      <c r="J1508">
        <v>211.2</v>
      </c>
      <c r="K1508">
        <v>118</v>
      </c>
      <c r="L1508">
        <v>17.95</v>
      </c>
      <c r="M1508">
        <v>196.2</v>
      </c>
      <c r="N1508">
        <v>122</v>
      </c>
      <c r="O1508">
        <v>8.83</v>
      </c>
      <c r="P1508">
        <v>10.2</v>
      </c>
      <c r="Q1508">
        <v>6</v>
      </c>
      <c r="R1508">
        <v>2.75</v>
      </c>
      <c r="S1508">
        <v>1</v>
      </c>
      <c r="T1508" t="b">
        <v>0</v>
      </c>
    </row>
    <row r="1509" spans="1:20">
      <c r="A1509" t="s">
        <v>65</v>
      </c>
      <c r="B1509">
        <v>93</v>
      </c>
      <c r="C1509">
        <v>510</v>
      </c>
      <c r="D1509" t="s">
        <v>63</v>
      </c>
      <c r="E1509" t="s">
        <v>63</v>
      </c>
      <c r="F1509">
        <v>38</v>
      </c>
      <c r="G1509">
        <v>225.7</v>
      </c>
      <c r="H1509">
        <v>117</v>
      </c>
      <c r="I1509">
        <v>38.37</v>
      </c>
      <c r="J1509">
        <v>119.6</v>
      </c>
      <c r="K1509">
        <v>122</v>
      </c>
      <c r="L1509">
        <v>10.17</v>
      </c>
      <c r="M1509">
        <v>193.2</v>
      </c>
      <c r="N1509">
        <v>125</v>
      </c>
      <c r="O1509">
        <v>8.69</v>
      </c>
      <c r="P1509">
        <v>14</v>
      </c>
      <c r="Q1509">
        <v>7</v>
      </c>
      <c r="R1509">
        <v>3.78</v>
      </c>
      <c r="S1509">
        <v>1</v>
      </c>
      <c r="T1509" t="b">
        <v>1</v>
      </c>
    </row>
    <row r="1510" spans="1:20">
      <c r="A1510" t="s">
        <v>101</v>
      </c>
      <c r="B1510">
        <v>174</v>
      </c>
      <c r="C1510">
        <v>408</v>
      </c>
      <c r="D1510" t="s">
        <v>62</v>
      </c>
      <c r="E1510" t="s">
        <v>63</v>
      </c>
      <c r="F1510">
        <v>33</v>
      </c>
      <c r="G1510">
        <v>167.8</v>
      </c>
      <c r="H1510">
        <v>91</v>
      </c>
      <c r="I1510">
        <v>28.53</v>
      </c>
      <c r="J1510">
        <v>205.3</v>
      </c>
      <c r="K1510">
        <v>91</v>
      </c>
      <c r="L1510">
        <v>17.45</v>
      </c>
      <c r="M1510">
        <v>130</v>
      </c>
      <c r="N1510">
        <v>132</v>
      </c>
      <c r="O1510">
        <v>5.85</v>
      </c>
      <c r="P1510">
        <v>14.5</v>
      </c>
      <c r="Q1510">
        <v>4</v>
      </c>
      <c r="R1510">
        <v>3.92</v>
      </c>
      <c r="S1510">
        <v>4</v>
      </c>
      <c r="T1510" t="b">
        <v>1</v>
      </c>
    </row>
    <row r="1511" spans="1:20">
      <c r="A1511" t="s">
        <v>106</v>
      </c>
      <c r="B1511">
        <v>61</v>
      </c>
      <c r="C1511">
        <v>415</v>
      </c>
      <c r="D1511" t="s">
        <v>62</v>
      </c>
      <c r="E1511" t="s">
        <v>62</v>
      </c>
      <c r="F1511">
        <v>0</v>
      </c>
      <c r="G1511">
        <v>197.7</v>
      </c>
      <c r="H1511">
        <v>118</v>
      </c>
      <c r="I1511">
        <v>33.61</v>
      </c>
      <c r="J1511">
        <v>152.2</v>
      </c>
      <c r="K1511">
        <v>96</v>
      </c>
      <c r="L1511">
        <v>12.94</v>
      </c>
      <c r="M1511">
        <v>221</v>
      </c>
      <c r="N1511">
        <v>93</v>
      </c>
      <c r="O1511">
        <v>9.95</v>
      </c>
      <c r="P1511">
        <v>7</v>
      </c>
      <c r="Q1511">
        <v>3</v>
      </c>
      <c r="R1511">
        <v>1.89</v>
      </c>
      <c r="S1511">
        <v>2</v>
      </c>
      <c r="T1511" t="b">
        <v>0</v>
      </c>
    </row>
    <row r="1512" spans="1:20">
      <c r="A1512" t="s">
        <v>105</v>
      </c>
      <c r="B1512">
        <v>91</v>
      </c>
      <c r="C1512">
        <v>415</v>
      </c>
      <c r="D1512" t="s">
        <v>62</v>
      </c>
      <c r="E1512" t="s">
        <v>63</v>
      </c>
      <c r="F1512">
        <v>39</v>
      </c>
      <c r="G1512">
        <v>169.8</v>
      </c>
      <c r="H1512">
        <v>105</v>
      </c>
      <c r="I1512">
        <v>28.87</v>
      </c>
      <c r="J1512">
        <v>65.2</v>
      </c>
      <c r="K1512">
        <v>116</v>
      </c>
      <c r="L1512">
        <v>5.54</v>
      </c>
      <c r="M1512">
        <v>144.4</v>
      </c>
      <c r="N1512">
        <v>92</v>
      </c>
      <c r="O1512">
        <v>6.5</v>
      </c>
      <c r="P1512">
        <v>10.9</v>
      </c>
      <c r="Q1512">
        <v>4</v>
      </c>
      <c r="R1512">
        <v>2.94</v>
      </c>
      <c r="S1512">
        <v>1</v>
      </c>
      <c r="T1512" t="b">
        <v>0</v>
      </c>
    </row>
    <row r="1513" spans="1:20">
      <c r="A1513" t="s">
        <v>84</v>
      </c>
      <c r="B1513">
        <v>88</v>
      </c>
      <c r="C1513">
        <v>408</v>
      </c>
      <c r="D1513" t="s">
        <v>62</v>
      </c>
      <c r="E1513" t="s">
        <v>63</v>
      </c>
      <c r="F1513">
        <v>28</v>
      </c>
      <c r="G1513">
        <v>190.6</v>
      </c>
      <c r="H1513">
        <v>104</v>
      </c>
      <c r="I1513">
        <v>32.4</v>
      </c>
      <c r="J1513">
        <v>237.3</v>
      </c>
      <c r="K1513">
        <v>105</v>
      </c>
      <c r="L1513">
        <v>20.17</v>
      </c>
      <c r="M1513">
        <v>211.6</v>
      </c>
      <c r="N1513">
        <v>116</v>
      </c>
      <c r="O1513">
        <v>9.52</v>
      </c>
      <c r="P1513">
        <v>9.8</v>
      </c>
      <c r="Q1513">
        <v>1</v>
      </c>
      <c r="R1513">
        <v>2.65</v>
      </c>
      <c r="S1513">
        <v>2</v>
      </c>
      <c r="T1513" t="b">
        <v>0</v>
      </c>
    </row>
    <row r="1514" spans="1:20">
      <c r="A1514" t="s">
        <v>68</v>
      </c>
      <c r="B1514">
        <v>88</v>
      </c>
      <c r="C1514">
        <v>408</v>
      </c>
      <c r="D1514" t="s">
        <v>62</v>
      </c>
      <c r="E1514" t="s">
        <v>63</v>
      </c>
      <c r="F1514">
        <v>45</v>
      </c>
      <c r="G1514">
        <v>80.3</v>
      </c>
      <c r="H1514">
        <v>140</v>
      </c>
      <c r="I1514">
        <v>13.65</v>
      </c>
      <c r="J1514">
        <v>153.3</v>
      </c>
      <c r="K1514">
        <v>101</v>
      </c>
      <c r="L1514">
        <v>13.03</v>
      </c>
      <c r="M1514">
        <v>309.2</v>
      </c>
      <c r="N1514">
        <v>123</v>
      </c>
      <c r="O1514">
        <v>13.91</v>
      </c>
      <c r="P1514">
        <v>12.8</v>
      </c>
      <c r="Q1514">
        <v>3</v>
      </c>
      <c r="R1514">
        <v>3.46</v>
      </c>
      <c r="S1514">
        <v>2</v>
      </c>
      <c r="T1514" t="b">
        <v>0</v>
      </c>
    </row>
    <row r="1515" spans="1:20">
      <c r="A1515" t="s">
        <v>103</v>
      </c>
      <c r="B1515">
        <v>182</v>
      </c>
      <c r="C1515">
        <v>415</v>
      </c>
      <c r="D1515" t="s">
        <v>62</v>
      </c>
      <c r="E1515" t="s">
        <v>62</v>
      </c>
      <c r="F1515">
        <v>0</v>
      </c>
      <c r="G1515">
        <v>69.1</v>
      </c>
      <c r="H1515">
        <v>114</v>
      </c>
      <c r="I1515">
        <v>11.75</v>
      </c>
      <c r="J1515">
        <v>230.3</v>
      </c>
      <c r="K1515">
        <v>109</v>
      </c>
      <c r="L1515">
        <v>19.58</v>
      </c>
      <c r="M1515">
        <v>256.7</v>
      </c>
      <c r="N1515">
        <v>96</v>
      </c>
      <c r="O1515">
        <v>11.55</v>
      </c>
      <c r="P1515">
        <v>6.5</v>
      </c>
      <c r="Q1515">
        <v>4</v>
      </c>
      <c r="R1515">
        <v>1.76</v>
      </c>
      <c r="S1515">
        <v>0</v>
      </c>
      <c r="T1515" t="b">
        <v>0</v>
      </c>
    </row>
    <row r="1516" spans="1:20">
      <c r="A1516" t="s">
        <v>82</v>
      </c>
      <c r="B1516">
        <v>118</v>
      </c>
      <c r="C1516">
        <v>408</v>
      </c>
      <c r="D1516" t="s">
        <v>62</v>
      </c>
      <c r="E1516" t="s">
        <v>62</v>
      </c>
      <c r="F1516">
        <v>0</v>
      </c>
      <c r="G1516">
        <v>188.8</v>
      </c>
      <c r="H1516">
        <v>60</v>
      </c>
      <c r="I1516">
        <v>32.1</v>
      </c>
      <c r="J1516">
        <v>217.4</v>
      </c>
      <c r="K1516">
        <v>64</v>
      </c>
      <c r="L1516">
        <v>18.48</v>
      </c>
      <c r="M1516">
        <v>220.1</v>
      </c>
      <c r="N1516">
        <v>100</v>
      </c>
      <c r="O1516">
        <v>9.9</v>
      </c>
      <c r="P1516">
        <v>8.2</v>
      </c>
      <c r="Q1516">
        <v>7</v>
      </c>
      <c r="R1516">
        <v>2.21</v>
      </c>
      <c r="S1516">
        <v>4</v>
      </c>
      <c r="T1516" t="b">
        <v>0</v>
      </c>
    </row>
    <row r="1517" spans="1:20">
      <c r="A1517" t="s">
        <v>87</v>
      </c>
      <c r="B1517">
        <v>103</v>
      </c>
      <c r="C1517">
        <v>408</v>
      </c>
      <c r="D1517" t="s">
        <v>62</v>
      </c>
      <c r="E1517" t="s">
        <v>62</v>
      </c>
      <c r="F1517">
        <v>0</v>
      </c>
      <c r="G1517">
        <v>150.6</v>
      </c>
      <c r="H1517">
        <v>125</v>
      </c>
      <c r="I1517">
        <v>25.6</v>
      </c>
      <c r="J1517">
        <v>169.1</v>
      </c>
      <c r="K1517">
        <v>126</v>
      </c>
      <c r="L1517">
        <v>14.37</v>
      </c>
      <c r="M1517">
        <v>221.2</v>
      </c>
      <c r="N1517">
        <v>104</v>
      </c>
      <c r="O1517">
        <v>9.95</v>
      </c>
      <c r="P1517">
        <v>10.4</v>
      </c>
      <c r="Q1517">
        <v>8</v>
      </c>
      <c r="R1517">
        <v>2.81</v>
      </c>
      <c r="S1517">
        <v>8</v>
      </c>
      <c r="T1517" t="b">
        <v>1</v>
      </c>
    </row>
    <row r="1518" spans="1:20">
      <c r="A1518" t="s">
        <v>86</v>
      </c>
      <c r="B1518">
        <v>65</v>
      </c>
      <c r="C1518">
        <v>510</v>
      </c>
      <c r="D1518" t="s">
        <v>62</v>
      </c>
      <c r="E1518" t="s">
        <v>62</v>
      </c>
      <c r="F1518">
        <v>0</v>
      </c>
      <c r="G1518">
        <v>192</v>
      </c>
      <c r="H1518">
        <v>89</v>
      </c>
      <c r="I1518">
        <v>32.64</v>
      </c>
      <c r="J1518">
        <v>139.5</v>
      </c>
      <c r="K1518">
        <v>88</v>
      </c>
      <c r="L1518">
        <v>11.86</v>
      </c>
      <c r="M1518">
        <v>187.4</v>
      </c>
      <c r="N1518">
        <v>102</v>
      </c>
      <c r="O1518">
        <v>8.43</v>
      </c>
      <c r="P1518">
        <v>5.5</v>
      </c>
      <c r="Q1518">
        <v>4</v>
      </c>
      <c r="R1518">
        <v>1.49</v>
      </c>
      <c r="S1518">
        <v>2</v>
      </c>
      <c r="T1518" t="b">
        <v>0</v>
      </c>
    </row>
    <row r="1519" spans="1:20">
      <c r="A1519" t="s">
        <v>97</v>
      </c>
      <c r="B1519">
        <v>61</v>
      </c>
      <c r="C1519">
        <v>408</v>
      </c>
      <c r="D1519" t="s">
        <v>62</v>
      </c>
      <c r="E1519" t="s">
        <v>63</v>
      </c>
      <c r="F1519">
        <v>25</v>
      </c>
      <c r="G1519">
        <v>163.7</v>
      </c>
      <c r="H1519">
        <v>78</v>
      </c>
      <c r="I1519">
        <v>27.83</v>
      </c>
      <c r="J1519">
        <v>113.2</v>
      </c>
      <c r="K1519">
        <v>112</v>
      </c>
      <c r="L1519">
        <v>9.62</v>
      </c>
      <c r="M1519">
        <v>134.1</v>
      </c>
      <c r="N1519">
        <v>118</v>
      </c>
      <c r="O1519">
        <v>6.03</v>
      </c>
      <c r="P1519">
        <v>9.9</v>
      </c>
      <c r="Q1519">
        <v>3</v>
      </c>
      <c r="R1519">
        <v>2.67</v>
      </c>
      <c r="S1519">
        <v>3</v>
      </c>
      <c r="T1519" t="b">
        <v>0</v>
      </c>
    </row>
    <row r="1520" spans="1:20">
      <c r="A1520" t="s">
        <v>71</v>
      </c>
      <c r="B1520">
        <v>172</v>
      </c>
      <c r="C1520">
        <v>415</v>
      </c>
      <c r="D1520" t="s">
        <v>62</v>
      </c>
      <c r="E1520" t="s">
        <v>62</v>
      </c>
      <c r="F1520">
        <v>0</v>
      </c>
      <c r="G1520">
        <v>211.7</v>
      </c>
      <c r="H1520">
        <v>100</v>
      </c>
      <c r="I1520">
        <v>35.99</v>
      </c>
      <c r="J1520">
        <v>198.7</v>
      </c>
      <c r="K1520">
        <v>101</v>
      </c>
      <c r="L1520">
        <v>16.89</v>
      </c>
      <c r="M1520">
        <v>301.7</v>
      </c>
      <c r="N1520">
        <v>136</v>
      </c>
      <c r="O1520">
        <v>13.58</v>
      </c>
      <c r="P1520">
        <v>6.5</v>
      </c>
      <c r="Q1520">
        <v>9</v>
      </c>
      <c r="R1520">
        <v>1.76</v>
      </c>
      <c r="S1520">
        <v>1</v>
      </c>
      <c r="T1520" t="b">
        <v>0</v>
      </c>
    </row>
    <row r="1521" spans="1:20">
      <c r="A1521" t="s">
        <v>65</v>
      </c>
      <c r="B1521">
        <v>72</v>
      </c>
      <c r="C1521">
        <v>415</v>
      </c>
      <c r="D1521" t="s">
        <v>62</v>
      </c>
      <c r="E1521" t="s">
        <v>62</v>
      </c>
      <c r="F1521">
        <v>0</v>
      </c>
      <c r="G1521">
        <v>175.5</v>
      </c>
      <c r="H1521">
        <v>103</v>
      </c>
      <c r="I1521">
        <v>29.84</v>
      </c>
      <c r="J1521">
        <v>132.3</v>
      </c>
      <c r="K1521">
        <v>120</v>
      </c>
      <c r="L1521">
        <v>11.25</v>
      </c>
      <c r="M1521">
        <v>242.9</v>
      </c>
      <c r="N1521">
        <v>96</v>
      </c>
      <c r="O1521">
        <v>10.93</v>
      </c>
      <c r="P1521">
        <v>11.8</v>
      </c>
      <c r="Q1521">
        <v>3</v>
      </c>
      <c r="R1521">
        <v>3.19</v>
      </c>
      <c r="S1521">
        <v>1</v>
      </c>
      <c r="T1521" t="b">
        <v>0</v>
      </c>
    </row>
    <row r="1522" spans="1:20">
      <c r="A1522" t="s">
        <v>103</v>
      </c>
      <c r="B1522">
        <v>113</v>
      </c>
      <c r="C1522">
        <v>510</v>
      </c>
      <c r="D1522" t="s">
        <v>62</v>
      </c>
      <c r="E1522" t="s">
        <v>62</v>
      </c>
      <c r="F1522">
        <v>0</v>
      </c>
      <c r="G1522">
        <v>150.1</v>
      </c>
      <c r="H1522">
        <v>120</v>
      </c>
      <c r="I1522">
        <v>25.52</v>
      </c>
      <c r="J1522">
        <v>200.1</v>
      </c>
      <c r="K1522">
        <v>85</v>
      </c>
      <c r="L1522">
        <v>17.01</v>
      </c>
      <c r="M1522">
        <v>266.7</v>
      </c>
      <c r="N1522">
        <v>105</v>
      </c>
      <c r="O1522">
        <v>12</v>
      </c>
      <c r="P1522">
        <v>11</v>
      </c>
      <c r="Q1522">
        <v>3</v>
      </c>
      <c r="R1522">
        <v>2.97</v>
      </c>
      <c r="S1522">
        <v>2</v>
      </c>
      <c r="T1522" t="b">
        <v>0</v>
      </c>
    </row>
    <row r="1523" spans="1:20">
      <c r="A1523" t="s">
        <v>103</v>
      </c>
      <c r="B1523">
        <v>67</v>
      </c>
      <c r="C1523">
        <v>415</v>
      </c>
      <c r="D1523" t="s">
        <v>62</v>
      </c>
      <c r="E1523" t="s">
        <v>62</v>
      </c>
      <c r="F1523">
        <v>0</v>
      </c>
      <c r="G1523">
        <v>215.5</v>
      </c>
      <c r="H1523">
        <v>102</v>
      </c>
      <c r="I1523">
        <v>36.64</v>
      </c>
      <c r="J1523">
        <v>190.7</v>
      </c>
      <c r="K1523">
        <v>95</v>
      </c>
      <c r="L1523">
        <v>16.21</v>
      </c>
      <c r="M1523">
        <v>214.5</v>
      </c>
      <c r="N1523">
        <v>106</v>
      </c>
      <c r="O1523">
        <v>9.65</v>
      </c>
      <c r="P1523">
        <v>8.6</v>
      </c>
      <c r="Q1523">
        <v>6</v>
      </c>
      <c r="R1523">
        <v>2.32</v>
      </c>
      <c r="S1523">
        <v>1</v>
      </c>
      <c r="T1523" t="b">
        <v>0</v>
      </c>
    </row>
    <row r="1524" spans="1:20">
      <c r="A1524" t="s">
        <v>95</v>
      </c>
      <c r="B1524">
        <v>136</v>
      </c>
      <c r="C1524">
        <v>415</v>
      </c>
      <c r="D1524" t="s">
        <v>62</v>
      </c>
      <c r="E1524" t="s">
        <v>62</v>
      </c>
      <c r="F1524">
        <v>0</v>
      </c>
      <c r="G1524">
        <v>101.7</v>
      </c>
      <c r="H1524">
        <v>105</v>
      </c>
      <c r="I1524">
        <v>17.29</v>
      </c>
      <c r="J1524">
        <v>202.8</v>
      </c>
      <c r="K1524">
        <v>99</v>
      </c>
      <c r="L1524">
        <v>17.24</v>
      </c>
      <c r="M1524">
        <v>136.2</v>
      </c>
      <c r="N1524">
        <v>119</v>
      </c>
      <c r="O1524">
        <v>6.13</v>
      </c>
      <c r="P1524">
        <v>9.4</v>
      </c>
      <c r="Q1524">
        <v>6</v>
      </c>
      <c r="R1524">
        <v>2.54</v>
      </c>
      <c r="S1524">
        <v>3</v>
      </c>
      <c r="T1524" t="b">
        <v>0</v>
      </c>
    </row>
    <row r="1525" spans="1:20">
      <c r="A1525" t="s">
        <v>89</v>
      </c>
      <c r="B1525">
        <v>71</v>
      </c>
      <c r="C1525">
        <v>415</v>
      </c>
      <c r="D1525" t="s">
        <v>62</v>
      </c>
      <c r="E1525" t="s">
        <v>62</v>
      </c>
      <c r="F1525">
        <v>0</v>
      </c>
      <c r="G1525">
        <v>258.4</v>
      </c>
      <c r="H1525">
        <v>132</v>
      </c>
      <c r="I1525">
        <v>43.93</v>
      </c>
      <c r="J1525">
        <v>126.8</v>
      </c>
      <c r="K1525">
        <v>119</v>
      </c>
      <c r="L1525">
        <v>10.78</v>
      </c>
      <c r="M1525">
        <v>182.4</v>
      </c>
      <c r="N1525">
        <v>87</v>
      </c>
      <c r="O1525">
        <v>8.21</v>
      </c>
      <c r="P1525">
        <v>9.7</v>
      </c>
      <c r="Q1525">
        <v>8</v>
      </c>
      <c r="R1525">
        <v>2.62</v>
      </c>
      <c r="S1525">
        <v>4</v>
      </c>
      <c r="T1525" t="b">
        <v>0</v>
      </c>
    </row>
    <row r="1526" spans="1:20">
      <c r="A1526" t="s">
        <v>114</v>
      </c>
      <c r="B1526">
        <v>134</v>
      </c>
      <c r="C1526">
        <v>408</v>
      </c>
      <c r="D1526" t="s">
        <v>62</v>
      </c>
      <c r="E1526" t="s">
        <v>62</v>
      </c>
      <c r="F1526">
        <v>0</v>
      </c>
      <c r="G1526">
        <v>242.4</v>
      </c>
      <c r="H1526">
        <v>126</v>
      </c>
      <c r="I1526">
        <v>41.21</v>
      </c>
      <c r="J1526">
        <v>152.9</v>
      </c>
      <c r="K1526">
        <v>115</v>
      </c>
      <c r="L1526">
        <v>13</v>
      </c>
      <c r="M1526">
        <v>318.3</v>
      </c>
      <c r="N1526">
        <v>115</v>
      </c>
      <c r="O1526">
        <v>14.32</v>
      </c>
      <c r="P1526">
        <v>11.8</v>
      </c>
      <c r="Q1526">
        <v>6</v>
      </c>
      <c r="R1526">
        <v>3.19</v>
      </c>
      <c r="S1526">
        <v>1</v>
      </c>
      <c r="T1526" t="b">
        <v>0</v>
      </c>
    </row>
    <row r="1527" spans="1:20">
      <c r="A1527" t="s">
        <v>65</v>
      </c>
      <c r="B1527">
        <v>84</v>
      </c>
      <c r="C1527">
        <v>415</v>
      </c>
      <c r="D1527" t="s">
        <v>62</v>
      </c>
      <c r="E1527" t="s">
        <v>62</v>
      </c>
      <c r="F1527">
        <v>0</v>
      </c>
      <c r="G1527">
        <v>190.2</v>
      </c>
      <c r="H1527">
        <v>102</v>
      </c>
      <c r="I1527">
        <v>32.33</v>
      </c>
      <c r="J1527">
        <v>197.7</v>
      </c>
      <c r="K1527">
        <v>141</v>
      </c>
      <c r="L1527">
        <v>16.8</v>
      </c>
      <c r="M1527">
        <v>247.5</v>
      </c>
      <c r="N1527">
        <v>102</v>
      </c>
      <c r="O1527">
        <v>11.14</v>
      </c>
      <c r="P1527">
        <v>9.8</v>
      </c>
      <c r="Q1527">
        <v>6</v>
      </c>
      <c r="R1527">
        <v>2.65</v>
      </c>
      <c r="S1527">
        <v>2</v>
      </c>
      <c r="T1527" t="b">
        <v>0</v>
      </c>
    </row>
    <row r="1528" spans="1:20">
      <c r="A1528" t="s">
        <v>108</v>
      </c>
      <c r="B1528">
        <v>39</v>
      </c>
      <c r="C1528">
        <v>408</v>
      </c>
      <c r="D1528" t="s">
        <v>62</v>
      </c>
      <c r="E1528" t="s">
        <v>62</v>
      </c>
      <c r="F1528">
        <v>0</v>
      </c>
      <c r="G1528">
        <v>154.1</v>
      </c>
      <c r="H1528">
        <v>104</v>
      </c>
      <c r="I1528">
        <v>26.2</v>
      </c>
      <c r="J1528">
        <v>204.2</v>
      </c>
      <c r="K1528">
        <v>112</v>
      </c>
      <c r="L1528">
        <v>17.36</v>
      </c>
      <c r="M1528">
        <v>196.2</v>
      </c>
      <c r="N1528">
        <v>92</v>
      </c>
      <c r="O1528">
        <v>8.83</v>
      </c>
      <c r="P1528">
        <v>9.8</v>
      </c>
      <c r="Q1528">
        <v>4</v>
      </c>
      <c r="R1528">
        <v>2.65</v>
      </c>
      <c r="S1528">
        <v>2</v>
      </c>
      <c r="T1528" t="b">
        <v>0</v>
      </c>
    </row>
    <row r="1529" spans="1:20">
      <c r="A1529" t="s">
        <v>66</v>
      </c>
      <c r="B1529">
        <v>110</v>
      </c>
      <c r="C1529">
        <v>510</v>
      </c>
      <c r="D1529" t="s">
        <v>62</v>
      </c>
      <c r="E1529" t="s">
        <v>62</v>
      </c>
      <c r="F1529">
        <v>0</v>
      </c>
      <c r="G1529">
        <v>188</v>
      </c>
      <c r="H1529">
        <v>127</v>
      </c>
      <c r="I1529">
        <v>31.96</v>
      </c>
      <c r="J1529">
        <v>90.5</v>
      </c>
      <c r="K1529">
        <v>118</v>
      </c>
      <c r="L1529">
        <v>7.69</v>
      </c>
      <c r="M1529">
        <v>150.3</v>
      </c>
      <c r="N1529">
        <v>64</v>
      </c>
      <c r="O1529">
        <v>6.76</v>
      </c>
      <c r="P1529">
        <v>15.3</v>
      </c>
      <c r="Q1529">
        <v>3</v>
      </c>
      <c r="R1529">
        <v>4.13</v>
      </c>
      <c r="S1529">
        <v>3</v>
      </c>
      <c r="T1529" t="b">
        <v>0</v>
      </c>
    </row>
    <row r="1530" spans="1:20">
      <c r="A1530" t="s">
        <v>112</v>
      </c>
      <c r="B1530">
        <v>102</v>
      </c>
      <c r="C1530">
        <v>510</v>
      </c>
      <c r="D1530" t="s">
        <v>62</v>
      </c>
      <c r="E1530" t="s">
        <v>62</v>
      </c>
      <c r="F1530">
        <v>0</v>
      </c>
      <c r="G1530">
        <v>103.1</v>
      </c>
      <c r="H1530">
        <v>70</v>
      </c>
      <c r="I1530">
        <v>17.53</v>
      </c>
      <c r="J1530">
        <v>275</v>
      </c>
      <c r="K1530">
        <v>129</v>
      </c>
      <c r="L1530">
        <v>23.38</v>
      </c>
      <c r="M1530">
        <v>141.1</v>
      </c>
      <c r="N1530">
        <v>92</v>
      </c>
      <c r="O1530">
        <v>6.35</v>
      </c>
      <c r="P1530">
        <v>11.2</v>
      </c>
      <c r="Q1530">
        <v>5</v>
      </c>
      <c r="R1530">
        <v>3.02</v>
      </c>
      <c r="S1530">
        <v>1</v>
      </c>
      <c r="T1530" t="b">
        <v>0</v>
      </c>
    </row>
    <row r="1531" spans="1:20">
      <c r="A1531" t="s">
        <v>85</v>
      </c>
      <c r="B1531">
        <v>70</v>
      </c>
      <c r="C1531">
        <v>415</v>
      </c>
      <c r="D1531" t="s">
        <v>62</v>
      </c>
      <c r="E1531" t="s">
        <v>62</v>
      </c>
      <c r="F1531">
        <v>0</v>
      </c>
      <c r="G1531">
        <v>175.4</v>
      </c>
      <c r="H1531">
        <v>130</v>
      </c>
      <c r="I1531">
        <v>29.82</v>
      </c>
      <c r="J1531">
        <v>159.5</v>
      </c>
      <c r="K1531">
        <v>130</v>
      </c>
      <c r="L1531">
        <v>13.56</v>
      </c>
      <c r="M1531">
        <v>260.6</v>
      </c>
      <c r="N1531">
        <v>96</v>
      </c>
      <c r="O1531">
        <v>11.73</v>
      </c>
      <c r="P1531">
        <v>11.6</v>
      </c>
      <c r="Q1531">
        <v>4</v>
      </c>
      <c r="R1531">
        <v>3.13</v>
      </c>
      <c r="S1531">
        <v>0</v>
      </c>
      <c r="T1531" t="b">
        <v>0</v>
      </c>
    </row>
    <row r="1532" spans="1:20">
      <c r="A1532" t="s">
        <v>106</v>
      </c>
      <c r="B1532">
        <v>142</v>
      </c>
      <c r="C1532">
        <v>415</v>
      </c>
      <c r="D1532" t="s">
        <v>62</v>
      </c>
      <c r="E1532" t="s">
        <v>62</v>
      </c>
      <c r="F1532">
        <v>0</v>
      </c>
      <c r="G1532">
        <v>145.4</v>
      </c>
      <c r="H1532">
        <v>93</v>
      </c>
      <c r="I1532">
        <v>24.72</v>
      </c>
      <c r="J1532">
        <v>209.1</v>
      </c>
      <c r="K1532">
        <v>98</v>
      </c>
      <c r="L1532">
        <v>17.77</v>
      </c>
      <c r="M1532">
        <v>214</v>
      </c>
      <c r="N1532">
        <v>96</v>
      </c>
      <c r="O1532">
        <v>9.63</v>
      </c>
      <c r="P1532">
        <v>10.9</v>
      </c>
      <c r="Q1532">
        <v>1</v>
      </c>
      <c r="R1532">
        <v>2.94</v>
      </c>
      <c r="S1532">
        <v>1</v>
      </c>
      <c r="T1532" t="b">
        <v>0</v>
      </c>
    </row>
    <row r="1533" spans="1:20">
      <c r="A1533" t="s">
        <v>73</v>
      </c>
      <c r="B1533">
        <v>17</v>
      </c>
      <c r="C1533">
        <v>415</v>
      </c>
      <c r="D1533" t="s">
        <v>62</v>
      </c>
      <c r="E1533" t="s">
        <v>62</v>
      </c>
      <c r="F1533">
        <v>0</v>
      </c>
      <c r="G1533">
        <v>161.5</v>
      </c>
      <c r="H1533">
        <v>123</v>
      </c>
      <c r="I1533">
        <v>27.46</v>
      </c>
      <c r="J1533">
        <v>214.2</v>
      </c>
      <c r="K1533">
        <v>81</v>
      </c>
      <c r="L1533">
        <v>18.21</v>
      </c>
      <c r="M1533">
        <v>315</v>
      </c>
      <c r="N1533">
        <v>106</v>
      </c>
      <c r="O1533">
        <v>14.18</v>
      </c>
      <c r="P1533">
        <v>8.6</v>
      </c>
      <c r="Q1533">
        <v>5</v>
      </c>
      <c r="R1533">
        <v>2.32</v>
      </c>
      <c r="S1533">
        <v>1</v>
      </c>
      <c r="T1533" t="b">
        <v>0</v>
      </c>
    </row>
    <row r="1534" spans="1:20">
      <c r="A1534" t="s">
        <v>113</v>
      </c>
      <c r="B1534">
        <v>119</v>
      </c>
      <c r="C1534">
        <v>408</v>
      </c>
      <c r="D1534" t="s">
        <v>62</v>
      </c>
      <c r="E1534" t="s">
        <v>62</v>
      </c>
      <c r="F1534">
        <v>0</v>
      </c>
      <c r="G1534">
        <v>260.1</v>
      </c>
      <c r="H1534">
        <v>101</v>
      </c>
      <c r="I1534">
        <v>44.22</v>
      </c>
      <c r="J1534">
        <v>256.5</v>
      </c>
      <c r="K1534">
        <v>68</v>
      </c>
      <c r="L1534">
        <v>21.8</v>
      </c>
      <c r="M1534">
        <v>229.1</v>
      </c>
      <c r="N1534">
        <v>89</v>
      </c>
      <c r="O1534">
        <v>10.31</v>
      </c>
      <c r="P1534">
        <v>10</v>
      </c>
      <c r="Q1534">
        <v>2</v>
      </c>
      <c r="R1534">
        <v>2.7</v>
      </c>
      <c r="S1534">
        <v>1</v>
      </c>
      <c r="T1534" t="b">
        <v>1</v>
      </c>
    </row>
    <row r="1535" spans="1:20">
      <c r="A1535" t="s">
        <v>91</v>
      </c>
      <c r="B1535">
        <v>108</v>
      </c>
      <c r="C1535">
        <v>415</v>
      </c>
      <c r="D1535" t="s">
        <v>63</v>
      </c>
      <c r="E1535" t="s">
        <v>63</v>
      </c>
      <c r="F1535">
        <v>42</v>
      </c>
      <c r="G1535">
        <v>130.1</v>
      </c>
      <c r="H1535">
        <v>90</v>
      </c>
      <c r="I1535">
        <v>22.12</v>
      </c>
      <c r="J1535">
        <v>167</v>
      </c>
      <c r="K1535">
        <v>128</v>
      </c>
      <c r="L1535">
        <v>14.2</v>
      </c>
      <c r="M1535">
        <v>244.7</v>
      </c>
      <c r="N1535">
        <v>80</v>
      </c>
      <c r="O1535">
        <v>11.01</v>
      </c>
      <c r="P1535">
        <v>13.6</v>
      </c>
      <c r="Q1535">
        <v>5</v>
      </c>
      <c r="R1535">
        <v>3.67</v>
      </c>
      <c r="S1535">
        <v>3</v>
      </c>
      <c r="T1535" t="b">
        <v>1</v>
      </c>
    </row>
    <row r="1536" spans="1:20">
      <c r="A1536" t="s">
        <v>79</v>
      </c>
      <c r="B1536">
        <v>90</v>
      </c>
      <c r="C1536">
        <v>415</v>
      </c>
      <c r="D1536" t="s">
        <v>62</v>
      </c>
      <c r="E1536" t="s">
        <v>62</v>
      </c>
      <c r="F1536">
        <v>0</v>
      </c>
      <c r="G1536">
        <v>102</v>
      </c>
      <c r="H1536">
        <v>118</v>
      </c>
      <c r="I1536">
        <v>17.34</v>
      </c>
      <c r="J1536">
        <v>113.3</v>
      </c>
      <c r="K1536">
        <v>134</v>
      </c>
      <c r="L1536">
        <v>9.63</v>
      </c>
      <c r="M1536">
        <v>188.6</v>
      </c>
      <c r="N1536">
        <v>105</v>
      </c>
      <c r="O1536">
        <v>8.49</v>
      </c>
      <c r="P1536">
        <v>11.4</v>
      </c>
      <c r="Q1536">
        <v>3</v>
      </c>
      <c r="R1536">
        <v>3.08</v>
      </c>
      <c r="S1536">
        <v>2</v>
      </c>
      <c r="T1536" t="b">
        <v>0</v>
      </c>
    </row>
    <row r="1537" spans="1:20">
      <c r="A1537" t="s">
        <v>96</v>
      </c>
      <c r="B1537">
        <v>100</v>
      </c>
      <c r="C1537">
        <v>415</v>
      </c>
      <c r="D1537" t="s">
        <v>62</v>
      </c>
      <c r="E1537" t="s">
        <v>63</v>
      </c>
      <c r="F1537">
        <v>33</v>
      </c>
      <c r="G1537">
        <v>218.7</v>
      </c>
      <c r="H1537">
        <v>104</v>
      </c>
      <c r="I1537">
        <v>37.18</v>
      </c>
      <c r="J1537">
        <v>155</v>
      </c>
      <c r="K1537">
        <v>144</v>
      </c>
      <c r="L1537">
        <v>13.18</v>
      </c>
      <c r="M1537">
        <v>99</v>
      </c>
      <c r="N1537">
        <v>117</v>
      </c>
      <c r="O1537">
        <v>4.46</v>
      </c>
      <c r="P1537">
        <v>12.1</v>
      </c>
      <c r="Q1537">
        <v>4</v>
      </c>
      <c r="R1537">
        <v>3.27</v>
      </c>
      <c r="S1537">
        <v>1</v>
      </c>
      <c r="T1537" t="b">
        <v>0</v>
      </c>
    </row>
    <row r="1538" spans="1:20">
      <c r="A1538" t="s">
        <v>94</v>
      </c>
      <c r="B1538">
        <v>155</v>
      </c>
      <c r="C1538">
        <v>408</v>
      </c>
      <c r="D1538" t="s">
        <v>62</v>
      </c>
      <c r="E1538" t="s">
        <v>63</v>
      </c>
      <c r="F1538">
        <v>30</v>
      </c>
      <c r="G1538">
        <v>128.5</v>
      </c>
      <c r="H1538">
        <v>86</v>
      </c>
      <c r="I1538">
        <v>21.85</v>
      </c>
      <c r="J1538">
        <v>188.4</v>
      </c>
      <c r="K1538">
        <v>91</v>
      </c>
      <c r="L1538">
        <v>16.01</v>
      </c>
      <c r="M1538">
        <v>254.4</v>
      </c>
      <c r="N1538">
        <v>85</v>
      </c>
      <c r="O1538">
        <v>11.45</v>
      </c>
      <c r="P1538">
        <v>6.8</v>
      </c>
      <c r="Q1538">
        <v>6</v>
      </c>
      <c r="R1538">
        <v>1.84</v>
      </c>
      <c r="S1538">
        <v>1</v>
      </c>
      <c r="T1538" t="b">
        <v>0</v>
      </c>
    </row>
    <row r="1539" spans="1:20">
      <c r="A1539" t="s">
        <v>83</v>
      </c>
      <c r="B1539">
        <v>113</v>
      </c>
      <c r="C1539">
        <v>510</v>
      </c>
      <c r="D1539" t="s">
        <v>62</v>
      </c>
      <c r="E1539" t="s">
        <v>62</v>
      </c>
      <c r="F1539">
        <v>0</v>
      </c>
      <c r="G1539">
        <v>128.7</v>
      </c>
      <c r="H1539">
        <v>100</v>
      </c>
      <c r="I1539">
        <v>21.88</v>
      </c>
      <c r="J1539">
        <v>227.1</v>
      </c>
      <c r="K1539">
        <v>67</v>
      </c>
      <c r="L1539">
        <v>19.3</v>
      </c>
      <c r="M1539">
        <v>178.1</v>
      </c>
      <c r="N1539">
        <v>135</v>
      </c>
      <c r="O1539">
        <v>8.01</v>
      </c>
      <c r="P1539">
        <v>9.2</v>
      </c>
      <c r="Q1539">
        <v>4</v>
      </c>
      <c r="R1539">
        <v>2.48</v>
      </c>
      <c r="S1539">
        <v>2</v>
      </c>
      <c r="T1539" t="b">
        <v>1</v>
      </c>
    </row>
    <row r="1540" spans="1:20">
      <c r="A1540" t="s">
        <v>93</v>
      </c>
      <c r="B1540">
        <v>123</v>
      </c>
      <c r="C1540">
        <v>415</v>
      </c>
      <c r="D1540" t="s">
        <v>62</v>
      </c>
      <c r="E1540" t="s">
        <v>62</v>
      </c>
      <c r="F1540">
        <v>0</v>
      </c>
      <c r="G1540">
        <v>172.2</v>
      </c>
      <c r="H1540">
        <v>92</v>
      </c>
      <c r="I1540">
        <v>29.27</v>
      </c>
      <c r="J1540">
        <v>162.6</v>
      </c>
      <c r="K1540">
        <v>76</v>
      </c>
      <c r="L1540">
        <v>13.82</v>
      </c>
      <c r="M1540">
        <v>250.3</v>
      </c>
      <c r="N1540">
        <v>101</v>
      </c>
      <c r="O1540">
        <v>11.26</v>
      </c>
      <c r="P1540">
        <v>8.7</v>
      </c>
      <c r="Q1540">
        <v>4</v>
      </c>
      <c r="R1540">
        <v>2.35</v>
      </c>
      <c r="S1540">
        <v>1</v>
      </c>
      <c r="T1540" t="b">
        <v>0</v>
      </c>
    </row>
    <row r="1541" spans="1:20">
      <c r="A1541" t="s">
        <v>79</v>
      </c>
      <c r="B1541">
        <v>145</v>
      </c>
      <c r="C1541">
        <v>408</v>
      </c>
      <c r="D1541" t="s">
        <v>62</v>
      </c>
      <c r="E1541" t="s">
        <v>62</v>
      </c>
      <c r="F1541">
        <v>0</v>
      </c>
      <c r="G1541">
        <v>199.2</v>
      </c>
      <c r="H1541">
        <v>124</v>
      </c>
      <c r="I1541">
        <v>33.86</v>
      </c>
      <c r="J1541">
        <v>126</v>
      </c>
      <c r="K1541">
        <v>86</v>
      </c>
      <c r="L1541">
        <v>10.71</v>
      </c>
      <c r="M1541">
        <v>289.2</v>
      </c>
      <c r="N1541">
        <v>135</v>
      </c>
      <c r="O1541">
        <v>13.01</v>
      </c>
      <c r="P1541">
        <v>7.6</v>
      </c>
      <c r="Q1541">
        <v>3</v>
      </c>
      <c r="R1541">
        <v>2.05</v>
      </c>
      <c r="S1541">
        <v>1</v>
      </c>
      <c r="T1541" t="b">
        <v>0</v>
      </c>
    </row>
    <row r="1542" spans="1:20">
      <c r="A1542" t="s">
        <v>69</v>
      </c>
      <c r="B1542">
        <v>42</v>
      </c>
      <c r="C1542">
        <v>415</v>
      </c>
      <c r="D1542" t="s">
        <v>62</v>
      </c>
      <c r="E1542" t="s">
        <v>62</v>
      </c>
      <c r="F1542">
        <v>0</v>
      </c>
      <c r="G1542">
        <v>184.5</v>
      </c>
      <c r="H1542">
        <v>98</v>
      </c>
      <c r="I1542">
        <v>31.37</v>
      </c>
      <c r="J1542">
        <v>200.5</v>
      </c>
      <c r="K1542">
        <v>93</v>
      </c>
      <c r="L1542">
        <v>17.04</v>
      </c>
      <c r="M1542">
        <v>279.2</v>
      </c>
      <c r="N1542">
        <v>91</v>
      </c>
      <c r="O1542">
        <v>12.56</v>
      </c>
      <c r="P1542">
        <v>8.8</v>
      </c>
      <c r="Q1542">
        <v>3</v>
      </c>
      <c r="R1542">
        <v>2.38</v>
      </c>
      <c r="S1542">
        <v>2</v>
      </c>
      <c r="T1542" t="b">
        <v>0</v>
      </c>
    </row>
    <row r="1543" spans="1:20">
      <c r="A1543" t="s">
        <v>104</v>
      </c>
      <c r="B1543">
        <v>125</v>
      </c>
      <c r="C1543">
        <v>510</v>
      </c>
      <c r="D1543" t="s">
        <v>62</v>
      </c>
      <c r="E1543" t="s">
        <v>62</v>
      </c>
      <c r="F1543">
        <v>0</v>
      </c>
      <c r="G1543">
        <v>168.6</v>
      </c>
      <c r="H1543">
        <v>99</v>
      </c>
      <c r="I1543">
        <v>28.66</v>
      </c>
      <c r="J1543">
        <v>175.6</v>
      </c>
      <c r="K1543">
        <v>107</v>
      </c>
      <c r="L1543">
        <v>14.93</v>
      </c>
      <c r="M1543">
        <v>243.3</v>
      </c>
      <c r="N1543">
        <v>92</v>
      </c>
      <c r="O1543">
        <v>10.95</v>
      </c>
      <c r="P1543">
        <v>10.9</v>
      </c>
      <c r="Q1543">
        <v>7</v>
      </c>
      <c r="R1543">
        <v>2.94</v>
      </c>
      <c r="S1543">
        <v>0</v>
      </c>
      <c r="T1543" t="b">
        <v>0</v>
      </c>
    </row>
    <row r="1544" spans="1:20">
      <c r="A1544" t="s">
        <v>114</v>
      </c>
      <c r="B1544">
        <v>131</v>
      </c>
      <c r="C1544">
        <v>415</v>
      </c>
      <c r="D1544" t="s">
        <v>62</v>
      </c>
      <c r="E1544" t="s">
        <v>63</v>
      </c>
      <c r="F1544">
        <v>30</v>
      </c>
      <c r="G1544">
        <v>174</v>
      </c>
      <c r="H1544">
        <v>118</v>
      </c>
      <c r="I1544">
        <v>29.58</v>
      </c>
      <c r="J1544">
        <v>205.3</v>
      </c>
      <c r="K1544">
        <v>81</v>
      </c>
      <c r="L1544">
        <v>17.45</v>
      </c>
      <c r="M1544">
        <v>218.2</v>
      </c>
      <c r="N1544">
        <v>90</v>
      </c>
      <c r="O1544">
        <v>9.82</v>
      </c>
      <c r="P1544">
        <v>6.7</v>
      </c>
      <c r="Q1544">
        <v>3</v>
      </c>
      <c r="R1544">
        <v>1.81</v>
      </c>
      <c r="S1544">
        <v>1</v>
      </c>
      <c r="T1544" t="b">
        <v>0</v>
      </c>
    </row>
    <row r="1545" spans="1:20">
      <c r="A1545" t="s">
        <v>101</v>
      </c>
      <c r="B1545">
        <v>107</v>
      </c>
      <c r="C1545">
        <v>415</v>
      </c>
      <c r="D1545" t="s">
        <v>62</v>
      </c>
      <c r="E1545" t="s">
        <v>62</v>
      </c>
      <c r="F1545">
        <v>0</v>
      </c>
      <c r="G1545">
        <v>230.4</v>
      </c>
      <c r="H1545">
        <v>65</v>
      </c>
      <c r="I1545">
        <v>39.17</v>
      </c>
      <c r="J1545">
        <v>257.4</v>
      </c>
      <c r="K1545">
        <v>80</v>
      </c>
      <c r="L1545">
        <v>21.88</v>
      </c>
      <c r="M1545">
        <v>107.3</v>
      </c>
      <c r="N1545">
        <v>88</v>
      </c>
      <c r="O1545">
        <v>4.83</v>
      </c>
      <c r="P1545">
        <v>8.5</v>
      </c>
      <c r="Q1545">
        <v>3</v>
      </c>
      <c r="R1545">
        <v>2.3</v>
      </c>
      <c r="S1545">
        <v>1</v>
      </c>
      <c r="T1545" t="b">
        <v>0</v>
      </c>
    </row>
    <row r="1546" spans="1:20">
      <c r="A1546" t="s">
        <v>86</v>
      </c>
      <c r="B1546">
        <v>48</v>
      </c>
      <c r="C1546">
        <v>408</v>
      </c>
      <c r="D1546" t="s">
        <v>62</v>
      </c>
      <c r="E1546" t="s">
        <v>62</v>
      </c>
      <c r="F1546">
        <v>0</v>
      </c>
      <c r="G1546">
        <v>198.2</v>
      </c>
      <c r="H1546">
        <v>73</v>
      </c>
      <c r="I1546">
        <v>33.69</v>
      </c>
      <c r="J1546">
        <v>202.8</v>
      </c>
      <c r="K1546">
        <v>115</v>
      </c>
      <c r="L1546">
        <v>17.24</v>
      </c>
      <c r="M1546">
        <v>146.4</v>
      </c>
      <c r="N1546">
        <v>73</v>
      </c>
      <c r="O1546">
        <v>6.59</v>
      </c>
      <c r="P1546">
        <v>5.1</v>
      </c>
      <c r="Q1546">
        <v>5</v>
      </c>
      <c r="R1546">
        <v>1.38</v>
      </c>
      <c r="S1546">
        <v>1</v>
      </c>
      <c r="T1546" t="b">
        <v>0</v>
      </c>
    </row>
    <row r="1547" spans="1:20">
      <c r="A1547" t="s">
        <v>86</v>
      </c>
      <c r="B1547">
        <v>76</v>
      </c>
      <c r="C1547">
        <v>510</v>
      </c>
      <c r="D1547" t="s">
        <v>62</v>
      </c>
      <c r="E1547" t="s">
        <v>62</v>
      </c>
      <c r="F1547">
        <v>0</v>
      </c>
      <c r="G1547">
        <v>186.1</v>
      </c>
      <c r="H1547">
        <v>96</v>
      </c>
      <c r="I1547">
        <v>31.64</v>
      </c>
      <c r="J1547">
        <v>211.6</v>
      </c>
      <c r="K1547">
        <v>100</v>
      </c>
      <c r="L1547">
        <v>17.99</v>
      </c>
      <c r="M1547">
        <v>230.6</v>
      </c>
      <c r="N1547">
        <v>100</v>
      </c>
      <c r="O1547">
        <v>10.38</v>
      </c>
      <c r="P1547">
        <v>8</v>
      </c>
      <c r="Q1547">
        <v>4</v>
      </c>
      <c r="R1547">
        <v>2.16</v>
      </c>
      <c r="S1547">
        <v>0</v>
      </c>
      <c r="T1547" t="b">
        <v>0</v>
      </c>
    </row>
    <row r="1548" spans="1:20">
      <c r="A1548" t="s">
        <v>88</v>
      </c>
      <c r="B1548">
        <v>128</v>
      </c>
      <c r="C1548">
        <v>415</v>
      </c>
      <c r="D1548" t="s">
        <v>62</v>
      </c>
      <c r="E1548" t="s">
        <v>62</v>
      </c>
      <c r="F1548">
        <v>0</v>
      </c>
      <c r="G1548">
        <v>148.5</v>
      </c>
      <c r="H1548">
        <v>105</v>
      </c>
      <c r="I1548">
        <v>25.25</v>
      </c>
      <c r="J1548">
        <v>243</v>
      </c>
      <c r="K1548">
        <v>106</v>
      </c>
      <c r="L1548">
        <v>20.66</v>
      </c>
      <c r="M1548">
        <v>255.2</v>
      </c>
      <c r="N1548">
        <v>114</v>
      </c>
      <c r="O1548">
        <v>11.48</v>
      </c>
      <c r="P1548">
        <v>6.8</v>
      </c>
      <c r="Q1548">
        <v>2</v>
      </c>
      <c r="R1548">
        <v>1.84</v>
      </c>
      <c r="S1548">
        <v>1</v>
      </c>
      <c r="T1548" t="b">
        <v>0</v>
      </c>
    </row>
    <row r="1549" spans="1:20">
      <c r="A1549" t="s">
        <v>93</v>
      </c>
      <c r="B1549">
        <v>73</v>
      </c>
      <c r="C1549">
        <v>415</v>
      </c>
      <c r="D1549" t="s">
        <v>62</v>
      </c>
      <c r="E1549" t="s">
        <v>62</v>
      </c>
      <c r="F1549">
        <v>0</v>
      </c>
      <c r="G1549">
        <v>157.1</v>
      </c>
      <c r="H1549">
        <v>109</v>
      </c>
      <c r="I1549">
        <v>26.71</v>
      </c>
      <c r="J1549">
        <v>268.8</v>
      </c>
      <c r="K1549">
        <v>83</v>
      </c>
      <c r="L1549">
        <v>22.85</v>
      </c>
      <c r="M1549">
        <v>181.5</v>
      </c>
      <c r="N1549">
        <v>91</v>
      </c>
      <c r="O1549">
        <v>8.17</v>
      </c>
      <c r="P1549">
        <v>10</v>
      </c>
      <c r="Q1549">
        <v>8</v>
      </c>
      <c r="R1549">
        <v>2.7</v>
      </c>
      <c r="S1549">
        <v>0</v>
      </c>
      <c r="T1549" t="b">
        <v>0</v>
      </c>
    </row>
    <row r="1550" spans="1:20">
      <c r="A1550" t="s">
        <v>80</v>
      </c>
      <c r="B1550">
        <v>52</v>
      </c>
      <c r="C1550">
        <v>415</v>
      </c>
      <c r="D1550" t="s">
        <v>62</v>
      </c>
      <c r="E1550" t="s">
        <v>62</v>
      </c>
      <c r="F1550">
        <v>0</v>
      </c>
      <c r="G1550">
        <v>155</v>
      </c>
      <c r="H1550">
        <v>110</v>
      </c>
      <c r="I1550">
        <v>26.35</v>
      </c>
      <c r="J1550">
        <v>133.4</v>
      </c>
      <c r="K1550">
        <v>104</v>
      </c>
      <c r="L1550">
        <v>11.34</v>
      </c>
      <c r="M1550">
        <v>176.1</v>
      </c>
      <c r="N1550">
        <v>84</v>
      </c>
      <c r="O1550">
        <v>7.92</v>
      </c>
      <c r="P1550">
        <v>7</v>
      </c>
      <c r="Q1550">
        <v>4</v>
      </c>
      <c r="R1550">
        <v>1.89</v>
      </c>
      <c r="S1550">
        <v>4</v>
      </c>
      <c r="T1550" t="b">
        <v>1</v>
      </c>
    </row>
    <row r="1551" spans="1:20">
      <c r="A1551" t="s">
        <v>100</v>
      </c>
      <c r="B1551">
        <v>124</v>
      </c>
      <c r="C1551">
        <v>415</v>
      </c>
      <c r="D1551" t="s">
        <v>62</v>
      </c>
      <c r="E1551" t="s">
        <v>62</v>
      </c>
      <c r="F1551">
        <v>0</v>
      </c>
      <c r="G1551">
        <v>188.5</v>
      </c>
      <c r="H1551">
        <v>77</v>
      </c>
      <c r="I1551">
        <v>32.05</v>
      </c>
      <c r="J1551">
        <v>182</v>
      </c>
      <c r="K1551">
        <v>123</v>
      </c>
      <c r="L1551">
        <v>15.47</v>
      </c>
      <c r="M1551">
        <v>218.2</v>
      </c>
      <c r="N1551">
        <v>127</v>
      </c>
      <c r="O1551">
        <v>9.82</v>
      </c>
      <c r="P1551">
        <v>6.1</v>
      </c>
      <c r="Q1551">
        <v>6</v>
      </c>
      <c r="R1551">
        <v>1.65</v>
      </c>
      <c r="S1551">
        <v>1</v>
      </c>
      <c r="T1551" t="b">
        <v>0</v>
      </c>
    </row>
    <row r="1552" spans="1:20">
      <c r="A1552" t="s">
        <v>101</v>
      </c>
      <c r="B1552">
        <v>137</v>
      </c>
      <c r="C1552">
        <v>408</v>
      </c>
      <c r="D1552" t="s">
        <v>62</v>
      </c>
      <c r="E1552" t="s">
        <v>62</v>
      </c>
      <c r="F1552">
        <v>0</v>
      </c>
      <c r="G1552">
        <v>208.8</v>
      </c>
      <c r="H1552">
        <v>120</v>
      </c>
      <c r="I1552">
        <v>35.5</v>
      </c>
      <c r="J1552">
        <v>225.3</v>
      </c>
      <c r="K1552">
        <v>100</v>
      </c>
      <c r="L1552">
        <v>19.15</v>
      </c>
      <c r="M1552">
        <v>221.6</v>
      </c>
      <c r="N1552">
        <v>130</v>
      </c>
      <c r="O1552">
        <v>9.97</v>
      </c>
      <c r="P1552">
        <v>11.1</v>
      </c>
      <c r="Q1552">
        <v>5</v>
      </c>
      <c r="R1552">
        <v>3</v>
      </c>
      <c r="S1552">
        <v>0</v>
      </c>
      <c r="T1552" t="b">
        <v>0</v>
      </c>
    </row>
    <row r="1553" spans="1:20">
      <c r="A1553" t="s">
        <v>109</v>
      </c>
      <c r="B1553">
        <v>107</v>
      </c>
      <c r="C1553">
        <v>510</v>
      </c>
      <c r="D1553" t="s">
        <v>62</v>
      </c>
      <c r="E1553" t="s">
        <v>63</v>
      </c>
      <c r="F1553">
        <v>30</v>
      </c>
      <c r="G1553">
        <v>198.9</v>
      </c>
      <c r="H1553">
        <v>87</v>
      </c>
      <c r="I1553">
        <v>33.81</v>
      </c>
      <c r="J1553">
        <v>207</v>
      </c>
      <c r="K1553">
        <v>90</v>
      </c>
      <c r="L1553">
        <v>17.6</v>
      </c>
      <c r="M1553">
        <v>159.8</v>
      </c>
      <c r="N1553">
        <v>76</v>
      </c>
      <c r="O1553">
        <v>7.19</v>
      </c>
      <c r="P1553">
        <v>12.6</v>
      </c>
      <c r="Q1553">
        <v>4</v>
      </c>
      <c r="R1553">
        <v>3.4</v>
      </c>
      <c r="S1553">
        <v>3</v>
      </c>
      <c r="T1553" t="b">
        <v>0</v>
      </c>
    </row>
    <row r="1554" spans="1:20">
      <c r="A1554" t="s">
        <v>107</v>
      </c>
      <c r="B1554">
        <v>147</v>
      </c>
      <c r="C1554">
        <v>408</v>
      </c>
      <c r="D1554" t="s">
        <v>62</v>
      </c>
      <c r="E1554" t="s">
        <v>62</v>
      </c>
      <c r="F1554">
        <v>0</v>
      </c>
      <c r="G1554">
        <v>212.8</v>
      </c>
      <c r="H1554">
        <v>79</v>
      </c>
      <c r="I1554">
        <v>36.18</v>
      </c>
      <c r="J1554">
        <v>204.1</v>
      </c>
      <c r="K1554">
        <v>91</v>
      </c>
      <c r="L1554">
        <v>17.35</v>
      </c>
      <c r="M1554">
        <v>156.2</v>
      </c>
      <c r="N1554">
        <v>113</v>
      </c>
      <c r="O1554">
        <v>7.03</v>
      </c>
      <c r="P1554">
        <v>10.2</v>
      </c>
      <c r="Q1554">
        <v>2</v>
      </c>
      <c r="R1554">
        <v>2.75</v>
      </c>
      <c r="S1554">
        <v>1</v>
      </c>
      <c r="T1554" t="b">
        <v>0</v>
      </c>
    </row>
    <row r="1555" spans="1:20">
      <c r="A1555" t="s">
        <v>73</v>
      </c>
      <c r="B1555">
        <v>116</v>
      </c>
      <c r="C1555">
        <v>510</v>
      </c>
      <c r="D1555" t="s">
        <v>62</v>
      </c>
      <c r="E1555" t="s">
        <v>62</v>
      </c>
      <c r="F1555">
        <v>0</v>
      </c>
      <c r="G1555">
        <v>137.4</v>
      </c>
      <c r="H1555">
        <v>126</v>
      </c>
      <c r="I1555">
        <v>23.36</v>
      </c>
      <c r="J1555">
        <v>120</v>
      </c>
      <c r="K1555">
        <v>94</v>
      </c>
      <c r="L1555">
        <v>10.2</v>
      </c>
      <c r="M1555">
        <v>130.3</v>
      </c>
      <c r="N1555">
        <v>64</v>
      </c>
      <c r="O1555">
        <v>5.86</v>
      </c>
      <c r="P1555">
        <v>12.4</v>
      </c>
      <c r="Q1555">
        <v>2</v>
      </c>
      <c r="R1555">
        <v>3.35</v>
      </c>
      <c r="S1555">
        <v>3</v>
      </c>
      <c r="T1555" t="b">
        <v>0</v>
      </c>
    </row>
    <row r="1556" spans="1:20">
      <c r="A1556" t="s">
        <v>106</v>
      </c>
      <c r="B1556">
        <v>60</v>
      </c>
      <c r="C1556">
        <v>510</v>
      </c>
      <c r="D1556" t="s">
        <v>62</v>
      </c>
      <c r="E1556" t="s">
        <v>63</v>
      </c>
      <c r="F1556">
        <v>31</v>
      </c>
      <c r="G1556">
        <v>191.8</v>
      </c>
      <c r="H1556">
        <v>75</v>
      </c>
      <c r="I1556">
        <v>32.61</v>
      </c>
      <c r="J1556">
        <v>267.8</v>
      </c>
      <c r="K1556">
        <v>135</v>
      </c>
      <c r="L1556">
        <v>22.76</v>
      </c>
      <c r="M1556">
        <v>200.5</v>
      </c>
      <c r="N1556">
        <v>62</v>
      </c>
      <c r="O1556">
        <v>9.02</v>
      </c>
      <c r="P1556">
        <v>12.8</v>
      </c>
      <c r="Q1556">
        <v>3</v>
      </c>
      <c r="R1556">
        <v>3.46</v>
      </c>
      <c r="S1556">
        <v>2</v>
      </c>
      <c r="T1556" t="b">
        <v>0</v>
      </c>
    </row>
    <row r="1557" spans="1:20">
      <c r="A1557" t="s">
        <v>80</v>
      </c>
      <c r="B1557">
        <v>38</v>
      </c>
      <c r="C1557">
        <v>510</v>
      </c>
      <c r="D1557" t="s">
        <v>62</v>
      </c>
      <c r="E1557" t="s">
        <v>62</v>
      </c>
      <c r="F1557">
        <v>0</v>
      </c>
      <c r="G1557">
        <v>149</v>
      </c>
      <c r="H1557">
        <v>92</v>
      </c>
      <c r="I1557">
        <v>25.33</v>
      </c>
      <c r="J1557">
        <v>49.2</v>
      </c>
      <c r="K1557">
        <v>78</v>
      </c>
      <c r="L1557">
        <v>4.18</v>
      </c>
      <c r="M1557">
        <v>163.3</v>
      </c>
      <c r="N1557">
        <v>93</v>
      </c>
      <c r="O1557">
        <v>7.35</v>
      </c>
      <c r="P1557">
        <v>13.9</v>
      </c>
      <c r="Q1557">
        <v>11</v>
      </c>
      <c r="R1557">
        <v>3.75</v>
      </c>
      <c r="S1557">
        <v>0</v>
      </c>
      <c r="T1557" t="b">
        <v>0</v>
      </c>
    </row>
    <row r="1558" spans="1:20">
      <c r="A1558" t="s">
        <v>95</v>
      </c>
      <c r="B1558">
        <v>63</v>
      </c>
      <c r="C1558">
        <v>408</v>
      </c>
      <c r="D1558" t="s">
        <v>62</v>
      </c>
      <c r="E1558" t="s">
        <v>62</v>
      </c>
      <c r="F1558">
        <v>0</v>
      </c>
      <c r="G1558">
        <v>117.1</v>
      </c>
      <c r="H1558">
        <v>118</v>
      </c>
      <c r="I1558">
        <v>19.91</v>
      </c>
      <c r="J1558">
        <v>249.6</v>
      </c>
      <c r="K1558">
        <v>90</v>
      </c>
      <c r="L1558">
        <v>21.22</v>
      </c>
      <c r="M1558">
        <v>162.2</v>
      </c>
      <c r="N1558">
        <v>84</v>
      </c>
      <c r="O1558">
        <v>7.3</v>
      </c>
      <c r="P1558">
        <v>11.1</v>
      </c>
      <c r="Q1558">
        <v>4</v>
      </c>
      <c r="R1558">
        <v>3</v>
      </c>
      <c r="S1558">
        <v>3</v>
      </c>
      <c r="T1558" t="b">
        <v>0</v>
      </c>
    </row>
    <row r="1559" spans="1:20">
      <c r="A1559" t="s">
        <v>103</v>
      </c>
      <c r="B1559">
        <v>94</v>
      </c>
      <c r="C1559">
        <v>415</v>
      </c>
      <c r="D1559" t="s">
        <v>62</v>
      </c>
      <c r="E1559" t="s">
        <v>62</v>
      </c>
      <c r="F1559">
        <v>0</v>
      </c>
      <c r="G1559">
        <v>108</v>
      </c>
      <c r="H1559">
        <v>79</v>
      </c>
      <c r="I1559">
        <v>18.36</v>
      </c>
      <c r="J1559">
        <v>241.9</v>
      </c>
      <c r="K1559">
        <v>152</v>
      </c>
      <c r="L1559">
        <v>20.56</v>
      </c>
      <c r="M1559">
        <v>252.1</v>
      </c>
      <c r="N1559">
        <v>92</v>
      </c>
      <c r="O1559">
        <v>11.34</v>
      </c>
      <c r="P1559">
        <v>10.4</v>
      </c>
      <c r="Q1559">
        <v>3</v>
      </c>
      <c r="R1559">
        <v>2.81</v>
      </c>
      <c r="S1559">
        <v>3</v>
      </c>
      <c r="T1559" t="b">
        <v>0</v>
      </c>
    </row>
    <row r="1560" spans="1:20">
      <c r="A1560" t="s">
        <v>73</v>
      </c>
      <c r="B1560">
        <v>131</v>
      </c>
      <c r="C1560">
        <v>415</v>
      </c>
      <c r="D1560" t="s">
        <v>62</v>
      </c>
      <c r="E1560" t="s">
        <v>62</v>
      </c>
      <c r="F1560">
        <v>0</v>
      </c>
      <c r="G1560">
        <v>112.8</v>
      </c>
      <c r="H1560">
        <v>133</v>
      </c>
      <c r="I1560">
        <v>19.18</v>
      </c>
      <c r="J1560">
        <v>199.4</v>
      </c>
      <c r="K1560">
        <v>116</v>
      </c>
      <c r="L1560">
        <v>16.95</v>
      </c>
      <c r="M1560">
        <v>142.7</v>
      </c>
      <c r="N1560">
        <v>105</v>
      </c>
      <c r="O1560">
        <v>6.42</v>
      </c>
      <c r="P1560">
        <v>10.1</v>
      </c>
      <c r="Q1560">
        <v>5</v>
      </c>
      <c r="R1560">
        <v>2.73</v>
      </c>
      <c r="S1560">
        <v>0</v>
      </c>
      <c r="T1560" t="b">
        <v>0</v>
      </c>
    </row>
    <row r="1561" spans="1:20">
      <c r="A1561" t="s">
        <v>109</v>
      </c>
      <c r="B1561">
        <v>158</v>
      </c>
      <c r="C1561">
        <v>510</v>
      </c>
      <c r="D1561" t="s">
        <v>62</v>
      </c>
      <c r="E1561" t="s">
        <v>62</v>
      </c>
      <c r="F1561">
        <v>0</v>
      </c>
      <c r="G1561">
        <v>175.9</v>
      </c>
      <c r="H1561">
        <v>105</v>
      </c>
      <c r="I1561">
        <v>29.9</v>
      </c>
      <c r="J1561">
        <v>188.3</v>
      </c>
      <c r="K1561">
        <v>88</v>
      </c>
      <c r="L1561">
        <v>16.01</v>
      </c>
      <c r="M1561">
        <v>188.3</v>
      </c>
      <c r="N1561">
        <v>98</v>
      </c>
      <c r="O1561">
        <v>8.47</v>
      </c>
      <c r="P1561">
        <v>11</v>
      </c>
      <c r="Q1561">
        <v>6</v>
      </c>
      <c r="R1561">
        <v>2.97</v>
      </c>
      <c r="S1561">
        <v>1</v>
      </c>
      <c r="T1561" t="b">
        <v>0</v>
      </c>
    </row>
    <row r="1562" spans="1:20">
      <c r="A1562" t="s">
        <v>106</v>
      </c>
      <c r="B1562">
        <v>139</v>
      </c>
      <c r="C1562">
        <v>510</v>
      </c>
      <c r="D1562" t="s">
        <v>62</v>
      </c>
      <c r="E1562" t="s">
        <v>62</v>
      </c>
      <c r="F1562">
        <v>0</v>
      </c>
      <c r="G1562">
        <v>236.6</v>
      </c>
      <c r="H1562">
        <v>109</v>
      </c>
      <c r="I1562">
        <v>40.22</v>
      </c>
      <c r="J1562">
        <v>169.9</v>
      </c>
      <c r="K1562">
        <v>107</v>
      </c>
      <c r="L1562">
        <v>14.44</v>
      </c>
      <c r="M1562">
        <v>212.3</v>
      </c>
      <c r="N1562">
        <v>118</v>
      </c>
      <c r="O1562">
        <v>9.55</v>
      </c>
      <c r="P1562">
        <v>11.1</v>
      </c>
      <c r="Q1562">
        <v>2</v>
      </c>
      <c r="R1562">
        <v>3</v>
      </c>
      <c r="S1562">
        <v>1</v>
      </c>
      <c r="T1562" t="b">
        <v>1</v>
      </c>
    </row>
    <row r="1563" spans="1:20">
      <c r="A1563" t="s">
        <v>93</v>
      </c>
      <c r="B1563">
        <v>140</v>
      </c>
      <c r="C1563">
        <v>415</v>
      </c>
      <c r="D1563" t="s">
        <v>62</v>
      </c>
      <c r="E1563" t="s">
        <v>62</v>
      </c>
      <c r="F1563">
        <v>0</v>
      </c>
      <c r="G1563">
        <v>129.6</v>
      </c>
      <c r="H1563">
        <v>79</v>
      </c>
      <c r="I1563">
        <v>22.03</v>
      </c>
      <c r="J1563">
        <v>246.2</v>
      </c>
      <c r="K1563">
        <v>99</v>
      </c>
      <c r="L1563">
        <v>20.93</v>
      </c>
      <c r="M1563">
        <v>172.1</v>
      </c>
      <c r="N1563">
        <v>124</v>
      </c>
      <c r="O1563">
        <v>7.74</v>
      </c>
      <c r="P1563">
        <v>9.4</v>
      </c>
      <c r="Q1563">
        <v>10</v>
      </c>
      <c r="R1563">
        <v>2.54</v>
      </c>
      <c r="S1563">
        <v>3</v>
      </c>
      <c r="T1563" t="b">
        <v>0</v>
      </c>
    </row>
    <row r="1564" spans="1:20">
      <c r="A1564" t="s">
        <v>99</v>
      </c>
      <c r="B1564">
        <v>52</v>
      </c>
      <c r="C1564">
        <v>510</v>
      </c>
      <c r="D1564" t="s">
        <v>62</v>
      </c>
      <c r="E1564" t="s">
        <v>63</v>
      </c>
      <c r="F1564">
        <v>20</v>
      </c>
      <c r="G1564">
        <v>133.3</v>
      </c>
      <c r="H1564">
        <v>63</v>
      </c>
      <c r="I1564">
        <v>22.66</v>
      </c>
      <c r="J1564">
        <v>184.1</v>
      </c>
      <c r="K1564">
        <v>123</v>
      </c>
      <c r="L1564">
        <v>15.65</v>
      </c>
      <c r="M1564">
        <v>272.9</v>
      </c>
      <c r="N1564">
        <v>107</v>
      </c>
      <c r="O1564">
        <v>12.28</v>
      </c>
      <c r="P1564">
        <v>13.5</v>
      </c>
      <c r="Q1564">
        <v>2</v>
      </c>
      <c r="R1564">
        <v>3.65</v>
      </c>
      <c r="S1564">
        <v>1</v>
      </c>
      <c r="T1564" t="b">
        <v>0</v>
      </c>
    </row>
    <row r="1565" spans="1:20">
      <c r="A1565" t="s">
        <v>79</v>
      </c>
      <c r="B1565">
        <v>103</v>
      </c>
      <c r="C1565">
        <v>510</v>
      </c>
      <c r="D1565" t="s">
        <v>62</v>
      </c>
      <c r="E1565" t="s">
        <v>62</v>
      </c>
      <c r="F1565">
        <v>0</v>
      </c>
      <c r="G1565">
        <v>167.8</v>
      </c>
      <c r="H1565">
        <v>121</v>
      </c>
      <c r="I1565">
        <v>28.53</v>
      </c>
      <c r="J1565">
        <v>212.9</v>
      </c>
      <c r="K1565">
        <v>123</v>
      </c>
      <c r="L1565">
        <v>18.1</v>
      </c>
      <c r="M1565">
        <v>208.2</v>
      </c>
      <c r="N1565">
        <v>73</v>
      </c>
      <c r="O1565">
        <v>9.37</v>
      </c>
      <c r="P1565">
        <v>13</v>
      </c>
      <c r="Q1565">
        <v>3</v>
      </c>
      <c r="R1565">
        <v>3.51</v>
      </c>
      <c r="S1565">
        <v>5</v>
      </c>
      <c r="T1565" t="b">
        <v>0</v>
      </c>
    </row>
    <row r="1566" spans="1:20">
      <c r="A1566" t="s">
        <v>82</v>
      </c>
      <c r="B1566">
        <v>85</v>
      </c>
      <c r="C1566">
        <v>510</v>
      </c>
      <c r="D1566" t="s">
        <v>62</v>
      </c>
      <c r="E1566" t="s">
        <v>63</v>
      </c>
      <c r="F1566">
        <v>21</v>
      </c>
      <c r="G1566">
        <v>283.2</v>
      </c>
      <c r="H1566">
        <v>110</v>
      </c>
      <c r="I1566">
        <v>48.14</v>
      </c>
      <c r="J1566">
        <v>239.7</v>
      </c>
      <c r="K1566">
        <v>108</v>
      </c>
      <c r="L1566">
        <v>20.37</v>
      </c>
      <c r="M1566">
        <v>149.5</v>
      </c>
      <c r="N1566">
        <v>80</v>
      </c>
      <c r="O1566">
        <v>6.73</v>
      </c>
      <c r="P1566">
        <v>6.3</v>
      </c>
      <c r="Q1566">
        <v>1</v>
      </c>
      <c r="R1566">
        <v>1.7</v>
      </c>
      <c r="S1566">
        <v>5</v>
      </c>
      <c r="T1566" t="b">
        <v>0</v>
      </c>
    </row>
    <row r="1567" spans="1:20">
      <c r="A1567" t="s">
        <v>101</v>
      </c>
      <c r="B1567">
        <v>71</v>
      </c>
      <c r="C1567">
        <v>408</v>
      </c>
      <c r="D1567" t="s">
        <v>62</v>
      </c>
      <c r="E1567" t="s">
        <v>62</v>
      </c>
      <c r="F1567">
        <v>0</v>
      </c>
      <c r="G1567">
        <v>141.2</v>
      </c>
      <c r="H1567">
        <v>132</v>
      </c>
      <c r="I1567">
        <v>24</v>
      </c>
      <c r="J1567">
        <v>149.1</v>
      </c>
      <c r="K1567">
        <v>90</v>
      </c>
      <c r="L1567">
        <v>12.67</v>
      </c>
      <c r="M1567">
        <v>171.4</v>
      </c>
      <c r="N1567">
        <v>72</v>
      </c>
      <c r="O1567">
        <v>7.71</v>
      </c>
      <c r="P1567">
        <v>7</v>
      </c>
      <c r="Q1567">
        <v>2</v>
      </c>
      <c r="R1567">
        <v>1.89</v>
      </c>
      <c r="S1567">
        <v>2</v>
      </c>
      <c r="T1567" t="b">
        <v>0</v>
      </c>
    </row>
    <row r="1568" spans="1:20">
      <c r="A1568" t="s">
        <v>104</v>
      </c>
      <c r="B1568">
        <v>177</v>
      </c>
      <c r="C1568">
        <v>415</v>
      </c>
      <c r="D1568" t="s">
        <v>62</v>
      </c>
      <c r="E1568" t="s">
        <v>63</v>
      </c>
      <c r="F1568">
        <v>27</v>
      </c>
      <c r="G1568">
        <v>230.2</v>
      </c>
      <c r="H1568">
        <v>106</v>
      </c>
      <c r="I1568">
        <v>39.13</v>
      </c>
      <c r="J1568">
        <v>196.1</v>
      </c>
      <c r="K1568">
        <v>78</v>
      </c>
      <c r="L1568">
        <v>16.67</v>
      </c>
      <c r="M1568">
        <v>215.4</v>
      </c>
      <c r="N1568">
        <v>108</v>
      </c>
      <c r="O1568">
        <v>9.69</v>
      </c>
      <c r="P1568">
        <v>10.4</v>
      </c>
      <c r="Q1568">
        <v>2</v>
      </c>
      <c r="R1568">
        <v>2.81</v>
      </c>
      <c r="S1568">
        <v>1</v>
      </c>
      <c r="T1568" t="b">
        <v>0</v>
      </c>
    </row>
    <row r="1569" spans="1:20">
      <c r="A1569" t="s">
        <v>111</v>
      </c>
      <c r="B1569">
        <v>49</v>
      </c>
      <c r="C1569">
        <v>415</v>
      </c>
      <c r="D1569" t="s">
        <v>63</v>
      </c>
      <c r="E1569" t="s">
        <v>62</v>
      </c>
      <c r="F1569">
        <v>0</v>
      </c>
      <c r="G1569">
        <v>237.8</v>
      </c>
      <c r="H1569">
        <v>92</v>
      </c>
      <c r="I1569">
        <v>40.43</v>
      </c>
      <c r="J1569">
        <v>208.9</v>
      </c>
      <c r="K1569">
        <v>119</v>
      </c>
      <c r="L1569">
        <v>17.76</v>
      </c>
      <c r="M1569">
        <v>167.8</v>
      </c>
      <c r="N1569">
        <v>86</v>
      </c>
      <c r="O1569">
        <v>7.55</v>
      </c>
      <c r="P1569">
        <v>15.6</v>
      </c>
      <c r="Q1569">
        <v>6</v>
      </c>
      <c r="R1569">
        <v>4.21</v>
      </c>
      <c r="S1569">
        <v>2</v>
      </c>
      <c r="T1569" t="b">
        <v>1</v>
      </c>
    </row>
    <row r="1570" spans="1:20">
      <c r="A1570" t="s">
        <v>73</v>
      </c>
      <c r="B1570">
        <v>106</v>
      </c>
      <c r="C1570">
        <v>510</v>
      </c>
      <c r="D1570" t="s">
        <v>63</v>
      </c>
      <c r="E1570" t="s">
        <v>62</v>
      </c>
      <c r="F1570">
        <v>0</v>
      </c>
      <c r="G1570">
        <v>204</v>
      </c>
      <c r="H1570">
        <v>84</v>
      </c>
      <c r="I1570">
        <v>34.68</v>
      </c>
      <c r="J1570">
        <v>168.5</v>
      </c>
      <c r="K1570">
        <v>61</v>
      </c>
      <c r="L1570">
        <v>14.32</v>
      </c>
      <c r="M1570">
        <v>164</v>
      </c>
      <c r="N1570">
        <v>102</v>
      </c>
      <c r="O1570">
        <v>7.38</v>
      </c>
      <c r="P1570">
        <v>13.3</v>
      </c>
      <c r="Q1570">
        <v>3</v>
      </c>
      <c r="R1570">
        <v>3.59</v>
      </c>
      <c r="S1570">
        <v>3</v>
      </c>
      <c r="T1570" t="b">
        <v>1</v>
      </c>
    </row>
    <row r="1571" spans="1:20">
      <c r="A1571" t="s">
        <v>77</v>
      </c>
      <c r="B1571">
        <v>60</v>
      </c>
      <c r="C1571">
        <v>510</v>
      </c>
      <c r="D1571" t="s">
        <v>62</v>
      </c>
      <c r="E1571" t="s">
        <v>62</v>
      </c>
      <c r="F1571">
        <v>0</v>
      </c>
      <c r="G1571">
        <v>221.1</v>
      </c>
      <c r="H1571">
        <v>106</v>
      </c>
      <c r="I1571">
        <v>37.59</v>
      </c>
      <c r="J1571">
        <v>178.6</v>
      </c>
      <c r="K1571">
        <v>48</v>
      </c>
      <c r="L1571">
        <v>15.18</v>
      </c>
      <c r="M1571">
        <v>202.7</v>
      </c>
      <c r="N1571">
        <v>90</v>
      </c>
      <c r="O1571">
        <v>9.12</v>
      </c>
      <c r="P1571">
        <v>7.4</v>
      </c>
      <c r="Q1571">
        <v>3</v>
      </c>
      <c r="R1571">
        <v>2</v>
      </c>
      <c r="S1571">
        <v>1</v>
      </c>
      <c r="T1571" t="b">
        <v>0</v>
      </c>
    </row>
    <row r="1572" spans="1:20">
      <c r="A1572" t="s">
        <v>107</v>
      </c>
      <c r="B1572">
        <v>43</v>
      </c>
      <c r="C1572">
        <v>408</v>
      </c>
      <c r="D1572" t="s">
        <v>62</v>
      </c>
      <c r="E1572" t="s">
        <v>62</v>
      </c>
      <c r="F1572">
        <v>0</v>
      </c>
      <c r="G1572">
        <v>177.2</v>
      </c>
      <c r="H1572">
        <v>93</v>
      </c>
      <c r="I1572">
        <v>30.12</v>
      </c>
      <c r="J1572">
        <v>142.6</v>
      </c>
      <c r="K1572">
        <v>60</v>
      </c>
      <c r="L1572">
        <v>12.12</v>
      </c>
      <c r="M1572">
        <v>314.1</v>
      </c>
      <c r="N1572">
        <v>144</v>
      </c>
      <c r="O1572">
        <v>14.13</v>
      </c>
      <c r="P1572">
        <v>12.7</v>
      </c>
      <c r="Q1572">
        <v>2</v>
      </c>
      <c r="R1572">
        <v>3.43</v>
      </c>
      <c r="S1572">
        <v>4</v>
      </c>
      <c r="T1572" t="b">
        <v>0</v>
      </c>
    </row>
    <row r="1573" spans="1:20">
      <c r="A1573" t="s">
        <v>99</v>
      </c>
      <c r="B1573">
        <v>125</v>
      </c>
      <c r="C1573">
        <v>415</v>
      </c>
      <c r="D1573" t="s">
        <v>62</v>
      </c>
      <c r="E1573" t="s">
        <v>62</v>
      </c>
      <c r="F1573">
        <v>0</v>
      </c>
      <c r="G1573">
        <v>163.8</v>
      </c>
      <c r="H1573">
        <v>73</v>
      </c>
      <c r="I1573">
        <v>27.85</v>
      </c>
      <c r="J1573">
        <v>255.6</v>
      </c>
      <c r="K1573">
        <v>85</v>
      </c>
      <c r="L1573">
        <v>21.73</v>
      </c>
      <c r="M1573">
        <v>192.9</v>
      </c>
      <c r="N1573">
        <v>95</v>
      </c>
      <c r="O1573">
        <v>8.68</v>
      </c>
      <c r="P1573">
        <v>15.7</v>
      </c>
      <c r="Q1573">
        <v>4</v>
      </c>
      <c r="R1573">
        <v>4.24</v>
      </c>
      <c r="S1573">
        <v>0</v>
      </c>
      <c r="T1573" t="b">
        <v>0</v>
      </c>
    </row>
    <row r="1574" spans="1:20">
      <c r="A1574" t="s">
        <v>111</v>
      </c>
      <c r="B1574">
        <v>114</v>
      </c>
      <c r="C1574">
        <v>510</v>
      </c>
      <c r="D1574" t="s">
        <v>62</v>
      </c>
      <c r="E1574" t="s">
        <v>63</v>
      </c>
      <c r="F1574">
        <v>4</v>
      </c>
      <c r="G1574">
        <v>141.3</v>
      </c>
      <c r="H1574">
        <v>96</v>
      </c>
      <c r="I1574">
        <v>24.02</v>
      </c>
      <c r="J1574">
        <v>230.4</v>
      </c>
      <c r="K1574">
        <v>88</v>
      </c>
      <c r="L1574">
        <v>19.58</v>
      </c>
      <c r="M1574">
        <v>223.7</v>
      </c>
      <c r="N1574">
        <v>85</v>
      </c>
      <c r="O1574">
        <v>10.07</v>
      </c>
      <c r="P1574">
        <v>9.4</v>
      </c>
      <c r="Q1574">
        <v>3</v>
      </c>
      <c r="R1574">
        <v>2.54</v>
      </c>
      <c r="S1574">
        <v>3</v>
      </c>
      <c r="T1574" t="b">
        <v>0</v>
      </c>
    </row>
    <row r="1575" spans="1:20">
      <c r="A1575" t="s">
        <v>112</v>
      </c>
      <c r="B1575">
        <v>112</v>
      </c>
      <c r="C1575">
        <v>415</v>
      </c>
      <c r="D1575" t="s">
        <v>62</v>
      </c>
      <c r="E1575" t="s">
        <v>62</v>
      </c>
      <c r="F1575">
        <v>0</v>
      </c>
      <c r="G1575">
        <v>272.5</v>
      </c>
      <c r="H1575">
        <v>119</v>
      </c>
      <c r="I1575">
        <v>46.33</v>
      </c>
      <c r="J1575">
        <v>226.1</v>
      </c>
      <c r="K1575">
        <v>94</v>
      </c>
      <c r="L1575">
        <v>19.22</v>
      </c>
      <c r="M1575">
        <v>159.1</v>
      </c>
      <c r="N1575">
        <v>94</v>
      </c>
      <c r="O1575">
        <v>7.16</v>
      </c>
      <c r="P1575">
        <v>16.4</v>
      </c>
      <c r="Q1575">
        <v>5</v>
      </c>
      <c r="R1575">
        <v>4.43</v>
      </c>
      <c r="S1575">
        <v>3</v>
      </c>
      <c r="T1575" t="b">
        <v>1</v>
      </c>
    </row>
    <row r="1576" spans="1:20">
      <c r="A1576" t="s">
        <v>76</v>
      </c>
      <c r="B1576">
        <v>101</v>
      </c>
      <c r="C1576">
        <v>408</v>
      </c>
      <c r="D1576" t="s">
        <v>62</v>
      </c>
      <c r="E1576" t="s">
        <v>63</v>
      </c>
      <c r="F1576">
        <v>16</v>
      </c>
      <c r="G1576">
        <v>118.9</v>
      </c>
      <c r="H1576">
        <v>112</v>
      </c>
      <c r="I1576">
        <v>20.21</v>
      </c>
      <c r="J1576">
        <v>228.3</v>
      </c>
      <c r="K1576">
        <v>97</v>
      </c>
      <c r="L1576">
        <v>19.41</v>
      </c>
      <c r="M1576">
        <v>180.1</v>
      </c>
      <c r="N1576">
        <v>111</v>
      </c>
      <c r="O1576">
        <v>8.1</v>
      </c>
      <c r="P1576">
        <v>8.2</v>
      </c>
      <c r="Q1576">
        <v>5</v>
      </c>
      <c r="R1576">
        <v>2.21</v>
      </c>
      <c r="S1576">
        <v>2</v>
      </c>
      <c r="T1576" t="b">
        <v>0</v>
      </c>
    </row>
    <row r="1577" spans="1:20">
      <c r="A1577" t="s">
        <v>93</v>
      </c>
      <c r="B1577">
        <v>70</v>
      </c>
      <c r="C1577">
        <v>415</v>
      </c>
      <c r="D1577" t="s">
        <v>62</v>
      </c>
      <c r="E1577" t="s">
        <v>62</v>
      </c>
      <c r="F1577">
        <v>0</v>
      </c>
      <c r="G1577">
        <v>7.9</v>
      </c>
      <c r="H1577">
        <v>100</v>
      </c>
      <c r="I1577">
        <v>1.34</v>
      </c>
      <c r="J1577">
        <v>136.4</v>
      </c>
      <c r="K1577">
        <v>83</v>
      </c>
      <c r="L1577">
        <v>11.59</v>
      </c>
      <c r="M1577">
        <v>156.6</v>
      </c>
      <c r="N1577">
        <v>89</v>
      </c>
      <c r="O1577">
        <v>7.05</v>
      </c>
      <c r="P1577">
        <v>12.1</v>
      </c>
      <c r="Q1577">
        <v>1</v>
      </c>
      <c r="R1577">
        <v>3.27</v>
      </c>
      <c r="S1577">
        <v>0</v>
      </c>
      <c r="T1577" t="b">
        <v>0</v>
      </c>
    </row>
    <row r="1578" spans="1:20">
      <c r="A1578" t="s">
        <v>90</v>
      </c>
      <c r="B1578">
        <v>59</v>
      </c>
      <c r="C1578">
        <v>408</v>
      </c>
      <c r="D1578" t="s">
        <v>62</v>
      </c>
      <c r="E1578" t="s">
        <v>62</v>
      </c>
      <c r="F1578">
        <v>0</v>
      </c>
      <c r="G1578">
        <v>159.5</v>
      </c>
      <c r="H1578">
        <v>96</v>
      </c>
      <c r="I1578">
        <v>27.12</v>
      </c>
      <c r="J1578">
        <v>167.2</v>
      </c>
      <c r="K1578">
        <v>123</v>
      </c>
      <c r="L1578">
        <v>14.21</v>
      </c>
      <c r="M1578">
        <v>138.6</v>
      </c>
      <c r="N1578">
        <v>106</v>
      </c>
      <c r="O1578">
        <v>6.24</v>
      </c>
      <c r="P1578">
        <v>10.2</v>
      </c>
      <c r="Q1578">
        <v>4</v>
      </c>
      <c r="R1578">
        <v>2.75</v>
      </c>
      <c r="S1578">
        <v>0</v>
      </c>
      <c r="T1578" t="b">
        <v>0</v>
      </c>
    </row>
    <row r="1579" spans="1:20">
      <c r="A1579" t="s">
        <v>83</v>
      </c>
      <c r="B1579">
        <v>59</v>
      </c>
      <c r="C1579">
        <v>408</v>
      </c>
      <c r="D1579" t="s">
        <v>62</v>
      </c>
      <c r="E1579" t="s">
        <v>62</v>
      </c>
      <c r="F1579">
        <v>0</v>
      </c>
      <c r="G1579">
        <v>150.2</v>
      </c>
      <c r="H1579">
        <v>70</v>
      </c>
      <c r="I1579">
        <v>25.53</v>
      </c>
      <c r="J1579">
        <v>185.7</v>
      </c>
      <c r="K1579">
        <v>98</v>
      </c>
      <c r="L1579">
        <v>15.78</v>
      </c>
      <c r="M1579">
        <v>212.5</v>
      </c>
      <c r="N1579">
        <v>128</v>
      </c>
      <c r="O1579">
        <v>9.56</v>
      </c>
      <c r="P1579">
        <v>12.1</v>
      </c>
      <c r="Q1579">
        <v>2</v>
      </c>
      <c r="R1579">
        <v>3.27</v>
      </c>
      <c r="S1579">
        <v>1</v>
      </c>
      <c r="T1579" t="b">
        <v>0</v>
      </c>
    </row>
    <row r="1580" spans="1:20">
      <c r="A1580" t="s">
        <v>95</v>
      </c>
      <c r="B1580">
        <v>99</v>
      </c>
      <c r="C1580">
        <v>415</v>
      </c>
      <c r="D1580" t="s">
        <v>62</v>
      </c>
      <c r="E1580" t="s">
        <v>62</v>
      </c>
      <c r="F1580">
        <v>0</v>
      </c>
      <c r="G1580">
        <v>140.7</v>
      </c>
      <c r="H1580">
        <v>88</v>
      </c>
      <c r="I1580">
        <v>23.92</v>
      </c>
      <c r="J1580">
        <v>210.9</v>
      </c>
      <c r="K1580">
        <v>98</v>
      </c>
      <c r="L1580">
        <v>17.93</v>
      </c>
      <c r="M1580">
        <v>229.9</v>
      </c>
      <c r="N1580">
        <v>125</v>
      </c>
      <c r="O1580">
        <v>10.35</v>
      </c>
      <c r="P1580">
        <v>12.4</v>
      </c>
      <c r="Q1580">
        <v>4</v>
      </c>
      <c r="R1580">
        <v>3.35</v>
      </c>
      <c r="S1580">
        <v>2</v>
      </c>
      <c r="T1580" t="b">
        <v>0</v>
      </c>
    </row>
    <row r="1581" spans="1:20">
      <c r="A1581" t="s">
        <v>79</v>
      </c>
      <c r="B1581">
        <v>150</v>
      </c>
      <c r="C1581">
        <v>510</v>
      </c>
      <c r="D1581" t="s">
        <v>62</v>
      </c>
      <c r="E1581" t="s">
        <v>62</v>
      </c>
      <c r="F1581">
        <v>0</v>
      </c>
      <c r="G1581">
        <v>169.2</v>
      </c>
      <c r="H1581">
        <v>123</v>
      </c>
      <c r="I1581">
        <v>28.76</v>
      </c>
      <c r="J1581">
        <v>216.8</v>
      </c>
      <c r="K1581">
        <v>83</v>
      </c>
      <c r="L1581">
        <v>18.43</v>
      </c>
      <c r="M1581">
        <v>179.4</v>
      </c>
      <c r="N1581">
        <v>107</v>
      </c>
      <c r="O1581">
        <v>8.07</v>
      </c>
      <c r="P1581">
        <v>12.6</v>
      </c>
      <c r="Q1581">
        <v>3</v>
      </c>
      <c r="R1581">
        <v>3.4</v>
      </c>
      <c r="S1581">
        <v>1</v>
      </c>
      <c r="T1581" t="b">
        <v>0</v>
      </c>
    </row>
    <row r="1582" spans="1:20">
      <c r="A1582" t="s">
        <v>68</v>
      </c>
      <c r="B1582">
        <v>81</v>
      </c>
      <c r="C1582">
        <v>510</v>
      </c>
      <c r="D1582" t="s">
        <v>62</v>
      </c>
      <c r="E1582" t="s">
        <v>62</v>
      </c>
      <c r="F1582">
        <v>0</v>
      </c>
      <c r="G1582">
        <v>220.8</v>
      </c>
      <c r="H1582">
        <v>77</v>
      </c>
      <c r="I1582">
        <v>37.54</v>
      </c>
      <c r="J1582">
        <v>148.5</v>
      </c>
      <c r="K1582">
        <v>87</v>
      </c>
      <c r="L1582">
        <v>12.62</v>
      </c>
      <c r="M1582">
        <v>183.9</v>
      </c>
      <c r="N1582">
        <v>100</v>
      </c>
      <c r="O1582">
        <v>8.28</v>
      </c>
      <c r="P1582">
        <v>7.6</v>
      </c>
      <c r="Q1582">
        <v>3</v>
      </c>
      <c r="R1582">
        <v>2.05</v>
      </c>
      <c r="S1582">
        <v>2</v>
      </c>
      <c r="T1582" t="b">
        <v>0</v>
      </c>
    </row>
    <row r="1583" spans="1:20">
      <c r="A1583" t="s">
        <v>96</v>
      </c>
      <c r="B1583">
        <v>86</v>
      </c>
      <c r="C1583">
        <v>510</v>
      </c>
      <c r="D1583" t="s">
        <v>62</v>
      </c>
      <c r="E1583" t="s">
        <v>62</v>
      </c>
      <c r="F1583">
        <v>0</v>
      </c>
      <c r="G1583">
        <v>216.3</v>
      </c>
      <c r="H1583">
        <v>96</v>
      </c>
      <c r="I1583">
        <v>36.77</v>
      </c>
      <c r="J1583">
        <v>266.3</v>
      </c>
      <c r="K1583">
        <v>77</v>
      </c>
      <c r="L1583">
        <v>22.64</v>
      </c>
      <c r="M1583">
        <v>214</v>
      </c>
      <c r="N1583">
        <v>110</v>
      </c>
      <c r="O1583">
        <v>9.63</v>
      </c>
      <c r="P1583">
        <v>4.5</v>
      </c>
      <c r="Q1583">
        <v>3</v>
      </c>
      <c r="R1583">
        <v>1.22</v>
      </c>
      <c r="S1583">
        <v>0</v>
      </c>
      <c r="T1583" t="b">
        <v>0</v>
      </c>
    </row>
    <row r="1584" spans="1:20">
      <c r="A1584" t="s">
        <v>91</v>
      </c>
      <c r="B1584">
        <v>84</v>
      </c>
      <c r="C1584">
        <v>510</v>
      </c>
      <c r="D1584" t="s">
        <v>62</v>
      </c>
      <c r="E1584" t="s">
        <v>62</v>
      </c>
      <c r="F1584">
        <v>0</v>
      </c>
      <c r="G1584">
        <v>169.5</v>
      </c>
      <c r="H1584">
        <v>96</v>
      </c>
      <c r="I1584">
        <v>28.82</v>
      </c>
      <c r="J1584">
        <v>157.6</v>
      </c>
      <c r="K1584">
        <v>94</v>
      </c>
      <c r="L1584">
        <v>13.4</v>
      </c>
      <c r="M1584">
        <v>98.2</v>
      </c>
      <c r="N1584">
        <v>70</v>
      </c>
      <c r="O1584">
        <v>4.42</v>
      </c>
      <c r="P1584">
        <v>10.6</v>
      </c>
      <c r="Q1584">
        <v>7</v>
      </c>
      <c r="R1584">
        <v>2.86</v>
      </c>
      <c r="S1584">
        <v>0</v>
      </c>
      <c r="T1584" t="b">
        <v>0</v>
      </c>
    </row>
    <row r="1585" spans="1:20">
      <c r="A1585" t="s">
        <v>104</v>
      </c>
      <c r="B1585">
        <v>118</v>
      </c>
      <c r="C1585">
        <v>510</v>
      </c>
      <c r="D1585" t="s">
        <v>62</v>
      </c>
      <c r="E1585" t="s">
        <v>63</v>
      </c>
      <c r="F1585">
        <v>35</v>
      </c>
      <c r="G1585">
        <v>256.3</v>
      </c>
      <c r="H1585">
        <v>119</v>
      </c>
      <c r="I1585">
        <v>43.57</v>
      </c>
      <c r="J1585">
        <v>258.1</v>
      </c>
      <c r="K1585">
        <v>91</v>
      </c>
      <c r="L1585">
        <v>21.94</v>
      </c>
      <c r="M1585">
        <v>215.5</v>
      </c>
      <c r="N1585">
        <v>130</v>
      </c>
      <c r="O1585">
        <v>9.7</v>
      </c>
      <c r="P1585">
        <v>11.7</v>
      </c>
      <c r="Q1585">
        <v>1</v>
      </c>
      <c r="R1585">
        <v>3.16</v>
      </c>
      <c r="S1585">
        <v>1</v>
      </c>
      <c r="T1585" t="b">
        <v>0</v>
      </c>
    </row>
    <row r="1586" spans="1:20">
      <c r="A1586" t="s">
        <v>82</v>
      </c>
      <c r="B1586">
        <v>89</v>
      </c>
      <c r="C1586">
        <v>415</v>
      </c>
      <c r="D1586" t="s">
        <v>62</v>
      </c>
      <c r="E1586" t="s">
        <v>62</v>
      </c>
      <c r="F1586">
        <v>0</v>
      </c>
      <c r="G1586">
        <v>179.7</v>
      </c>
      <c r="H1586">
        <v>128</v>
      </c>
      <c r="I1586">
        <v>30.55</v>
      </c>
      <c r="J1586">
        <v>299.8</v>
      </c>
      <c r="K1586">
        <v>92</v>
      </c>
      <c r="L1586">
        <v>25.48</v>
      </c>
      <c r="M1586">
        <v>185.3</v>
      </c>
      <c r="N1586">
        <v>120</v>
      </c>
      <c r="O1586">
        <v>8.34</v>
      </c>
      <c r="P1586">
        <v>7.6</v>
      </c>
      <c r="Q1586">
        <v>3</v>
      </c>
      <c r="R1586">
        <v>2.05</v>
      </c>
      <c r="S1586">
        <v>1</v>
      </c>
      <c r="T1586" t="b">
        <v>0</v>
      </c>
    </row>
    <row r="1587" spans="1:20">
      <c r="A1587" t="s">
        <v>61</v>
      </c>
      <c r="B1587">
        <v>93</v>
      </c>
      <c r="C1587">
        <v>415</v>
      </c>
      <c r="D1587" t="s">
        <v>62</v>
      </c>
      <c r="E1587" t="s">
        <v>62</v>
      </c>
      <c r="F1587">
        <v>0</v>
      </c>
      <c r="G1587">
        <v>266</v>
      </c>
      <c r="H1587">
        <v>120</v>
      </c>
      <c r="I1587">
        <v>45.22</v>
      </c>
      <c r="J1587">
        <v>130.1</v>
      </c>
      <c r="K1587">
        <v>84</v>
      </c>
      <c r="L1587">
        <v>11.06</v>
      </c>
      <c r="M1587">
        <v>165.8</v>
      </c>
      <c r="N1587">
        <v>63</v>
      </c>
      <c r="O1587">
        <v>7.46</v>
      </c>
      <c r="P1587">
        <v>13.1</v>
      </c>
      <c r="Q1587">
        <v>6</v>
      </c>
      <c r="R1587">
        <v>3.54</v>
      </c>
      <c r="S1587">
        <v>3</v>
      </c>
      <c r="T1587" t="b">
        <v>0</v>
      </c>
    </row>
    <row r="1588" spans="1:20">
      <c r="A1588" t="s">
        <v>92</v>
      </c>
      <c r="B1588">
        <v>85</v>
      </c>
      <c r="C1588">
        <v>415</v>
      </c>
      <c r="D1588" t="s">
        <v>62</v>
      </c>
      <c r="E1588" t="s">
        <v>62</v>
      </c>
      <c r="F1588">
        <v>0</v>
      </c>
      <c r="G1588">
        <v>96.7</v>
      </c>
      <c r="H1588">
        <v>97</v>
      </c>
      <c r="I1588">
        <v>16.44</v>
      </c>
      <c r="J1588">
        <v>193.8</v>
      </c>
      <c r="K1588">
        <v>95</v>
      </c>
      <c r="L1588">
        <v>16.47</v>
      </c>
      <c r="M1588">
        <v>171.7</v>
      </c>
      <c r="N1588">
        <v>88</v>
      </c>
      <c r="O1588">
        <v>7.73</v>
      </c>
      <c r="P1588">
        <v>9.7</v>
      </c>
      <c r="Q1588">
        <v>3</v>
      </c>
      <c r="R1588">
        <v>2.62</v>
      </c>
      <c r="S1588">
        <v>2</v>
      </c>
      <c r="T1588" t="b">
        <v>0</v>
      </c>
    </row>
    <row r="1589" spans="1:20">
      <c r="A1589" t="s">
        <v>85</v>
      </c>
      <c r="B1589">
        <v>160</v>
      </c>
      <c r="C1589">
        <v>408</v>
      </c>
      <c r="D1589" t="s">
        <v>62</v>
      </c>
      <c r="E1589" t="s">
        <v>62</v>
      </c>
      <c r="F1589">
        <v>0</v>
      </c>
      <c r="G1589">
        <v>82.7</v>
      </c>
      <c r="H1589">
        <v>116</v>
      </c>
      <c r="I1589">
        <v>14.06</v>
      </c>
      <c r="J1589">
        <v>194.6</v>
      </c>
      <c r="K1589">
        <v>95</v>
      </c>
      <c r="L1589">
        <v>16.54</v>
      </c>
      <c r="M1589">
        <v>159</v>
      </c>
      <c r="N1589">
        <v>54</v>
      </c>
      <c r="O1589">
        <v>7.15</v>
      </c>
      <c r="P1589">
        <v>10.9</v>
      </c>
      <c r="Q1589">
        <v>9</v>
      </c>
      <c r="R1589">
        <v>2.94</v>
      </c>
      <c r="S1589">
        <v>0</v>
      </c>
      <c r="T1589" t="b">
        <v>0</v>
      </c>
    </row>
    <row r="1590" spans="1:20">
      <c r="A1590" t="s">
        <v>113</v>
      </c>
      <c r="B1590">
        <v>28</v>
      </c>
      <c r="C1590">
        <v>415</v>
      </c>
      <c r="D1590" t="s">
        <v>62</v>
      </c>
      <c r="E1590" t="s">
        <v>62</v>
      </c>
      <c r="F1590">
        <v>0</v>
      </c>
      <c r="G1590">
        <v>168.2</v>
      </c>
      <c r="H1590">
        <v>87</v>
      </c>
      <c r="I1590">
        <v>28.59</v>
      </c>
      <c r="J1590">
        <v>161.7</v>
      </c>
      <c r="K1590">
        <v>92</v>
      </c>
      <c r="L1590">
        <v>13.74</v>
      </c>
      <c r="M1590">
        <v>192.4</v>
      </c>
      <c r="N1590">
        <v>112</v>
      </c>
      <c r="O1590">
        <v>8.66</v>
      </c>
      <c r="P1590">
        <v>10.1</v>
      </c>
      <c r="Q1590">
        <v>3</v>
      </c>
      <c r="R1590">
        <v>2.73</v>
      </c>
      <c r="S1590">
        <v>3</v>
      </c>
      <c r="T1590" t="b">
        <v>0</v>
      </c>
    </row>
    <row r="1591" spans="1:20">
      <c r="A1591" t="s">
        <v>80</v>
      </c>
      <c r="B1591">
        <v>73</v>
      </c>
      <c r="C1591">
        <v>408</v>
      </c>
      <c r="D1591" t="s">
        <v>62</v>
      </c>
      <c r="E1591" t="s">
        <v>62</v>
      </c>
      <c r="F1591">
        <v>0</v>
      </c>
      <c r="G1591">
        <v>286.4</v>
      </c>
      <c r="H1591">
        <v>109</v>
      </c>
      <c r="I1591">
        <v>48.69</v>
      </c>
      <c r="J1591">
        <v>178.2</v>
      </c>
      <c r="K1591">
        <v>67</v>
      </c>
      <c r="L1591">
        <v>15.15</v>
      </c>
      <c r="M1591">
        <v>214.2</v>
      </c>
      <c r="N1591">
        <v>152</v>
      </c>
      <c r="O1591">
        <v>9.64</v>
      </c>
      <c r="P1591">
        <v>10.7</v>
      </c>
      <c r="Q1591">
        <v>14</v>
      </c>
      <c r="R1591">
        <v>2.89</v>
      </c>
      <c r="S1591">
        <v>1</v>
      </c>
      <c r="T1591" t="b">
        <v>1</v>
      </c>
    </row>
    <row r="1592" spans="1:20">
      <c r="A1592" t="s">
        <v>106</v>
      </c>
      <c r="B1592">
        <v>156</v>
      </c>
      <c r="C1592">
        <v>408</v>
      </c>
      <c r="D1592" t="s">
        <v>62</v>
      </c>
      <c r="E1592" t="s">
        <v>62</v>
      </c>
      <c r="F1592">
        <v>0</v>
      </c>
      <c r="G1592">
        <v>174.3</v>
      </c>
      <c r="H1592">
        <v>95</v>
      </c>
      <c r="I1592">
        <v>29.63</v>
      </c>
      <c r="J1592">
        <v>186.6</v>
      </c>
      <c r="K1592">
        <v>128</v>
      </c>
      <c r="L1592">
        <v>15.86</v>
      </c>
      <c r="M1592">
        <v>258.2</v>
      </c>
      <c r="N1592">
        <v>105</v>
      </c>
      <c r="O1592">
        <v>11.62</v>
      </c>
      <c r="P1592">
        <v>12.9</v>
      </c>
      <c r="Q1592">
        <v>5</v>
      </c>
      <c r="R1592">
        <v>3.48</v>
      </c>
      <c r="S1592">
        <v>3</v>
      </c>
      <c r="T1592" t="b">
        <v>0</v>
      </c>
    </row>
    <row r="1593" spans="1:20">
      <c r="A1593" t="s">
        <v>94</v>
      </c>
      <c r="B1593">
        <v>33</v>
      </c>
      <c r="C1593">
        <v>415</v>
      </c>
      <c r="D1593" t="s">
        <v>63</v>
      </c>
      <c r="E1593" t="s">
        <v>62</v>
      </c>
      <c r="F1593">
        <v>0</v>
      </c>
      <c r="G1593">
        <v>190.6</v>
      </c>
      <c r="H1593">
        <v>100</v>
      </c>
      <c r="I1593">
        <v>32.4</v>
      </c>
      <c r="J1593">
        <v>161.7</v>
      </c>
      <c r="K1593">
        <v>104</v>
      </c>
      <c r="L1593">
        <v>13.74</v>
      </c>
      <c r="M1593">
        <v>189.9</v>
      </c>
      <c r="N1593">
        <v>136</v>
      </c>
      <c r="O1593">
        <v>8.55</v>
      </c>
      <c r="P1593">
        <v>13</v>
      </c>
      <c r="Q1593">
        <v>6</v>
      </c>
      <c r="R1593">
        <v>3.51</v>
      </c>
      <c r="S1593">
        <v>1</v>
      </c>
      <c r="T1593" t="b">
        <v>0</v>
      </c>
    </row>
    <row r="1594" spans="1:20">
      <c r="A1594" t="s">
        <v>98</v>
      </c>
      <c r="B1594">
        <v>77</v>
      </c>
      <c r="C1594">
        <v>510</v>
      </c>
      <c r="D1594" t="s">
        <v>62</v>
      </c>
      <c r="E1594" t="s">
        <v>62</v>
      </c>
      <c r="F1594">
        <v>0</v>
      </c>
      <c r="G1594">
        <v>175.5</v>
      </c>
      <c r="H1594">
        <v>86</v>
      </c>
      <c r="I1594">
        <v>29.84</v>
      </c>
      <c r="J1594">
        <v>205.1</v>
      </c>
      <c r="K1594">
        <v>78</v>
      </c>
      <c r="L1594">
        <v>17.43</v>
      </c>
      <c r="M1594">
        <v>245.2</v>
      </c>
      <c r="N1594">
        <v>100</v>
      </c>
      <c r="O1594">
        <v>11.03</v>
      </c>
      <c r="P1594">
        <v>17.8</v>
      </c>
      <c r="Q1594">
        <v>3</v>
      </c>
      <c r="R1594">
        <v>4.81</v>
      </c>
      <c r="S1594">
        <v>4</v>
      </c>
      <c r="T1594" t="b">
        <v>0</v>
      </c>
    </row>
    <row r="1595" spans="1:20">
      <c r="A1595" t="s">
        <v>106</v>
      </c>
      <c r="B1595">
        <v>119</v>
      </c>
      <c r="C1595">
        <v>415</v>
      </c>
      <c r="D1595" t="s">
        <v>62</v>
      </c>
      <c r="E1595" t="s">
        <v>62</v>
      </c>
      <c r="F1595">
        <v>0</v>
      </c>
      <c r="G1595">
        <v>133.4</v>
      </c>
      <c r="H1595">
        <v>102</v>
      </c>
      <c r="I1595">
        <v>22.68</v>
      </c>
      <c r="J1595">
        <v>204.6</v>
      </c>
      <c r="K1595">
        <v>71</v>
      </c>
      <c r="L1595">
        <v>17.39</v>
      </c>
      <c r="M1595">
        <v>196.9</v>
      </c>
      <c r="N1595">
        <v>103</v>
      </c>
      <c r="O1595">
        <v>8.86</v>
      </c>
      <c r="P1595">
        <v>11.1</v>
      </c>
      <c r="Q1595">
        <v>7</v>
      </c>
      <c r="R1595">
        <v>3</v>
      </c>
      <c r="S1595">
        <v>1</v>
      </c>
      <c r="T1595" t="b">
        <v>0</v>
      </c>
    </row>
    <row r="1596" spans="1:20">
      <c r="A1596" t="s">
        <v>92</v>
      </c>
      <c r="B1596">
        <v>91</v>
      </c>
      <c r="C1596">
        <v>510</v>
      </c>
      <c r="D1596" t="s">
        <v>62</v>
      </c>
      <c r="E1596" t="s">
        <v>63</v>
      </c>
      <c r="F1596">
        <v>27</v>
      </c>
      <c r="G1596">
        <v>204.6</v>
      </c>
      <c r="H1596">
        <v>96</v>
      </c>
      <c r="I1596">
        <v>34.78</v>
      </c>
      <c r="J1596">
        <v>136</v>
      </c>
      <c r="K1596">
        <v>93</v>
      </c>
      <c r="L1596">
        <v>11.56</v>
      </c>
      <c r="M1596">
        <v>210.5</v>
      </c>
      <c r="N1596">
        <v>82</v>
      </c>
      <c r="O1596">
        <v>9.47</v>
      </c>
      <c r="P1596">
        <v>6.6</v>
      </c>
      <c r="Q1596">
        <v>2</v>
      </c>
      <c r="R1596">
        <v>1.78</v>
      </c>
      <c r="S1596">
        <v>3</v>
      </c>
      <c r="T1596" t="b">
        <v>0</v>
      </c>
    </row>
    <row r="1597" spans="1:20">
      <c r="A1597" t="s">
        <v>110</v>
      </c>
      <c r="B1597">
        <v>102</v>
      </c>
      <c r="C1597">
        <v>510</v>
      </c>
      <c r="D1597" t="s">
        <v>62</v>
      </c>
      <c r="E1597" t="s">
        <v>62</v>
      </c>
      <c r="F1597">
        <v>0</v>
      </c>
      <c r="G1597">
        <v>242.2</v>
      </c>
      <c r="H1597">
        <v>88</v>
      </c>
      <c r="I1597">
        <v>41.17</v>
      </c>
      <c r="J1597">
        <v>233.2</v>
      </c>
      <c r="K1597">
        <v>89</v>
      </c>
      <c r="L1597">
        <v>19.82</v>
      </c>
      <c r="M1597">
        <v>188.5</v>
      </c>
      <c r="N1597">
        <v>121</v>
      </c>
      <c r="O1597">
        <v>8.48</v>
      </c>
      <c r="P1597">
        <v>6.2</v>
      </c>
      <c r="Q1597">
        <v>6</v>
      </c>
      <c r="R1597">
        <v>1.67</v>
      </c>
      <c r="S1597">
        <v>3</v>
      </c>
      <c r="T1597" t="b">
        <v>0</v>
      </c>
    </row>
    <row r="1598" spans="1:20">
      <c r="A1598" t="s">
        <v>66</v>
      </c>
      <c r="B1598">
        <v>86</v>
      </c>
      <c r="C1598">
        <v>415</v>
      </c>
      <c r="D1598" t="s">
        <v>62</v>
      </c>
      <c r="E1598" t="s">
        <v>63</v>
      </c>
      <c r="F1598">
        <v>33</v>
      </c>
      <c r="G1598">
        <v>253.1</v>
      </c>
      <c r="H1598">
        <v>112</v>
      </c>
      <c r="I1598">
        <v>43.03</v>
      </c>
      <c r="J1598">
        <v>210.1</v>
      </c>
      <c r="K1598">
        <v>94</v>
      </c>
      <c r="L1598">
        <v>17.86</v>
      </c>
      <c r="M1598">
        <v>95</v>
      </c>
      <c r="N1598">
        <v>98</v>
      </c>
      <c r="O1598">
        <v>4.27</v>
      </c>
      <c r="P1598">
        <v>11.9</v>
      </c>
      <c r="Q1598">
        <v>4</v>
      </c>
      <c r="R1598">
        <v>3.21</v>
      </c>
      <c r="S1598">
        <v>3</v>
      </c>
      <c r="T1598" t="b">
        <v>0</v>
      </c>
    </row>
    <row r="1599" spans="1:20">
      <c r="A1599" t="s">
        <v>80</v>
      </c>
      <c r="B1599">
        <v>82</v>
      </c>
      <c r="C1599">
        <v>415</v>
      </c>
      <c r="D1599" t="s">
        <v>62</v>
      </c>
      <c r="E1599" t="s">
        <v>62</v>
      </c>
      <c r="F1599">
        <v>0</v>
      </c>
      <c r="G1599">
        <v>130</v>
      </c>
      <c r="H1599">
        <v>110</v>
      </c>
      <c r="I1599">
        <v>22.1</v>
      </c>
      <c r="J1599">
        <v>185.3</v>
      </c>
      <c r="K1599">
        <v>88</v>
      </c>
      <c r="L1599">
        <v>15.75</v>
      </c>
      <c r="M1599">
        <v>178.7</v>
      </c>
      <c r="N1599">
        <v>105</v>
      </c>
      <c r="O1599">
        <v>8.04</v>
      </c>
      <c r="P1599">
        <v>8.3</v>
      </c>
      <c r="Q1599">
        <v>4</v>
      </c>
      <c r="R1599">
        <v>2.24</v>
      </c>
      <c r="S1599">
        <v>0</v>
      </c>
      <c r="T1599" t="b">
        <v>0</v>
      </c>
    </row>
    <row r="1600" spans="1:20">
      <c r="A1600" t="s">
        <v>100</v>
      </c>
      <c r="B1600">
        <v>89</v>
      </c>
      <c r="C1600">
        <v>408</v>
      </c>
      <c r="D1600" t="s">
        <v>62</v>
      </c>
      <c r="E1600" t="s">
        <v>62</v>
      </c>
      <c r="F1600">
        <v>0</v>
      </c>
      <c r="G1600">
        <v>105.9</v>
      </c>
      <c r="H1600">
        <v>151</v>
      </c>
      <c r="I1600">
        <v>18</v>
      </c>
      <c r="J1600">
        <v>189.6</v>
      </c>
      <c r="K1600">
        <v>142</v>
      </c>
      <c r="L1600">
        <v>16.12</v>
      </c>
      <c r="M1600">
        <v>170.9</v>
      </c>
      <c r="N1600">
        <v>67</v>
      </c>
      <c r="O1600">
        <v>7.69</v>
      </c>
      <c r="P1600">
        <v>12.7</v>
      </c>
      <c r="Q1600">
        <v>7</v>
      </c>
      <c r="R1600">
        <v>3.43</v>
      </c>
      <c r="S1600">
        <v>0</v>
      </c>
      <c r="T1600" t="b">
        <v>0</v>
      </c>
    </row>
    <row r="1601" spans="1:20">
      <c r="A1601" t="s">
        <v>77</v>
      </c>
      <c r="B1601">
        <v>86</v>
      </c>
      <c r="C1601">
        <v>415</v>
      </c>
      <c r="D1601" t="s">
        <v>62</v>
      </c>
      <c r="E1601" t="s">
        <v>62</v>
      </c>
      <c r="F1601">
        <v>0</v>
      </c>
      <c r="G1601">
        <v>194.2</v>
      </c>
      <c r="H1601">
        <v>98</v>
      </c>
      <c r="I1601">
        <v>33.01</v>
      </c>
      <c r="J1601">
        <v>193.8</v>
      </c>
      <c r="K1601">
        <v>95</v>
      </c>
      <c r="L1601">
        <v>16.47</v>
      </c>
      <c r="M1601">
        <v>192</v>
      </c>
      <c r="N1601">
        <v>123</v>
      </c>
      <c r="O1601">
        <v>8.64</v>
      </c>
      <c r="P1601">
        <v>9.3</v>
      </c>
      <c r="Q1601">
        <v>7</v>
      </c>
      <c r="R1601">
        <v>2.51</v>
      </c>
      <c r="S1601">
        <v>3</v>
      </c>
      <c r="T1601" t="b">
        <v>0</v>
      </c>
    </row>
    <row r="1602" spans="1:20">
      <c r="A1602" t="s">
        <v>94</v>
      </c>
      <c r="B1602">
        <v>92</v>
      </c>
      <c r="C1602">
        <v>415</v>
      </c>
      <c r="D1602" t="s">
        <v>62</v>
      </c>
      <c r="E1602" t="s">
        <v>62</v>
      </c>
      <c r="F1602">
        <v>0</v>
      </c>
      <c r="G1602">
        <v>196.5</v>
      </c>
      <c r="H1602">
        <v>82</v>
      </c>
      <c r="I1602">
        <v>33.41</v>
      </c>
      <c r="J1602">
        <v>190</v>
      </c>
      <c r="K1602">
        <v>89</v>
      </c>
      <c r="L1602">
        <v>16.15</v>
      </c>
      <c r="M1602">
        <v>163.2</v>
      </c>
      <c r="N1602">
        <v>99</v>
      </c>
      <c r="O1602">
        <v>7.34</v>
      </c>
      <c r="P1602">
        <v>10.8</v>
      </c>
      <c r="Q1602">
        <v>2</v>
      </c>
      <c r="R1602">
        <v>2.92</v>
      </c>
      <c r="S1602">
        <v>2</v>
      </c>
      <c r="T1602" t="b">
        <v>0</v>
      </c>
    </row>
    <row r="1603" spans="1:20">
      <c r="A1603" t="s">
        <v>99</v>
      </c>
      <c r="B1603">
        <v>87</v>
      </c>
      <c r="C1603">
        <v>510</v>
      </c>
      <c r="D1603" t="s">
        <v>62</v>
      </c>
      <c r="E1603" t="s">
        <v>62</v>
      </c>
      <c r="F1603">
        <v>0</v>
      </c>
      <c r="G1603">
        <v>184.5</v>
      </c>
      <c r="H1603">
        <v>81</v>
      </c>
      <c r="I1603">
        <v>31.37</v>
      </c>
      <c r="J1603">
        <v>172</v>
      </c>
      <c r="K1603">
        <v>103</v>
      </c>
      <c r="L1603">
        <v>14.62</v>
      </c>
      <c r="M1603">
        <v>183.4</v>
      </c>
      <c r="N1603">
        <v>96</v>
      </c>
      <c r="O1603">
        <v>8.25</v>
      </c>
      <c r="P1603">
        <v>13.7</v>
      </c>
      <c r="Q1603">
        <v>3</v>
      </c>
      <c r="R1603">
        <v>3.7</v>
      </c>
      <c r="S1603">
        <v>3</v>
      </c>
      <c r="T1603" t="b">
        <v>0</v>
      </c>
    </row>
    <row r="1604" spans="1:20">
      <c r="A1604" t="s">
        <v>84</v>
      </c>
      <c r="B1604">
        <v>64</v>
      </c>
      <c r="C1604">
        <v>408</v>
      </c>
      <c r="D1604" t="s">
        <v>62</v>
      </c>
      <c r="E1604" t="s">
        <v>62</v>
      </c>
      <c r="F1604">
        <v>0</v>
      </c>
      <c r="G1604">
        <v>261.9</v>
      </c>
      <c r="H1604">
        <v>113</v>
      </c>
      <c r="I1604">
        <v>44.52</v>
      </c>
      <c r="J1604">
        <v>148.1</v>
      </c>
      <c r="K1604">
        <v>99</v>
      </c>
      <c r="L1604">
        <v>12.59</v>
      </c>
      <c r="M1604">
        <v>145.2</v>
      </c>
      <c r="N1604">
        <v>74</v>
      </c>
      <c r="O1604">
        <v>6.53</v>
      </c>
      <c r="P1604">
        <v>13.8</v>
      </c>
      <c r="Q1604">
        <v>4</v>
      </c>
      <c r="R1604">
        <v>3.73</v>
      </c>
      <c r="S1604">
        <v>0</v>
      </c>
      <c r="T1604" t="b">
        <v>0</v>
      </c>
    </row>
    <row r="1605" spans="1:20">
      <c r="A1605" t="s">
        <v>73</v>
      </c>
      <c r="B1605">
        <v>80</v>
      </c>
      <c r="C1605">
        <v>510</v>
      </c>
      <c r="D1605" t="s">
        <v>62</v>
      </c>
      <c r="E1605" t="s">
        <v>62</v>
      </c>
      <c r="F1605">
        <v>0</v>
      </c>
      <c r="G1605">
        <v>202.4</v>
      </c>
      <c r="H1605">
        <v>118</v>
      </c>
      <c r="I1605">
        <v>34.41</v>
      </c>
      <c r="J1605">
        <v>260.2</v>
      </c>
      <c r="K1605">
        <v>67</v>
      </c>
      <c r="L1605">
        <v>22.12</v>
      </c>
      <c r="M1605">
        <v>177.4</v>
      </c>
      <c r="N1605">
        <v>112</v>
      </c>
      <c r="O1605">
        <v>7.98</v>
      </c>
      <c r="P1605">
        <v>9.2</v>
      </c>
      <c r="Q1605">
        <v>5</v>
      </c>
      <c r="R1605">
        <v>2.48</v>
      </c>
      <c r="S1605">
        <v>3</v>
      </c>
      <c r="T1605" t="b">
        <v>0</v>
      </c>
    </row>
    <row r="1606" spans="1:20">
      <c r="A1606" t="s">
        <v>91</v>
      </c>
      <c r="B1606">
        <v>165</v>
      </c>
      <c r="C1606">
        <v>415</v>
      </c>
      <c r="D1606" t="s">
        <v>62</v>
      </c>
      <c r="E1606" t="s">
        <v>63</v>
      </c>
      <c r="F1606">
        <v>39</v>
      </c>
      <c r="G1606">
        <v>167.4</v>
      </c>
      <c r="H1606">
        <v>113</v>
      </c>
      <c r="I1606">
        <v>28.46</v>
      </c>
      <c r="J1606">
        <v>172.7</v>
      </c>
      <c r="K1606">
        <v>94</v>
      </c>
      <c r="L1606">
        <v>14.68</v>
      </c>
      <c r="M1606">
        <v>192.6</v>
      </c>
      <c r="N1606">
        <v>113</v>
      </c>
      <c r="O1606">
        <v>8.67</v>
      </c>
      <c r="P1606">
        <v>9.5</v>
      </c>
      <c r="Q1606">
        <v>4</v>
      </c>
      <c r="R1606">
        <v>2.57</v>
      </c>
      <c r="S1606">
        <v>3</v>
      </c>
      <c r="T1606" t="b">
        <v>0</v>
      </c>
    </row>
    <row r="1607" spans="1:20">
      <c r="A1607" t="s">
        <v>77</v>
      </c>
      <c r="B1607">
        <v>153</v>
      </c>
      <c r="C1607">
        <v>415</v>
      </c>
      <c r="D1607" t="s">
        <v>62</v>
      </c>
      <c r="E1607" t="s">
        <v>63</v>
      </c>
      <c r="F1607">
        <v>22</v>
      </c>
      <c r="G1607">
        <v>167.7</v>
      </c>
      <c r="H1607">
        <v>104</v>
      </c>
      <c r="I1607">
        <v>28.51</v>
      </c>
      <c r="J1607">
        <v>246.8</v>
      </c>
      <c r="K1607">
        <v>91</v>
      </c>
      <c r="L1607">
        <v>20.98</v>
      </c>
      <c r="M1607">
        <v>203.9</v>
      </c>
      <c r="N1607">
        <v>117</v>
      </c>
      <c r="O1607">
        <v>9.18</v>
      </c>
      <c r="P1607">
        <v>7.5</v>
      </c>
      <c r="Q1607">
        <v>11</v>
      </c>
      <c r="R1607">
        <v>2.03</v>
      </c>
      <c r="S1607">
        <v>1</v>
      </c>
      <c r="T1607" t="b">
        <v>0</v>
      </c>
    </row>
    <row r="1608" spans="1:20">
      <c r="A1608" t="s">
        <v>99</v>
      </c>
      <c r="B1608">
        <v>108</v>
      </c>
      <c r="C1608">
        <v>415</v>
      </c>
      <c r="D1608" t="s">
        <v>62</v>
      </c>
      <c r="E1608" t="s">
        <v>62</v>
      </c>
      <c r="F1608">
        <v>0</v>
      </c>
      <c r="G1608">
        <v>240.2</v>
      </c>
      <c r="H1608">
        <v>78</v>
      </c>
      <c r="I1608">
        <v>40.83</v>
      </c>
      <c r="J1608">
        <v>230.3</v>
      </c>
      <c r="K1608">
        <v>109</v>
      </c>
      <c r="L1608">
        <v>19.58</v>
      </c>
      <c r="M1608">
        <v>217</v>
      </c>
      <c r="N1608">
        <v>83</v>
      </c>
      <c r="O1608">
        <v>9.76</v>
      </c>
      <c r="P1608">
        <v>5.2</v>
      </c>
      <c r="Q1608">
        <v>1</v>
      </c>
      <c r="R1608">
        <v>1.4</v>
      </c>
      <c r="S1608">
        <v>2</v>
      </c>
      <c r="T1608" t="b">
        <v>0</v>
      </c>
    </row>
    <row r="1609" spans="1:20">
      <c r="A1609" t="s">
        <v>106</v>
      </c>
      <c r="B1609">
        <v>104</v>
      </c>
      <c r="C1609">
        <v>415</v>
      </c>
      <c r="D1609" t="s">
        <v>62</v>
      </c>
      <c r="E1609" t="s">
        <v>63</v>
      </c>
      <c r="F1609">
        <v>26</v>
      </c>
      <c r="G1609">
        <v>189.1</v>
      </c>
      <c r="H1609">
        <v>112</v>
      </c>
      <c r="I1609">
        <v>32.15</v>
      </c>
      <c r="J1609">
        <v>178.2</v>
      </c>
      <c r="K1609">
        <v>97</v>
      </c>
      <c r="L1609">
        <v>15.15</v>
      </c>
      <c r="M1609">
        <v>199.3</v>
      </c>
      <c r="N1609">
        <v>104</v>
      </c>
      <c r="O1609">
        <v>8.97</v>
      </c>
      <c r="P1609">
        <v>11.1</v>
      </c>
      <c r="Q1609">
        <v>4</v>
      </c>
      <c r="R1609">
        <v>3</v>
      </c>
      <c r="S1609">
        <v>1</v>
      </c>
      <c r="T1609" t="b">
        <v>0</v>
      </c>
    </row>
    <row r="1610" spans="1:20">
      <c r="A1610" t="s">
        <v>95</v>
      </c>
      <c r="B1610">
        <v>115</v>
      </c>
      <c r="C1610">
        <v>408</v>
      </c>
      <c r="D1610" t="s">
        <v>62</v>
      </c>
      <c r="E1610" t="s">
        <v>62</v>
      </c>
      <c r="F1610">
        <v>0</v>
      </c>
      <c r="G1610">
        <v>127.7</v>
      </c>
      <c r="H1610">
        <v>67</v>
      </c>
      <c r="I1610">
        <v>21.71</v>
      </c>
      <c r="J1610">
        <v>182.9</v>
      </c>
      <c r="K1610">
        <v>90</v>
      </c>
      <c r="L1610">
        <v>15.55</v>
      </c>
      <c r="M1610">
        <v>172.9</v>
      </c>
      <c r="N1610">
        <v>92</v>
      </c>
      <c r="O1610">
        <v>7.78</v>
      </c>
      <c r="P1610">
        <v>10.6</v>
      </c>
      <c r="Q1610">
        <v>7</v>
      </c>
      <c r="R1610">
        <v>2.86</v>
      </c>
      <c r="S1610">
        <v>1</v>
      </c>
      <c r="T1610" t="b">
        <v>0</v>
      </c>
    </row>
    <row r="1611" spans="1:20">
      <c r="A1611" t="s">
        <v>66</v>
      </c>
      <c r="B1611">
        <v>87</v>
      </c>
      <c r="C1611">
        <v>415</v>
      </c>
      <c r="D1611" t="s">
        <v>62</v>
      </c>
      <c r="E1611" t="s">
        <v>62</v>
      </c>
      <c r="F1611">
        <v>0</v>
      </c>
      <c r="G1611">
        <v>205.2</v>
      </c>
      <c r="H1611">
        <v>106</v>
      </c>
      <c r="I1611">
        <v>34.88</v>
      </c>
      <c r="J1611">
        <v>99.5</v>
      </c>
      <c r="K1611">
        <v>122</v>
      </c>
      <c r="L1611">
        <v>8.46</v>
      </c>
      <c r="M1611">
        <v>189.5</v>
      </c>
      <c r="N1611">
        <v>75</v>
      </c>
      <c r="O1611">
        <v>8.53</v>
      </c>
      <c r="P1611">
        <v>13.4</v>
      </c>
      <c r="Q1611">
        <v>3</v>
      </c>
      <c r="R1611">
        <v>3.62</v>
      </c>
      <c r="S1611">
        <v>1</v>
      </c>
      <c r="T1611" t="b">
        <v>0</v>
      </c>
    </row>
    <row r="1612" spans="1:20">
      <c r="A1612" t="s">
        <v>96</v>
      </c>
      <c r="B1612">
        <v>119</v>
      </c>
      <c r="C1612">
        <v>510</v>
      </c>
      <c r="D1612" t="s">
        <v>62</v>
      </c>
      <c r="E1612" t="s">
        <v>62</v>
      </c>
      <c r="F1612">
        <v>0</v>
      </c>
      <c r="G1612">
        <v>154.5</v>
      </c>
      <c r="H1612">
        <v>129</v>
      </c>
      <c r="I1612">
        <v>26.27</v>
      </c>
      <c r="J1612">
        <v>193.6</v>
      </c>
      <c r="K1612">
        <v>87</v>
      </c>
      <c r="L1612">
        <v>16.46</v>
      </c>
      <c r="M1612">
        <v>180.9</v>
      </c>
      <c r="N1612">
        <v>145</v>
      </c>
      <c r="O1612">
        <v>8.14</v>
      </c>
      <c r="P1612">
        <v>13.4</v>
      </c>
      <c r="Q1612">
        <v>3</v>
      </c>
      <c r="R1612">
        <v>3.62</v>
      </c>
      <c r="S1612">
        <v>2</v>
      </c>
      <c r="T1612" t="b">
        <v>0</v>
      </c>
    </row>
    <row r="1613" spans="1:20">
      <c r="A1613" t="s">
        <v>104</v>
      </c>
      <c r="B1613">
        <v>69</v>
      </c>
      <c r="C1613">
        <v>415</v>
      </c>
      <c r="D1613" t="s">
        <v>62</v>
      </c>
      <c r="E1613" t="s">
        <v>62</v>
      </c>
      <c r="F1613">
        <v>0</v>
      </c>
      <c r="G1613">
        <v>153.7</v>
      </c>
      <c r="H1613">
        <v>109</v>
      </c>
      <c r="I1613">
        <v>26.13</v>
      </c>
      <c r="J1613">
        <v>194</v>
      </c>
      <c r="K1613">
        <v>105</v>
      </c>
      <c r="L1613">
        <v>16.49</v>
      </c>
      <c r="M1613">
        <v>256.1</v>
      </c>
      <c r="N1613">
        <v>114</v>
      </c>
      <c r="O1613">
        <v>11.52</v>
      </c>
      <c r="P1613">
        <v>14.1</v>
      </c>
      <c r="Q1613">
        <v>6</v>
      </c>
      <c r="R1613">
        <v>3.81</v>
      </c>
      <c r="S1613">
        <v>1</v>
      </c>
      <c r="T1613" t="b">
        <v>0</v>
      </c>
    </row>
    <row r="1614" spans="1:20">
      <c r="A1614" t="s">
        <v>99</v>
      </c>
      <c r="B1614">
        <v>93</v>
      </c>
      <c r="C1614">
        <v>510</v>
      </c>
      <c r="D1614" t="s">
        <v>62</v>
      </c>
      <c r="E1614" t="s">
        <v>62</v>
      </c>
      <c r="F1614">
        <v>0</v>
      </c>
      <c r="G1614">
        <v>328.1</v>
      </c>
      <c r="H1614">
        <v>106</v>
      </c>
      <c r="I1614">
        <v>55.78</v>
      </c>
      <c r="J1614">
        <v>151.7</v>
      </c>
      <c r="K1614">
        <v>89</v>
      </c>
      <c r="L1614">
        <v>12.89</v>
      </c>
      <c r="M1614">
        <v>303.5</v>
      </c>
      <c r="N1614">
        <v>114</v>
      </c>
      <c r="O1614">
        <v>13.66</v>
      </c>
      <c r="P1614">
        <v>8.7</v>
      </c>
      <c r="Q1614">
        <v>3</v>
      </c>
      <c r="R1614">
        <v>2.35</v>
      </c>
      <c r="S1614">
        <v>1</v>
      </c>
      <c r="T1614" t="b">
        <v>1</v>
      </c>
    </row>
    <row r="1615" spans="1:20">
      <c r="A1615" t="s">
        <v>66</v>
      </c>
      <c r="B1615">
        <v>154</v>
      </c>
      <c r="C1615">
        <v>415</v>
      </c>
      <c r="D1615" t="s">
        <v>63</v>
      </c>
      <c r="E1615" t="s">
        <v>62</v>
      </c>
      <c r="F1615">
        <v>0</v>
      </c>
      <c r="G1615">
        <v>145.9</v>
      </c>
      <c r="H1615">
        <v>69</v>
      </c>
      <c r="I1615">
        <v>24.8</v>
      </c>
      <c r="J1615">
        <v>208.2</v>
      </c>
      <c r="K1615">
        <v>141</v>
      </c>
      <c r="L1615">
        <v>17.7</v>
      </c>
      <c r="M1615">
        <v>180.9</v>
      </c>
      <c r="N1615">
        <v>106</v>
      </c>
      <c r="O1615">
        <v>8.14</v>
      </c>
      <c r="P1615">
        <v>14.4</v>
      </c>
      <c r="Q1615">
        <v>10</v>
      </c>
      <c r="R1615">
        <v>3.89</v>
      </c>
      <c r="S1615">
        <v>0</v>
      </c>
      <c r="T1615" t="b">
        <v>1</v>
      </c>
    </row>
    <row r="1616" spans="1:20">
      <c r="A1616" t="s">
        <v>61</v>
      </c>
      <c r="B1616">
        <v>57</v>
      </c>
      <c r="C1616">
        <v>415</v>
      </c>
      <c r="D1616" t="s">
        <v>62</v>
      </c>
      <c r="E1616" t="s">
        <v>63</v>
      </c>
      <c r="F1616">
        <v>37</v>
      </c>
      <c r="G1616">
        <v>201.2</v>
      </c>
      <c r="H1616">
        <v>76</v>
      </c>
      <c r="I1616">
        <v>34.2</v>
      </c>
      <c r="J1616">
        <v>280.1</v>
      </c>
      <c r="K1616">
        <v>122</v>
      </c>
      <c r="L1616">
        <v>23.81</v>
      </c>
      <c r="M1616">
        <v>154.2</v>
      </c>
      <c r="N1616">
        <v>110</v>
      </c>
      <c r="O1616">
        <v>6.94</v>
      </c>
      <c r="P1616">
        <v>11.8</v>
      </c>
      <c r="Q1616">
        <v>1</v>
      </c>
      <c r="R1616">
        <v>3.19</v>
      </c>
      <c r="S1616">
        <v>1</v>
      </c>
      <c r="T1616" t="b">
        <v>0</v>
      </c>
    </row>
    <row r="1617" spans="1:20">
      <c r="A1617" t="s">
        <v>75</v>
      </c>
      <c r="B1617">
        <v>130</v>
      </c>
      <c r="C1617">
        <v>510</v>
      </c>
      <c r="D1617" t="s">
        <v>62</v>
      </c>
      <c r="E1617" t="s">
        <v>62</v>
      </c>
      <c r="F1617">
        <v>0</v>
      </c>
      <c r="G1617">
        <v>139.1</v>
      </c>
      <c r="H1617">
        <v>72</v>
      </c>
      <c r="I1617">
        <v>23.65</v>
      </c>
      <c r="J1617">
        <v>246</v>
      </c>
      <c r="K1617">
        <v>112</v>
      </c>
      <c r="L1617">
        <v>20.91</v>
      </c>
      <c r="M1617">
        <v>207.2</v>
      </c>
      <c r="N1617">
        <v>121</v>
      </c>
      <c r="O1617">
        <v>9.32</v>
      </c>
      <c r="P1617">
        <v>11.4</v>
      </c>
      <c r="Q1617">
        <v>9</v>
      </c>
      <c r="R1617">
        <v>3.08</v>
      </c>
      <c r="S1617">
        <v>5</v>
      </c>
      <c r="T1617" t="b">
        <v>0</v>
      </c>
    </row>
    <row r="1618" spans="1:20">
      <c r="A1618" t="s">
        <v>65</v>
      </c>
      <c r="B1618">
        <v>151</v>
      </c>
      <c r="C1618">
        <v>415</v>
      </c>
      <c r="D1618" t="s">
        <v>62</v>
      </c>
      <c r="E1618" t="s">
        <v>62</v>
      </c>
      <c r="F1618">
        <v>0</v>
      </c>
      <c r="G1618">
        <v>118.9</v>
      </c>
      <c r="H1618">
        <v>128</v>
      </c>
      <c r="I1618">
        <v>20.21</v>
      </c>
      <c r="J1618">
        <v>278.3</v>
      </c>
      <c r="K1618">
        <v>65</v>
      </c>
      <c r="L1618">
        <v>23.66</v>
      </c>
      <c r="M1618">
        <v>194.8</v>
      </c>
      <c r="N1618">
        <v>61</v>
      </c>
      <c r="O1618">
        <v>8.77</v>
      </c>
      <c r="P1618">
        <v>13.2</v>
      </c>
      <c r="Q1618">
        <v>10</v>
      </c>
      <c r="R1618">
        <v>3.56</v>
      </c>
      <c r="S1618">
        <v>2</v>
      </c>
      <c r="T1618" t="b">
        <v>0</v>
      </c>
    </row>
    <row r="1619" spans="1:20">
      <c r="A1619" t="s">
        <v>65</v>
      </c>
      <c r="B1619">
        <v>162</v>
      </c>
      <c r="C1619">
        <v>408</v>
      </c>
      <c r="D1619" t="s">
        <v>62</v>
      </c>
      <c r="E1619" t="s">
        <v>62</v>
      </c>
      <c r="F1619">
        <v>0</v>
      </c>
      <c r="G1619">
        <v>217.6</v>
      </c>
      <c r="H1619">
        <v>87</v>
      </c>
      <c r="I1619">
        <v>36.99</v>
      </c>
      <c r="J1619">
        <v>279</v>
      </c>
      <c r="K1619">
        <v>71</v>
      </c>
      <c r="L1619">
        <v>23.72</v>
      </c>
      <c r="M1619">
        <v>250.7</v>
      </c>
      <c r="N1619">
        <v>65</v>
      </c>
      <c r="O1619">
        <v>11.28</v>
      </c>
      <c r="P1619">
        <v>10.4</v>
      </c>
      <c r="Q1619">
        <v>4</v>
      </c>
      <c r="R1619">
        <v>2.81</v>
      </c>
      <c r="S1619">
        <v>2</v>
      </c>
      <c r="T1619" t="b">
        <v>1</v>
      </c>
    </row>
    <row r="1620" spans="1:20">
      <c r="A1620" t="s">
        <v>76</v>
      </c>
      <c r="B1620">
        <v>60</v>
      </c>
      <c r="C1620">
        <v>415</v>
      </c>
      <c r="D1620" t="s">
        <v>62</v>
      </c>
      <c r="E1620" t="s">
        <v>62</v>
      </c>
      <c r="F1620">
        <v>0</v>
      </c>
      <c r="G1620">
        <v>145</v>
      </c>
      <c r="H1620">
        <v>133</v>
      </c>
      <c r="I1620">
        <v>24.65</v>
      </c>
      <c r="J1620">
        <v>209.1</v>
      </c>
      <c r="K1620">
        <v>92</v>
      </c>
      <c r="L1620">
        <v>17.77</v>
      </c>
      <c r="M1620">
        <v>328.5</v>
      </c>
      <c r="N1620">
        <v>112</v>
      </c>
      <c r="O1620">
        <v>14.78</v>
      </c>
      <c r="P1620">
        <v>14.6</v>
      </c>
      <c r="Q1620">
        <v>2</v>
      </c>
      <c r="R1620">
        <v>3.94</v>
      </c>
      <c r="S1620">
        <v>1</v>
      </c>
      <c r="T1620" t="b">
        <v>0</v>
      </c>
    </row>
    <row r="1621" spans="1:20">
      <c r="A1621" t="s">
        <v>75</v>
      </c>
      <c r="B1621">
        <v>81</v>
      </c>
      <c r="C1621">
        <v>510</v>
      </c>
      <c r="D1621" t="s">
        <v>62</v>
      </c>
      <c r="E1621" t="s">
        <v>62</v>
      </c>
      <c r="F1621">
        <v>0</v>
      </c>
      <c r="G1621">
        <v>203.5</v>
      </c>
      <c r="H1621">
        <v>89</v>
      </c>
      <c r="I1621">
        <v>34.6</v>
      </c>
      <c r="J1621">
        <v>289.6</v>
      </c>
      <c r="K1621">
        <v>69</v>
      </c>
      <c r="L1621">
        <v>24.62</v>
      </c>
      <c r="M1621">
        <v>212.9</v>
      </c>
      <c r="N1621">
        <v>71</v>
      </c>
      <c r="O1621">
        <v>9.58</v>
      </c>
      <c r="P1621">
        <v>8.7</v>
      </c>
      <c r="Q1621">
        <v>3</v>
      </c>
      <c r="R1621">
        <v>2.35</v>
      </c>
      <c r="S1621">
        <v>3</v>
      </c>
      <c r="T1621" t="b">
        <v>0</v>
      </c>
    </row>
    <row r="1622" spans="1:20">
      <c r="A1622" t="s">
        <v>80</v>
      </c>
      <c r="B1622">
        <v>136</v>
      </c>
      <c r="C1622">
        <v>408</v>
      </c>
      <c r="D1622" t="s">
        <v>62</v>
      </c>
      <c r="E1622" t="s">
        <v>62</v>
      </c>
      <c r="F1622">
        <v>0</v>
      </c>
      <c r="G1622">
        <v>269.8</v>
      </c>
      <c r="H1622">
        <v>106</v>
      </c>
      <c r="I1622">
        <v>45.87</v>
      </c>
      <c r="J1622">
        <v>228.8</v>
      </c>
      <c r="K1622">
        <v>101</v>
      </c>
      <c r="L1622">
        <v>19.45</v>
      </c>
      <c r="M1622">
        <v>257.5</v>
      </c>
      <c r="N1622">
        <v>106</v>
      </c>
      <c r="O1622">
        <v>11.59</v>
      </c>
      <c r="P1622">
        <v>10.1</v>
      </c>
      <c r="Q1622">
        <v>8</v>
      </c>
      <c r="R1622">
        <v>2.73</v>
      </c>
      <c r="S1622">
        <v>1</v>
      </c>
      <c r="T1622" t="b">
        <v>1</v>
      </c>
    </row>
    <row r="1623" spans="1:20">
      <c r="A1623" t="s">
        <v>109</v>
      </c>
      <c r="B1623">
        <v>121</v>
      </c>
      <c r="C1623">
        <v>415</v>
      </c>
      <c r="D1623" t="s">
        <v>62</v>
      </c>
      <c r="E1623" t="s">
        <v>63</v>
      </c>
      <c r="F1623">
        <v>21</v>
      </c>
      <c r="G1623">
        <v>126.3</v>
      </c>
      <c r="H1623">
        <v>84</v>
      </c>
      <c r="I1623">
        <v>21.47</v>
      </c>
      <c r="J1623">
        <v>209.6</v>
      </c>
      <c r="K1623">
        <v>102</v>
      </c>
      <c r="L1623">
        <v>17.82</v>
      </c>
      <c r="M1623">
        <v>192.5</v>
      </c>
      <c r="N1623">
        <v>129</v>
      </c>
      <c r="O1623">
        <v>8.66</v>
      </c>
      <c r="P1623">
        <v>10.6</v>
      </c>
      <c r="Q1623">
        <v>2</v>
      </c>
      <c r="R1623">
        <v>2.86</v>
      </c>
      <c r="S1623">
        <v>1</v>
      </c>
      <c r="T1623" t="b">
        <v>0</v>
      </c>
    </row>
    <row r="1624" spans="1:20">
      <c r="A1624" t="s">
        <v>75</v>
      </c>
      <c r="B1624">
        <v>105</v>
      </c>
      <c r="C1624">
        <v>510</v>
      </c>
      <c r="D1624" t="s">
        <v>62</v>
      </c>
      <c r="E1624" t="s">
        <v>63</v>
      </c>
      <c r="F1624">
        <v>15</v>
      </c>
      <c r="G1624">
        <v>88.1</v>
      </c>
      <c r="H1624">
        <v>125</v>
      </c>
      <c r="I1624">
        <v>14.98</v>
      </c>
      <c r="J1624">
        <v>175.9</v>
      </c>
      <c r="K1624">
        <v>142</v>
      </c>
      <c r="L1624">
        <v>14.95</v>
      </c>
      <c r="M1624">
        <v>269.9</v>
      </c>
      <c r="N1624">
        <v>85</v>
      </c>
      <c r="O1624">
        <v>12.15</v>
      </c>
      <c r="P1624">
        <v>9.7</v>
      </c>
      <c r="Q1624">
        <v>1</v>
      </c>
      <c r="R1624">
        <v>2.62</v>
      </c>
      <c r="S1624">
        <v>2</v>
      </c>
      <c r="T1624" t="b">
        <v>0</v>
      </c>
    </row>
    <row r="1625" spans="1:20">
      <c r="A1625" t="s">
        <v>93</v>
      </c>
      <c r="B1625">
        <v>105</v>
      </c>
      <c r="C1625">
        <v>415</v>
      </c>
      <c r="D1625" t="s">
        <v>62</v>
      </c>
      <c r="E1625" t="s">
        <v>63</v>
      </c>
      <c r="F1625">
        <v>34</v>
      </c>
      <c r="G1625">
        <v>218.5</v>
      </c>
      <c r="H1625">
        <v>61</v>
      </c>
      <c r="I1625">
        <v>37.15</v>
      </c>
      <c r="J1625">
        <v>196.7</v>
      </c>
      <c r="K1625">
        <v>74</v>
      </c>
      <c r="L1625">
        <v>16.72</v>
      </c>
      <c r="M1625">
        <v>151.1</v>
      </c>
      <c r="N1625">
        <v>103</v>
      </c>
      <c r="O1625">
        <v>6.8</v>
      </c>
      <c r="P1625">
        <v>9.9</v>
      </c>
      <c r="Q1625">
        <v>4</v>
      </c>
      <c r="R1625">
        <v>2.67</v>
      </c>
      <c r="S1625">
        <v>2</v>
      </c>
      <c r="T1625" t="b">
        <v>0</v>
      </c>
    </row>
    <row r="1626" spans="1:20">
      <c r="A1626" t="s">
        <v>76</v>
      </c>
      <c r="B1626">
        <v>51</v>
      </c>
      <c r="C1626">
        <v>415</v>
      </c>
      <c r="D1626" t="s">
        <v>62</v>
      </c>
      <c r="E1626" t="s">
        <v>63</v>
      </c>
      <c r="F1626">
        <v>26</v>
      </c>
      <c r="G1626">
        <v>236.8</v>
      </c>
      <c r="H1626">
        <v>61</v>
      </c>
      <c r="I1626">
        <v>40.26</v>
      </c>
      <c r="J1626">
        <v>263.4</v>
      </c>
      <c r="K1626">
        <v>97</v>
      </c>
      <c r="L1626">
        <v>22.39</v>
      </c>
      <c r="M1626">
        <v>181.1</v>
      </c>
      <c r="N1626">
        <v>91</v>
      </c>
      <c r="O1626">
        <v>8.15</v>
      </c>
      <c r="P1626">
        <v>11.2</v>
      </c>
      <c r="Q1626">
        <v>8</v>
      </c>
      <c r="R1626">
        <v>3.02</v>
      </c>
      <c r="S1626">
        <v>1</v>
      </c>
      <c r="T1626" t="b">
        <v>0</v>
      </c>
    </row>
    <row r="1627" spans="1:20">
      <c r="A1627" t="s">
        <v>89</v>
      </c>
      <c r="B1627">
        <v>64</v>
      </c>
      <c r="C1627">
        <v>408</v>
      </c>
      <c r="D1627" t="s">
        <v>62</v>
      </c>
      <c r="E1627" t="s">
        <v>62</v>
      </c>
      <c r="F1627">
        <v>0</v>
      </c>
      <c r="G1627">
        <v>124.1</v>
      </c>
      <c r="H1627">
        <v>117</v>
      </c>
      <c r="I1627">
        <v>21.1</v>
      </c>
      <c r="J1627">
        <v>192.8</v>
      </c>
      <c r="K1627">
        <v>108</v>
      </c>
      <c r="L1627">
        <v>16.39</v>
      </c>
      <c r="M1627">
        <v>162.9</v>
      </c>
      <c r="N1627">
        <v>84</v>
      </c>
      <c r="O1627">
        <v>7.33</v>
      </c>
      <c r="P1627">
        <v>6.4</v>
      </c>
      <c r="Q1627">
        <v>5</v>
      </c>
      <c r="R1627">
        <v>1.73</v>
      </c>
      <c r="S1627">
        <v>3</v>
      </c>
      <c r="T1627" t="b">
        <v>0</v>
      </c>
    </row>
    <row r="1628" spans="1:20">
      <c r="A1628" t="s">
        <v>76</v>
      </c>
      <c r="B1628">
        <v>80</v>
      </c>
      <c r="C1628">
        <v>510</v>
      </c>
      <c r="D1628" t="s">
        <v>63</v>
      </c>
      <c r="E1628" t="s">
        <v>63</v>
      </c>
      <c r="F1628">
        <v>30</v>
      </c>
      <c r="G1628">
        <v>184.2</v>
      </c>
      <c r="H1628">
        <v>132</v>
      </c>
      <c r="I1628">
        <v>31.31</v>
      </c>
      <c r="J1628">
        <v>167.5</v>
      </c>
      <c r="K1628">
        <v>109</v>
      </c>
      <c r="L1628">
        <v>14.24</v>
      </c>
      <c r="M1628">
        <v>212.8</v>
      </c>
      <c r="N1628">
        <v>114</v>
      </c>
      <c r="O1628">
        <v>9.58</v>
      </c>
      <c r="P1628">
        <v>10</v>
      </c>
      <c r="Q1628">
        <v>10</v>
      </c>
      <c r="R1628">
        <v>2.7</v>
      </c>
      <c r="S1628">
        <v>0</v>
      </c>
      <c r="T1628" t="b">
        <v>0</v>
      </c>
    </row>
    <row r="1629" spans="1:20">
      <c r="A1629" t="s">
        <v>115</v>
      </c>
      <c r="B1629">
        <v>56</v>
      </c>
      <c r="C1629">
        <v>415</v>
      </c>
      <c r="D1629" t="s">
        <v>62</v>
      </c>
      <c r="E1629" t="s">
        <v>62</v>
      </c>
      <c r="F1629">
        <v>0</v>
      </c>
      <c r="G1629">
        <v>222.7</v>
      </c>
      <c r="H1629">
        <v>133</v>
      </c>
      <c r="I1629">
        <v>37.86</v>
      </c>
      <c r="J1629">
        <v>277</v>
      </c>
      <c r="K1629">
        <v>89</v>
      </c>
      <c r="L1629">
        <v>23.55</v>
      </c>
      <c r="M1629">
        <v>101.8</v>
      </c>
      <c r="N1629">
        <v>94</v>
      </c>
      <c r="O1629">
        <v>4.58</v>
      </c>
      <c r="P1629">
        <v>13.6</v>
      </c>
      <c r="Q1629">
        <v>4</v>
      </c>
      <c r="R1629">
        <v>3.67</v>
      </c>
      <c r="S1629">
        <v>4</v>
      </c>
      <c r="T1629" t="b">
        <v>0</v>
      </c>
    </row>
    <row r="1630" spans="1:20">
      <c r="A1630" t="s">
        <v>78</v>
      </c>
      <c r="B1630">
        <v>120</v>
      </c>
      <c r="C1630">
        <v>415</v>
      </c>
      <c r="D1630" t="s">
        <v>62</v>
      </c>
      <c r="E1630" t="s">
        <v>62</v>
      </c>
      <c r="F1630">
        <v>0</v>
      </c>
      <c r="G1630">
        <v>149.2</v>
      </c>
      <c r="H1630">
        <v>98</v>
      </c>
      <c r="I1630">
        <v>25.36</v>
      </c>
      <c r="J1630">
        <v>193.6</v>
      </c>
      <c r="K1630">
        <v>88</v>
      </c>
      <c r="L1630">
        <v>16.46</v>
      </c>
      <c r="M1630">
        <v>248.9</v>
      </c>
      <c r="N1630">
        <v>119</v>
      </c>
      <c r="O1630">
        <v>11.2</v>
      </c>
      <c r="P1630">
        <v>11.1</v>
      </c>
      <c r="Q1630">
        <v>5</v>
      </c>
      <c r="R1630">
        <v>3</v>
      </c>
      <c r="S1630">
        <v>1</v>
      </c>
      <c r="T1630" t="b">
        <v>0</v>
      </c>
    </row>
    <row r="1631" spans="1:20">
      <c r="A1631" t="s">
        <v>99</v>
      </c>
      <c r="B1631">
        <v>103</v>
      </c>
      <c r="C1631">
        <v>510</v>
      </c>
      <c r="D1631" t="s">
        <v>62</v>
      </c>
      <c r="E1631" t="s">
        <v>62</v>
      </c>
      <c r="F1631">
        <v>0</v>
      </c>
      <c r="G1631">
        <v>206.5</v>
      </c>
      <c r="H1631">
        <v>125</v>
      </c>
      <c r="I1631">
        <v>35.11</v>
      </c>
      <c r="J1631">
        <v>180.2</v>
      </c>
      <c r="K1631">
        <v>113</v>
      </c>
      <c r="L1631">
        <v>15.32</v>
      </c>
      <c r="M1631">
        <v>220.6</v>
      </c>
      <c r="N1631">
        <v>95</v>
      </c>
      <c r="O1631">
        <v>9.93</v>
      </c>
      <c r="P1631">
        <v>12.2</v>
      </c>
      <c r="Q1631">
        <v>4</v>
      </c>
      <c r="R1631">
        <v>3.29</v>
      </c>
      <c r="S1631">
        <v>3</v>
      </c>
      <c r="T1631" t="b">
        <v>0</v>
      </c>
    </row>
    <row r="1632" spans="1:20">
      <c r="A1632" t="s">
        <v>64</v>
      </c>
      <c r="B1632">
        <v>164</v>
      </c>
      <c r="C1632">
        <v>510</v>
      </c>
      <c r="D1632" t="s">
        <v>62</v>
      </c>
      <c r="E1632" t="s">
        <v>63</v>
      </c>
      <c r="F1632">
        <v>27</v>
      </c>
      <c r="G1632">
        <v>159.7</v>
      </c>
      <c r="H1632">
        <v>102</v>
      </c>
      <c r="I1632">
        <v>27.15</v>
      </c>
      <c r="J1632">
        <v>168.8</v>
      </c>
      <c r="K1632">
        <v>113</v>
      </c>
      <c r="L1632">
        <v>14.35</v>
      </c>
      <c r="M1632">
        <v>244.1</v>
      </c>
      <c r="N1632">
        <v>127</v>
      </c>
      <c r="O1632">
        <v>10.98</v>
      </c>
      <c r="P1632">
        <v>9.6</v>
      </c>
      <c r="Q1632">
        <v>9</v>
      </c>
      <c r="R1632">
        <v>2.59</v>
      </c>
      <c r="S1632">
        <v>3</v>
      </c>
      <c r="T1632" t="b">
        <v>0</v>
      </c>
    </row>
    <row r="1633" spans="1:20">
      <c r="A1633" t="s">
        <v>64</v>
      </c>
      <c r="B1633">
        <v>116</v>
      </c>
      <c r="C1633">
        <v>415</v>
      </c>
      <c r="D1633" t="s">
        <v>62</v>
      </c>
      <c r="E1633" t="s">
        <v>63</v>
      </c>
      <c r="F1633">
        <v>27</v>
      </c>
      <c r="G1633">
        <v>204.7</v>
      </c>
      <c r="H1633">
        <v>118</v>
      </c>
      <c r="I1633">
        <v>34.8</v>
      </c>
      <c r="J1633">
        <v>209.4</v>
      </c>
      <c r="K1633">
        <v>91</v>
      </c>
      <c r="L1633">
        <v>17.8</v>
      </c>
      <c r="M1633">
        <v>212.9</v>
      </c>
      <c r="N1633">
        <v>67</v>
      </c>
      <c r="O1633">
        <v>9.58</v>
      </c>
      <c r="P1633">
        <v>7</v>
      </c>
      <c r="Q1633">
        <v>2</v>
      </c>
      <c r="R1633">
        <v>1.89</v>
      </c>
      <c r="S1633">
        <v>2</v>
      </c>
      <c r="T1633" t="b">
        <v>0</v>
      </c>
    </row>
    <row r="1634" spans="1:20">
      <c r="A1634" t="s">
        <v>76</v>
      </c>
      <c r="B1634">
        <v>121</v>
      </c>
      <c r="C1634">
        <v>408</v>
      </c>
      <c r="D1634" t="s">
        <v>62</v>
      </c>
      <c r="E1634" t="s">
        <v>62</v>
      </c>
      <c r="F1634">
        <v>0</v>
      </c>
      <c r="G1634">
        <v>213.2</v>
      </c>
      <c r="H1634">
        <v>79</v>
      </c>
      <c r="I1634">
        <v>36.24</v>
      </c>
      <c r="J1634">
        <v>120.7</v>
      </c>
      <c r="K1634">
        <v>116</v>
      </c>
      <c r="L1634">
        <v>10.26</v>
      </c>
      <c r="M1634">
        <v>244.4</v>
      </c>
      <c r="N1634">
        <v>102</v>
      </c>
      <c r="O1634">
        <v>11</v>
      </c>
      <c r="P1634">
        <v>7.5</v>
      </c>
      <c r="Q1634">
        <v>4</v>
      </c>
      <c r="R1634">
        <v>2.03</v>
      </c>
      <c r="S1634">
        <v>1</v>
      </c>
      <c r="T1634" t="b">
        <v>0</v>
      </c>
    </row>
    <row r="1635" spans="1:20">
      <c r="A1635" t="s">
        <v>104</v>
      </c>
      <c r="B1635">
        <v>183</v>
      </c>
      <c r="C1635">
        <v>415</v>
      </c>
      <c r="D1635" t="s">
        <v>62</v>
      </c>
      <c r="E1635" t="s">
        <v>62</v>
      </c>
      <c r="F1635">
        <v>0</v>
      </c>
      <c r="G1635">
        <v>116.7</v>
      </c>
      <c r="H1635">
        <v>92</v>
      </c>
      <c r="I1635">
        <v>19.84</v>
      </c>
      <c r="J1635">
        <v>213.8</v>
      </c>
      <c r="K1635">
        <v>112</v>
      </c>
      <c r="L1635">
        <v>18.17</v>
      </c>
      <c r="M1635">
        <v>214.3</v>
      </c>
      <c r="N1635">
        <v>112</v>
      </c>
      <c r="O1635">
        <v>9.64</v>
      </c>
      <c r="P1635">
        <v>9.7</v>
      </c>
      <c r="Q1635">
        <v>6</v>
      </c>
      <c r="R1635">
        <v>2.62</v>
      </c>
      <c r="S1635">
        <v>2</v>
      </c>
      <c r="T1635" t="b">
        <v>0</v>
      </c>
    </row>
    <row r="1636" spans="1:20">
      <c r="A1636" t="s">
        <v>97</v>
      </c>
      <c r="B1636">
        <v>104</v>
      </c>
      <c r="C1636">
        <v>408</v>
      </c>
      <c r="D1636" t="s">
        <v>62</v>
      </c>
      <c r="E1636" t="s">
        <v>62</v>
      </c>
      <c r="F1636">
        <v>0</v>
      </c>
      <c r="G1636">
        <v>263.4</v>
      </c>
      <c r="H1636">
        <v>101</v>
      </c>
      <c r="I1636">
        <v>44.78</v>
      </c>
      <c r="J1636">
        <v>235.5</v>
      </c>
      <c r="K1636">
        <v>117</v>
      </c>
      <c r="L1636">
        <v>20.02</v>
      </c>
      <c r="M1636">
        <v>102</v>
      </c>
      <c r="N1636">
        <v>146</v>
      </c>
      <c r="O1636">
        <v>4.59</v>
      </c>
      <c r="P1636">
        <v>13</v>
      </c>
      <c r="Q1636">
        <v>4</v>
      </c>
      <c r="R1636">
        <v>3.51</v>
      </c>
      <c r="S1636">
        <v>0</v>
      </c>
      <c r="T1636" t="b">
        <v>0</v>
      </c>
    </row>
    <row r="1637" spans="1:20">
      <c r="A1637" t="s">
        <v>87</v>
      </c>
      <c r="B1637">
        <v>90</v>
      </c>
      <c r="C1637">
        <v>408</v>
      </c>
      <c r="D1637" t="s">
        <v>62</v>
      </c>
      <c r="E1637" t="s">
        <v>62</v>
      </c>
      <c r="F1637">
        <v>0</v>
      </c>
      <c r="G1637">
        <v>140.2</v>
      </c>
      <c r="H1637">
        <v>97</v>
      </c>
      <c r="I1637">
        <v>23.83</v>
      </c>
      <c r="J1637">
        <v>213.9</v>
      </c>
      <c r="K1637">
        <v>102</v>
      </c>
      <c r="L1637">
        <v>18.18</v>
      </c>
      <c r="M1637">
        <v>120</v>
      </c>
      <c r="N1637">
        <v>126</v>
      </c>
      <c r="O1637">
        <v>5.4</v>
      </c>
      <c r="P1637">
        <v>7.1</v>
      </c>
      <c r="Q1637">
        <v>2</v>
      </c>
      <c r="R1637">
        <v>1.92</v>
      </c>
      <c r="S1637">
        <v>1</v>
      </c>
      <c r="T1637" t="b">
        <v>0</v>
      </c>
    </row>
    <row r="1638" spans="1:20">
      <c r="A1638" t="s">
        <v>88</v>
      </c>
      <c r="B1638">
        <v>82</v>
      </c>
      <c r="C1638">
        <v>415</v>
      </c>
      <c r="D1638" t="s">
        <v>62</v>
      </c>
      <c r="E1638" t="s">
        <v>62</v>
      </c>
      <c r="F1638">
        <v>0</v>
      </c>
      <c r="G1638">
        <v>197.7</v>
      </c>
      <c r="H1638">
        <v>101</v>
      </c>
      <c r="I1638">
        <v>33.61</v>
      </c>
      <c r="J1638">
        <v>127.6</v>
      </c>
      <c r="K1638">
        <v>83</v>
      </c>
      <c r="L1638">
        <v>10.85</v>
      </c>
      <c r="M1638">
        <v>142.1</v>
      </c>
      <c r="N1638">
        <v>103</v>
      </c>
      <c r="O1638">
        <v>6.39</v>
      </c>
      <c r="P1638">
        <v>13.5</v>
      </c>
      <c r="Q1638">
        <v>3</v>
      </c>
      <c r="R1638">
        <v>3.65</v>
      </c>
      <c r="S1638">
        <v>1</v>
      </c>
      <c r="T1638" t="b">
        <v>0</v>
      </c>
    </row>
    <row r="1639" spans="1:20">
      <c r="A1639" t="s">
        <v>106</v>
      </c>
      <c r="B1639">
        <v>9</v>
      </c>
      <c r="C1639">
        <v>415</v>
      </c>
      <c r="D1639" t="s">
        <v>62</v>
      </c>
      <c r="E1639" t="s">
        <v>63</v>
      </c>
      <c r="F1639">
        <v>16</v>
      </c>
      <c r="G1639">
        <v>88.5</v>
      </c>
      <c r="H1639">
        <v>87</v>
      </c>
      <c r="I1639">
        <v>15.05</v>
      </c>
      <c r="J1639">
        <v>178.8</v>
      </c>
      <c r="K1639">
        <v>108</v>
      </c>
      <c r="L1639">
        <v>15.2</v>
      </c>
      <c r="M1639">
        <v>228.7</v>
      </c>
      <c r="N1639">
        <v>96</v>
      </c>
      <c r="O1639">
        <v>10.29</v>
      </c>
      <c r="P1639">
        <v>11.5</v>
      </c>
      <c r="Q1639">
        <v>3</v>
      </c>
      <c r="R1639">
        <v>3.11</v>
      </c>
      <c r="S1639">
        <v>2</v>
      </c>
      <c r="T1639" t="b">
        <v>0</v>
      </c>
    </row>
    <row r="1640" spans="1:20">
      <c r="A1640" t="s">
        <v>116</v>
      </c>
      <c r="B1640">
        <v>97</v>
      </c>
      <c r="C1640">
        <v>415</v>
      </c>
      <c r="D1640" t="s">
        <v>62</v>
      </c>
      <c r="E1640" t="s">
        <v>62</v>
      </c>
      <c r="F1640">
        <v>0</v>
      </c>
      <c r="G1640">
        <v>215.3</v>
      </c>
      <c r="H1640">
        <v>58</v>
      </c>
      <c r="I1640">
        <v>36.6</v>
      </c>
      <c r="J1640">
        <v>242.4</v>
      </c>
      <c r="K1640">
        <v>91</v>
      </c>
      <c r="L1640">
        <v>20.6</v>
      </c>
      <c r="M1640">
        <v>279.8</v>
      </c>
      <c r="N1640">
        <v>105</v>
      </c>
      <c r="O1640">
        <v>12.59</v>
      </c>
      <c r="P1640">
        <v>12.1</v>
      </c>
      <c r="Q1640">
        <v>9</v>
      </c>
      <c r="R1640">
        <v>3.27</v>
      </c>
      <c r="S1640">
        <v>0</v>
      </c>
      <c r="T1640" t="b">
        <v>0</v>
      </c>
    </row>
    <row r="1641" spans="1:20">
      <c r="A1641" t="s">
        <v>110</v>
      </c>
      <c r="B1641">
        <v>127</v>
      </c>
      <c r="C1641">
        <v>510</v>
      </c>
      <c r="D1641" t="s">
        <v>62</v>
      </c>
      <c r="E1641" t="s">
        <v>63</v>
      </c>
      <c r="F1641">
        <v>25</v>
      </c>
      <c r="G1641">
        <v>203.8</v>
      </c>
      <c r="H1641">
        <v>118</v>
      </c>
      <c r="I1641">
        <v>34.65</v>
      </c>
      <c r="J1641">
        <v>267.1</v>
      </c>
      <c r="K1641">
        <v>48</v>
      </c>
      <c r="L1641">
        <v>22.7</v>
      </c>
      <c r="M1641">
        <v>225.1</v>
      </c>
      <c r="N1641">
        <v>105</v>
      </c>
      <c r="O1641">
        <v>10.13</v>
      </c>
      <c r="P1641">
        <v>7.3</v>
      </c>
      <c r="Q1641">
        <v>5</v>
      </c>
      <c r="R1641">
        <v>1.97</v>
      </c>
      <c r="S1641">
        <v>0</v>
      </c>
      <c r="T1641" t="b">
        <v>0</v>
      </c>
    </row>
    <row r="1642" spans="1:20">
      <c r="A1642" t="s">
        <v>99</v>
      </c>
      <c r="B1642">
        <v>125</v>
      </c>
      <c r="C1642">
        <v>510</v>
      </c>
      <c r="D1642" t="s">
        <v>62</v>
      </c>
      <c r="E1642" t="s">
        <v>63</v>
      </c>
      <c r="F1642">
        <v>34</v>
      </c>
      <c r="G1642">
        <v>268.4</v>
      </c>
      <c r="H1642">
        <v>112</v>
      </c>
      <c r="I1642">
        <v>45.63</v>
      </c>
      <c r="J1642">
        <v>222.2</v>
      </c>
      <c r="K1642">
        <v>108</v>
      </c>
      <c r="L1642">
        <v>18.89</v>
      </c>
      <c r="M1642">
        <v>117.6</v>
      </c>
      <c r="N1642">
        <v>102</v>
      </c>
      <c r="O1642">
        <v>5.29</v>
      </c>
      <c r="P1642">
        <v>10.3</v>
      </c>
      <c r="Q1642">
        <v>3</v>
      </c>
      <c r="R1642">
        <v>2.78</v>
      </c>
      <c r="S1642">
        <v>0</v>
      </c>
      <c r="T1642" t="b">
        <v>0</v>
      </c>
    </row>
    <row r="1643" spans="1:20">
      <c r="A1643" t="s">
        <v>108</v>
      </c>
      <c r="B1643">
        <v>140</v>
      </c>
      <c r="C1643">
        <v>415</v>
      </c>
      <c r="D1643" t="s">
        <v>62</v>
      </c>
      <c r="E1643" t="s">
        <v>62</v>
      </c>
      <c r="F1643">
        <v>0</v>
      </c>
      <c r="G1643">
        <v>159.1</v>
      </c>
      <c r="H1643">
        <v>104</v>
      </c>
      <c r="I1643">
        <v>27.05</v>
      </c>
      <c r="J1643">
        <v>269.8</v>
      </c>
      <c r="K1643">
        <v>106</v>
      </c>
      <c r="L1643">
        <v>22.93</v>
      </c>
      <c r="M1643">
        <v>220.4</v>
      </c>
      <c r="N1643">
        <v>116</v>
      </c>
      <c r="O1643">
        <v>9.92</v>
      </c>
      <c r="P1643">
        <v>10.3</v>
      </c>
      <c r="Q1643">
        <v>4</v>
      </c>
      <c r="R1643">
        <v>2.78</v>
      </c>
      <c r="S1643">
        <v>1</v>
      </c>
      <c r="T1643" t="b">
        <v>0</v>
      </c>
    </row>
    <row r="1644" spans="1:20">
      <c r="A1644" t="s">
        <v>91</v>
      </c>
      <c r="B1644">
        <v>90</v>
      </c>
      <c r="C1644">
        <v>415</v>
      </c>
      <c r="D1644" t="s">
        <v>62</v>
      </c>
      <c r="E1644" t="s">
        <v>62</v>
      </c>
      <c r="F1644">
        <v>0</v>
      </c>
      <c r="G1644">
        <v>114.4</v>
      </c>
      <c r="H1644">
        <v>122</v>
      </c>
      <c r="I1644">
        <v>19.45</v>
      </c>
      <c r="J1644">
        <v>127.7</v>
      </c>
      <c r="K1644">
        <v>154</v>
      </c>
      <c r="L1644">
        <v>10.85</v>
      </c>
      <c r="M1644">
        <v>253.1</v>
      </c>
      <c r="N1644">
        <v>109</v>
      </c>
      <c r="O1644">
        <v>11.39</v>
      </c>
      <c r="P1644">
        <v>10.1</v>
      </c>
      <c r="Q1644">
        <v>5</v>
      </c>
      <c r="R1644">
        <v>2.73</v>
      </c>
      <c r="S1644">
        <v>2</v>
      </c>
      <c r="T1644" t="b">
        <v>0</v>
      </c>
    </row>
    <row r="1645" spans="1:20">
      <c r="A1645" t="s">
        <v>79</v>
      </c>
      <c r="B1645">
        <v>67</v>
      </c>
      <c r="C1645">
        <v>415</v>
      </c>
      <c r="D1645" t="s">
        <v>62</v>
      </c>
      <c r="E1645" t="s">
        <v>62</v>
      </c>
      <c r="F1645">
        <v>0</v>
      </c>
      <c r="G1645">
        <v>138.9</v>
      </c>
      <c r="H1645">
        <v>65</v>
      </c>
      <c r="I1645">
        <v>23.61</v>
      </c>
      <c r="J1645">
        <v>208.9</v>
      </c>
      <c r="K1645">
        <v>109</v>
      </c>
      <c r="L1645">
        <v>17.76</v>
      </c>
      <c r="M1645">
        <v>232.4</v>
      </c>
      <c r="N1645">
        <v>82</v>
      </c>
      <c r="O1645">
        <v>10.46</v>
      </c>
      <c r="P1645">
        <v>9.2</v>
      </c>
      <c r="Q1645">
        <v>3</v>
      </c>
      <c r="R1645">
        <v>2.48</v>
      </c>
      <c r="S1645">
        <v>2</v>
      </c>
      <c r="T1645" t="b">
        <v>0</v>
      </c>
    </row>
    <row r="1646" spans="1:20">
      <c r="A1646" t="s">
        <v>65</v>
      </c>
      <c r="B1646">
        <v>113</v>
      </c>
      <c r="C1646">
        <v>415</v>
      </c>
      <c r="D1646" t="s">
        <v>62</v>
      </c>
      <c r="E1646" t="s">
        <v>62</v>
      </c>
      <c r="F1646">
        <v>0</v>
      </c>
      <c r="G1646">
        <v>186</v>
      </c>
      <c r="H1646">
        <v>55</v>
      </c>
      <c r="I1646">
        <v>31.62</v>
      </c>
      <c r="J1646">
        <v>237.4</v>
      </c>
      <c r="K1646">
        <v>105</v>
      </c>
      <c r="L1646">
        <v>20.18</v>
      </c>
      <c r="M1646">
        <v>148.1</v>
      </c>
      <c r="N1646">
        <v>83</v>
      </c>
      <c r="O1646">
        <v>6.66</v>
      </c>
      <c r="P1646">
        <v>12.2</v>
      </c>
      <c r="Q1646">
        <v>6</v>
      </c>
      <c r="R1646">
        <v>3.29</v>
      </c>
      <c r="S1646">
        <v>1</v>
      </c>
      <c r="T1646" t="b">
        <v>0</v>
      </c>
    </row>
    <row r="1647" spans="1:20">
      <c r="A1647" t="s">
        <v>112</v>
      </c>
      <c r="B1647">
        <v>121</v>
      </c>
      <c r="C1647">
        <v>510</v>
      </c>
      <c r="D1647" t="s">
        <v>62</v>
      </c>
      <c r="E1647" t="s">
        <v>63</v>
      </c>
      <c r="F1647">
        <v>26</v>
      </c>
      <c r="G1647">
        <v>170.4</v>
      </c>
      <c r="H1647">
        <v>91</v>
      </c>
      <c r="I1647">
        <v>28.97</v>
      </c>
      <c r="J1647">
        <v>254.5</v>
      </c>
      <c r="K1647">
        <v>90</v>
      </c>
      <c r="L1647">
        <v>21.63</v>
      </c>
      <c r="M1647">
        <v>219.6</v>
      </c>
      <c r="N1647">
        <v>122</v>
      </c>
      <c r="O1647">
        <v>9.88</v>
      </c>
      <c r="P1647">
        <v>15.1</v>
      </c>
      <c r="Q1647">
        <v>5</v>
      </c>
      <c r="R1647">
        <v>4.08</v>
      </c>
      <c r="S1647">
        <v>0</v>
      </c>
      <c r="T1647" t="b">
        <v>0</v>
      </c>
    </row>
    <row r="1648" spans="1:20">
      <c r="A1648" t="s">
        <v>105</v>
      </c>
      <c r="B1648">
        <v>93</v>
      </c>
      <c r="C1648">
        <v>408</v>
      </c>
      <c r="D1648" t="s">
        <v>62</v>
      </c>
      <c r="E1648" t="s">
        <v>62</v>
      </c>
      <c r="F1648">
        <v>0</v>
      </c>
      <c r="G1648">
        <v>164.5</v>
      </c>
      <c r="H1648">
        <v>95</v>
      </c>
      <c r="I1648">
        <v>27.97</v>
      </c>
      <c r="J1648">
        <v>230.9</v>
      </c>
      <c r="K1648">
        <v>87</v>
      </c>
      <c r="L1648">
        <v>19.63</v>
      </c>
      <c r="M1648">
        <v>149.9</v>
      </c>
      <c r="N1648">
        <v>91</v>
      </c>
      <c r="O1648">
        <v>6.75</v>
      </c>
      <c r="P1648">
        <v>9.9</v>
      </c>
      <c r="Q1648">
        <v>3</v>
      </c>
      <c r="R1648">
        <v>2.67</v>
      </c>
      <c r="S1648">
        <v>4</v>
      </c>
      <c r="T1648" t="b">
        <v>0</v>
      </c>
    </row>
    <row r="1649" spans="1:20">
      <c r="A1649" t="s">
        <v>105</v>
      </c>
      <c r="B1649">
        <v>121</v>
      </c>
      <c r="C1649">
        <v>408</v>
      </c>
      <c r="D1649" t="s">
        <v>62</v>
      </c>
      <c r="E1649" t="s">
        <v>62</v>
      </c>
      <c r="F1649">
        <v>0</v>
      </c>
      <c r="G1649">
        <v>168.6</v>
      </c>
      <c r="H1649">
        <v>121</v>
      </c>
      <c r="I1649">
        <v>28.66</v>
      </c>
      <c r="J1649">
        <v>168.6</v>
      </c>
      <c r="K1649">
        <v>94</v>
      </c>
      <c r="L1649">
        <v>14.33</v>
      </c>
      <c r="M1649">
        <v>95.3</v>
      </c>
      <c r="N1649">
        <v>59</v>
      </c>
      <c r="O1649">
        <v>4.29</v>
      </c>
      <c r="P1649">
        <v>12.3</v>
      </c>
      <c r="Q1649">
        <v>4</v>
      </c>
      <c r="R1649">
        <v>3.32</v>
      </c>
      <c r="S1649">
        <v>1</v>
      </c>
      <c r="T1649" t="b">
        <v>0</v>
      </c>
    </row>
    <row r="1650" spans="1:20">
      <c r="A1650" t="s">
        <v>94</v>
      </c>
      <c r="B1650">
        <v>53</v>
      </c>
      <c r="C1650">
        <v>408</v>
      </c>
      <c r="D1650" t="s">
        <v>62</v>
      </c>
      <c r="E1650" t="s">
        <v>62</v>
      </c>
      <c r="F1650">
        <v>0</v>
      </c>
      <c r="G1650">
        <v>261.2</v>
      </c>
      <c r="H1650">
        <v>119</v>
      </c>
      <c r="I1650">
        <v>44.4</v>
      </c>
      <c r="J1650">
        <v>250.8</v>
      </c>
      <c r="K1650">
        <v>105</v>
      </c>
      <c r="L1650">
        <v>21.32</v>
      </c>
      <c r="M1650">
        <v>176</v>
      </c>
      <c r="N1650">
        <v>112</v>
      </c>
      <c r="O1650">
        <v>7.92</v>
      </c>
      <c r="P1650">
        <v>9.8</v>
      </c>
      <c r="Q1650">
        <v>2</v>
      </c>
      <c r="R1650">
        <v>2.65</v>
      </c>
      <c r="S1650">
        <v>0</v>
      </c>
      <c r="T1650" t="b">
        <v>1</v>
      </c>
    </row>
    <row r="1651" spans="1:20">
      <c r="A1651" t="s">
        <v>73</v>
      </c>
      <c r="B1651">
        <v>75</v>
      </c>
      <c r="C1651">
        <v>415</v>
      </c>
      <c r="D1651" t="s">
        <v>62</v>
      </c>
      <c r="E1651" t="s">
        <v>62</v>
      </c>
      <c r="F1651">
        <v>0</v>
      </c>
      <c r="G1651">
        <v>190.5</v>
      </c>
      <c r="H1651">
        <v>91</v>
      </c>
      <c r="I1651">
        <v>32.39</v>
      </c>
      <c r="J1651">
        <v>178.4</v>
      </c>
      <c r="K1651">
        <v>75</v>
      </c>
      <c r="L1651">
        <v>15.16</v>
      </c>
      <c r="M1651">
        <v>162.4</v>
      </c>
      <c r="N1651">
        <v>113</v>
      </c>
      <c r="O1651">
        <v>7.31</v>
      </c>
      <c r="P1651">
        <v>13.1</v>
      </c>
      <c r="Q1651">
        <v>5</v>
      </c>
      <c r="R1651">
        <v>3.54</v>
      </c>
      <c r="S1651">
        <v>1</v>
      </c>
      <c r="T1651" t="b">
        <v>0</v>
      </c>
    </row>
    <row r="1652" spans="1:20">
      <c r="A1652" t="s">
        <v>90</v>
      </c>
      <c r="B1652">
        <v>132</v>
      </c>
      <c r="C1652">
        <v>510</v>
      </c>
      <c r="D1652" t="s">
        <v>62</v>
      </c>
      <c r="E1652" t="s">
        <v>62</v>
      </c>
      <c r="F1652">
        <v>0</v>
      </c>
      <c r="G1652">
        <v>181.1</v>
      </c>
      <c r="H1652">
        <v>121</v>
      </c>
      <c r="I1652">
        <v>30.79</v>
      </c>
      <c r="J1652">
        <v>314.4</v>
      </c>
      <c r="K1652">
        <v>109</v>
      </c>
      <c r="L1652">
        <v>26.72</v>
      </c>
      <c r="M1652">
        <v>246.7</v>
      </c>
      <c r="N1652">
        <v>81</v>
      </c>
      <c r="O1652">
        <v>11.1</v>
      </c>
      <c r="P1652">
        <v>4.2</v>
      </c>
      <c r="Q1652">
        <v>9</v>
      </c>
      <c r="R1652">
        <v>1.13</v>
      </c>
      <c r="S1652">
        <v>2</v>
      </c>
      <c r="T1652" t="b">
        <v>0</v>
      </c>
    </row>
    <row r="1653" spans="1:20">
      <c r="A1653" t="s">
        <v>93</v>
      </c>
      <c r="B1653">
        <v>162</v>
      </c>
      <c r="C1653">
        <v>408</v>
      </c>
      <c r="D1653" t="s">
        <v>62</v>
      </c>
      <c r="E1653" t="s">
        <v>62</v>
      </c>
      <c r="F1653">
        <v>0</v>
      </c>
      <c r="G1653">
        <v>177.1</v>
      </c>
      <c r="H1653">
        <v>131</v>
      </c>
      <c r="I1653">
        <v>30.11</v>
      </c>
      <c r="J1653">
        <v>114.7</v>
      </c>
      <c r="K1653">
        <v>122</v>
      </c>
      <c r="L1653">
        <v>9.75</v>
      </c>
      <c r="M1653">
        <v>153.6</v>
      </c>
      <c r="N1653">
        <v>88</v>
      </c>
      <c r="O1653">
        <v>6.91</v>
      </c>
      <c r="P1653">
        <v>6.5</v>
      </c>
      <c r="Q1653">
        <v>6</v>
      </c>
      <c r="R1653">
        <v>1.76</v>
      </c>
      <c r="S1653">
        <v>3</v>
      </c>
      <c r="T1653" t="b">
        <v>0</v>
      </c>
    </row>
    <row r="1654" spans="1:20">
      <c r="A1654" t="s">
        <v>96</v>
      </c>
      <c r="B1654">
        <v>140</v>
      </c>
      <c r="C1654">
        <v>415</v>
      </c>
      <c r="D1654" t="s">
        <v>62</v>
      </c>
      <c r="E1654" t="s">
        <v>62</v>
      </c>
      <c r="F1654">
        <v>0</v>
      </c>
      <c r="G1654">
        <v>160.5</v>
      </c>
      <c r="H1654">
        <v>114</v>
      </c>
      <c r="I1654">
        <v>27.29</v>
      </c>
      <c r="J1654">
        <v>240.5</v>
      </c>
      <c r="K1654">
        <v>103</v>
      </c>
      <c r="L1654">
        <v>20.44</v>
      </c>
      <c r="M1654">
        <v>233.5</v>
      </c>
      <c r="N1654">
        <v>121</v>
      </c>
      <c r="O1654">
        <v>10.51</v>
      </c>
      <c r="P1654">
        <v>11.3</v>
      </c>
      <c r="Q1654">
        <v>4</v>
      </c>
      <c r="R1654">
        <v>3.05</v>
      </c>
      <c r="S1654">
        <v>1</v>
      </c>
      <c r="T1654" t="b">
        <v>0</v>
      </c>
    </row>
    <row r="1655" spans="1:20">
      <c r="A1655" t="s">
        <v>110</v>
      </c>
      <c r="B1655">
        <v>91</v>
      </c>
      <c r="C1655">
        <v>408</v>
      </c>
      <c r="D1655" t="s">
        <v>62</v>
      </c>
      <c r="E1655" t="s">
        <v>62</v>
      </c>
      <c r="F1655">
        <v>0</v>
      </c>
      <c r="G1655">
        <v>134.7</v>
      </c>
      <c r="H1655">
        <v>116</v>
      </c>
      <c r="I1655">
        <v>22.9</v>
      </c>
      <c r="J1655">
        <v>295.3</v>
      </c>
      <c r="K1655">
        <v>98</v>
      </c>
      <c r="L1655">
        <v>25.1</v>
      </c>
      <c r="M1655">
        <v>195.5</v>
      </c>
      <c r="N1655">
        <v>121</v>
      </c>
      <c r="O1655">
        <v>8.8</v>
      </c>
      <c r="P1655">
        <v>6.6</v>
      </c>
      <c r="Q1655">
        <v>5</v>
      </c>
      <c r="R1655">
        <v>1.78</v>
      </c>
      <c r="S1655">
        <v>2</v>
      </c>
      <c r="T1655" t="b">
        <v>0</v>
      </c>
    </row>
    <row r="1656" spans="1:20">
      <c r="A1656" t="s">
        <v>77</v>
      </c>
      <c r="B1656">
        <v>73</v>
      </c>
      <c r="C1656">
        <v>510</v>
      </c>
      <c r="D1656" t="s">
        <v>62</v>
      </c>
      <c r="E1656" t="s">
        <v>63</v>
      </c>
      <c r="F1656">
        <v>28</v>
      </c>
      <c r="G1656">
        <v>198.2</v>
      </c>
      <c r="H1656">
        <v>107</v>
      </c>
      <c r="I1656">
        <v>33.69</v>
      </c>
      <c r="J1656">
        <v>139.1</v>
      </c>
      <c r="K1656">
        <v>123</v>
      </c>
      <c r="L1656">
        <v>11.82</v>
      </c>
      <c r="M1656">
        <v>199.1</v>
      </c>
      <c r="N1656">
        <v>139</v>
      </c>
      <c r="O1656">
        <v>8.96</v>
      </c>
      <c r="P1656">
        <v>8.8</v>
      </c>
      <c r="Q1656">
        <v>1</v>
      </c>
      <c r="R1656">
        <v>2.38</v>
      </c>
      <c r="S1656">
        <v>2</v>
      </c>
      <c r="T1656" t="b">
        <v>0</v>
      </c>
    </row>
    <row r="1657" spans="1:20">
      <c r="A1657" t="s">
        <v>87</v>
      </c>
      <c r="B1657">
        <v>95</v>
      </c>
      <c r="C1657">
        <v>408</v>
      </c>
      <c r="D1657" t="s">
        <v>63</v>
      </c>
      <c r="E1657" t="s">
        <v>62</v>
      </c>
      <c r="F1657">
        <v>0</v>
      </c>
      <c r="G1657">
        <v>228.9</v>
      </c>
      <c r="H1657">
        <v>134</v>
      </c>
      <c r="I1657">
        <v>38.91</v>
      </c>
      <c r="J1657">
        <v>255.7</v>
      </c>
      <c r="K1657">
        <v>71</v>
      </c>
      <c r="L1657">
        <v>21.73</v>
      </c>
      <c r="M1657">
        <v>208</v>
      </c>
      <c r="N1657">
        <v>120</v>
      </c>
      <c r="O1657">
        <v>9.36</v>
      </c>
      <c r="P1657">
        <v>10.1</v>
      </c>
      <c r="Q1657">
        <v>2</v>
      </c>
      <c r="R1657">
        <v>2.73</v>
      </c>
      <c r="S1657">
        <v>4</v>
      </c>
      <c r="T1657" t="b">
        <v>1</v>
      </c>
    </row>
    <row r="1658" spans="1:20">
      <c r="A1658" t="s">
        <v>102</v>
      </c>
      <c r="B1658">
        <v>145</v>
      </c>
      <c r="C1658">
        <v>408</v>
      </c>
      <c r="D1658" t="s">
        <v>62</v>
      </c>
      <c r="E1658" t="s">
        <v>62</v>
      </c>
      <c r="F1658">
        <v>0</v>
      </c>
      <c r="G1658">
        <v>241.7</v>
      </c>
      <c r="H1658">
        <v>137</v>
      </c>
      <c r="I1658">
        <v>41.09</v>
      </c>
      <c r="J1658">
        <v>135.8</v>
      </c>
      <c r="K1658">
        <v>100</v>
      </c>
      <c r="L1658">
        <v>11.54</v>
      </c>
      <c r="M1658">
        <v>277.6</v>
      </c>
      <c r="N1658">
        <v>123</v>
      </c>
      <c r="O1658">
        <v>12.49</v>
      </c>
      <c r="P1658">
        <v>13.1</v>
      </c>
      <c r="Q1658">
        <v>3</v>
      </c>
      <c r="R1658">
        <v>3.54</v>
      </c>
      <c r="S1658">
        <v>0</v>
      </c>
      <c r="T1658" t="b">
        <v>0</v>
      </c>
    </row>
    <row r="1659" spans="1:20">
      <c r="A1659" t="s">
        <v>83</v>
      </c>
      <c r="B1659">
        <v>100</v>
      </c>
      <c r="C1659">
        <v>415</v>
      </c>
      <c r="D1659" t="s">
        <v>62</v>
      </c>
      <c r="E1659" t="s">
        <v>62</v>
      </c>
      <c r="F1659">
        <v>0</v>
      </c>
      <c r="G1659">
        <v>131.1</v>
      </c>
      <c r="H1659">
        <v>108</v>
      </c>
      <c r="I1659">
        <v>22.29</v>
      </c>
      <c r="J1659">
        <v>176.2</v>
      </c>
      <c r="K1659">
        <v>81</v>
      </c>
      <c r="L1659">
        <v>14.98</v>
      </c>
      <c r="M1659">
        <v>89.7</v>
      </c>
      <c r="N1659">
        <v>81</v>
      </c>
      <c r="O1659">
        <v>4.04</v>
      </c>
      <c r="P1659">
        <v>4.3</v>
      </c>
      <c r="Q1659">
        <v>4</v>
      </c>
      <c r="R1659">
        <v>1.16</v>
      </c>
      <c r="S1659">
        <v>1</v>
      </c>
      <c r="T1659" t="b">
        <v>0</v>
      </c>
    </row>
    <row r="1660" spans="1:20">
      <c r="A1660" t="s">
        <v>102</v>
      </c>
      <c r="B1660">
        <v>122</v>
      </c>
      <c r="C1660">
        <v>415</v>
      </c>
      <c r="D1660" t="s">
        <v>62</v>
      </c>
      <c r="E1660" t="s">
        <v>62</v>
      </c>
      <c r="F1660">
        <v>0</v>
      </c>
      <c r="G1660">
        <v>234.1</v>
      </c>
      <c r="H1660">
        <v>101</v>
      </c>
      <c r="I1660">
        <v>39.8</v>
      </c>
      <c r="J1660">
        <v>200.2</v>
      </c>
      <c r="K1660">
        <v>121</v>
      </c>
      <c r="L1660">
        <v>17.02</v>
      </c>
      <c r="M1660">
        <v>237.4</v>
      </c>
      <c r="N1660">
        <v>89</v>
      </c>
      <c r="O1660">
        <v>10.68</v>
      </c>
      <c r="P1660">
        <v>13.1</v>
      </c>
      <c r="Q1660">
        <v>9</v>
      </c>
      <c r="R1660">
        <v>3.54</v>
      </c>
      <c r="S1660">
        <v>2</v>
      </c>
      <c r="T1660" t="b">
        <v>0</v>
      </c>
    </row>
    <row r="1661" spans="1:20">
      <c r="A1661" t="s">
        <v>69</v>
      </c>
      <c r="B1661">
        <v>109</v>
      </c>
      <c r="C1661">
        <v>415</v>
      </c>
      <c r="D1661" t="s">
        <v>62</v>
      </c>
      <c r="E1661" t="s">
        <v>62</v>
      </c>
      <c r="F1661">
        <v>0</v>
      </c>
      <c r="G1661">
        <v>200.1</v>
      </c>
      <c r="H1661">
        <v>72</v>
      </c>
      <c r="I1661">
        <v>34.02</v>
      </c>
      <c r="J1661">
        <v>300.9</v>
      </c>
      <c r="K1661">
        <v>120</v>
      </c>
      <c r="L1661">
        <v>25.58</v>
      </c>
      <c r="M1661">
        <v>236</v>
      </c>
      <c r="N1661">
        <v>68</v>
      </c>
      <c r="O1661">
        <v>10.62</v>
      </c>
      <c r="P1661">
        <v>11.9</v>
      </c>
      <c r="Q1661">
        <v>5</v>
      </c>
      <c r="R1661">
        <v>3.21</v>
      </c>
      <c r="S1661">
        <v>0</v>
      </c>
      <c r="T1661" t="b">
        <v>0</v>
      </c>
    </row>
    <row r="1662" spans="1:20">
      <c r="A1662" t="s">
        <v>67</v>
      </c>
      <c r="B1662">
        <v>82</v>
      </c>
      <c r="C1662">
        <v>408</v>
      </c>
      <c r="D1662" t="s">
        <v>62</v>
      </c>
      <c r="E1662" t="s">
        <v>62</v>
      </c>
      <c r="F1662">
        <v>0</v>
      </c>
      <c r="G1662">
        <v>154</v>
      </c>
      <c r="H1662">
        <v>107</v>
      </c>
      <c r="I1662">
        <v>26.18</v>
      </c>
      <c r="J1662">
        <v>94.4</v>
      </c>
      <c r="K1662">
        <v>114</v>
      </c>
      <c r="L1662">
        <v>8.02</v>
      </c>
      <c r="M1662">
        <v>287.6</v>
      </c>
      <c r="N1662">
        <v>95</v>
      </c>
      <c r="O1662">
        <v>12.94</v>
      </c>
      <c r="P1662">
        <v>10.1</v>
      </c>
      <c r="Q1662">
        <v>7</v>
      </c>
      <c r="R1662">
        <v>2.73</v>
      </c>
      <c r="S1662">
        <v>1</v>
      </c>
      <c r="T1662" t="b">
        <v>0</v>
      </c>
    </row>
    <row r="1663" spans="1:20">
      <c r="A1663" t="s">
        <v>113</v>
      </c>
      <c r="B1663">
        <v>65</v>
      </c>
      <c r="C1663">
        <v>415</v>
      </c>
      <c r="D1663" t="s">
        <v>62</v>
      </c>
      <c r="E1663" t="s">
        <v>63</v>
      </c>
      <c r="F1663">
        <v>23</v>
      </c>
      <c r="G1663">
        <v>224.2</v>
      </c>
      <c r="H1663">
        <v>106</v>
      </c>
      <c r="I1663">
        <v>38.11</v>
      </c>
      <c r="J1663">
        <v>189.6</v>
      </c>
      <c r="K1663">
        <v>100</v>
      </c>
      <c r="L1663">
        <v>16.12</v>
      </c>
      <c r="M1663">
        <v>222.8</v>
      </c>
      <c r="N1663">
        <v>75</v>
      </c>
      <c r="O1663">
        <v>10.03</v>
      </c>
      <c r="P1663">
        <v>9.8</v>
      </c>
      <c r="Q1663">
        <v>4</v>
      </c>
      <c r="R1663">
        <v>2.65</v>
      </c>
      <c r="S1663">
        <v>0</v>
      </c>
      <c r="T1663" t="b">
        <v>0</v>
      </c>
    </row>
    <row r="1664" spans="1:20">
      <c r="A1664" t="s">
        <v>90</v>
      </c>
      <c r="B1664">
        <v>52</v>
      </c>
      <c r="C1664">
        <v>510</v>
      </c>
      <c r="D1664" t="s">
        <v>62</v>
      </c>
      <c r="E1664" t="s">
        <v>62</v>
      </c>
      <c r="F1664">
        <v>0</v>
      </c>
      <c r="G1664">
        <v>148.3</v>
      </c>
      <c r="H1664">
        <v>83</v>
      </c>
      <c r="I1664">
        <v>25.21</v>
      </c>
      <c r="J1664">
        <v>181.6</v>
      </c>
      <c r="K1664">
        <v>79</v>
      </c>
      <c r="L1664">
        <v>15.44</v>
      </c>
      <c r="M1664">
        <v>155.6</v>
      </c>
      <c r="N1664">
        <v>104</v>
      </c>
      <c r="O1664">
        <v>7</v>
      </c>
      <c r="P1664">
        <v>8.3</v>
      </c>
      <c r="Q1664">
        <v>6</v>
      </c>
      <c r="R1664">
        <v>2.24</v>
      </c>
      <c r="S1664">
        <v>3</v>
      </c>
      <c r="T1664" t="b">
        <v>0</v>
      </c>
    </row>
    <row r="1665" spans="1:20">
      <c r="A1665" t="s">
        <v>109</v>
      </c>
      <c r="B1665">
        <v>136</v>
      </c>
      <c r="C1665">
        <v>415</v>
      </c>
      <c r="D1665" t="s">
        <v>62</v>
      </c>
      <c r="E1665" t="s">
        <v>63</v>
      </c>
      <c r="F1665">
        <v>24</v>
      </c>
      <c r="G1665">
        <v>174.6</v>
      </c>
      <c r="H1665">
        <v>76</v>
      </c>
      <c r="I1665">
        <v>29.68</v>
      </c>
      <c r="J1665">
        <v>176.6</v>
      </c>
      <c r="K1665">
        <v>114</v>
      </c>
      <c r="L1665">
        <v>15.01</v>
      </c>
      <c r="M1665">
        <v>214.4</v>
      </c>
      <c r="N1665">
        <v>91</v>
      </c>
      <c r="O1665">
        <v>9.65</v>
      </c>
      <c r="P1665">
        <v>8.8</v>
      </c>
      <c r="Q1665">
        <v>5</v>
      </c>
      <c r="R1665">
        <v>2.38</v>
      </c>
      <c r="S1665">
        <v>2</v>
      </c>
      <c r="T1665" t="b">
        <v>0</v>
      </c>
    </row>
    <row r="1666" spans="1:20">
      <c r="A1666" t="s">
        <v>75</v>
      </c>
      <c r="B1666">
        <v>75</v>
      </c>
      <c r="C1666">
        <v>415</v>
      </c>
      <c r="D1666" t="s">
        <v>62</v>
      </c>
      <c r="E1666" t="s">
        <v>62</v>
      </c>
      <c r="F1666">
        <v>0</v>
      </c>
      <c r="G1666">
        <v>138.5</v>
      </c>
      <c r="H1666">
        <v>110</v>
      </c>
      <c r="I1666">
        <v>23.55</v>
      </c>
      <c r="J1666">
        <v>153.2</v>
      </c>
      <c r="K1666">
        <v>86</v>
      </c>
      <c r="L1666">
        <v>13.02</v>
      </c>
      <c r="M1666">
        <v>215.6</v>
      </c>
      <c r="N1666">
        <v>103</v>
      </c>
      <c r="O1666">
        <v>9.7</v>
      </c>
      <c r="P1666">
        <v>11.1</v>
      </c>
      <c r="Q1666">
        <v>7</v>
      </c>
      <c r="R1666">
        <v>3</v>
      </c>
      <c r="S1666">
        <v>1</v>
      </c>
      <c r="T1666" t="b">
        <v>0</v>
      </c>
    </row>
    <row r="1667" spans="1:20">
      <c r="A1667" t="s">
        <v>85</v>
      </c>
      <c r="B1667">
        <v>146</v>
      </c>
      <c r="C1667">
        <v>408</v>
      </c>
      <c r="D1667" t="s">
        <v>62</v>
      </c>
      <c r="E1667" t="s">
        <v>62</v>
      </c>
      <c r="F1667">
        <v>0</v>
      </c>
      <c r="G1667">
        <v>109</v>
      </c>
      <c r="H1667">
        <v>69</v>
      </c>
      <c r="I1667">
        <v>18.53</v>
      </c>
      <c r="J1667">
        <v>265.8</v>
      </c>
      <c r="K1667">
        <v>98</v>
      </c>
      <c r="L1667">
        <v>22.59</v>
      </c>
      <c r="M1667">
        <v>228.3</v>
      </c>
      <c r="N1667">
        <v>80</v>
      </c>
      <c r="O1667">
        <v>10.27</v>
      </c>
      <c r="P1667">
        <v>12.6</v>
      </c>
      <c r="Q1667">
        <v>2</v>
      </c>
      <c r="R1667">
        <v>3.4</v>
      </c>
      <c r="S1667">
        <v>1</v>
      </c>
      <c r="T1667" t="b">
        <v>0</v>
      </c>
    </row>
    <row r="1668" spans="1:20">
      <c r="A1668" t="s">
        <v>84</v>
      </c>
      <c r="B1668">
        <v>105</v>
      </c>
      <c r="C1668">
        <v>408</v>
      </c>
      <c r="D1668" t="s">
        <v>62</v>
      </c>
      <c r="E1668" t="s">
        <v>62</v>
      </c>
      <c r="F1668">
        <v>0</v>
      </c>
      <c r="G1668">
        <v>162.3</v>
      </c>
      <c r="H1668">
        <v>99</v>
      </c>
      <c r="I1668">
        <v>27.59</v>
      </c>
      <c r="J1668">
        <v>212.5</v>
      </c>
      <c r="K1668">
        <v>95</v>
      </c>
      <c r="L1668">
        <v>18.06</v>
      </c>
      <c r="M1668">
        <v>214.7</v>
      </c>
      <c r="N1668">
        <v>114</v>
      </c>
      <c r="O1668">
        <v>9.66</v>
      </c>
      <c r="P1668">
        <v>11.1</v>
      </c>
      <c r="Q1668">
        <v>8</v>
      </c>
      <c r="R1668">
        <v>3</v>
      </c>
      <c r="S1668">
        <v>4</v>
      </c>
      <c r="T1668" t="b">
        <v>0</v>
      </c>
    </row>
    <row r="1669" spans="1:20">
      <c r="A1669" t="s">
        <v>115</v>
      </c>
      <c r="B1669">
        <v>48</v>
      </c>
      <c r="C1669">
        <v>415</v>
      </c>
      <c r="D1669" t="s">
        <v>62</v>
      </c>
      <c r="E1669" t="s">
        <v>62</v>
      </c>
      <c r="F1669">
        <v>0</v>
      </c>
      <c r="G1669">
        <v>210.8</v>
      </c>
      <c r="H1669">
        <v>84</v>
      </c>
      <c r="I1669">
        <v>35.84</v>
      </c>
      <c r="J1669">
        <v>189.6</v>
      </c>
      <c r="K1669">
        <v>98</v>
      </c>
      <c r="L1669">
        <v>16.12</v>
      </c>
      <c r="M1669">
        <v>157.6</v>
      </c>
      <c r="N1669">
        <v>99</v>
      </c>
      <c r="O1669">
        <v>7.09</v>
      </c>
      <c r="P1669">
        <v>16.4</v>
      </c>
      <c r="Q1669">
        <v>3</v>
      </c>
      <c r="R1669">
        <v>4.43</v>
      </c>
      <c r="S1669">
        <v>2</v>
      </c>
      <c r="T1669" t="b">
        <v>0</v>
      </c>
    </row>
    <row r="1670" spans="1:20">
      <c r="A1670" t="s">
        <v>116</v>
      </c>
      <c r="B1670">
        <v>45</v>
      </c>
      <c r="C1670">
        <v>415</v>
      </c>
      <c r="D1670" t="s">
        <v>62</v>
      </c>
      <c r="E1670" t="s">
        <v>62</v>
      </c>
      <c r="F1670">
        <v>0</v>
      </c>
      <c r="G1670">
        <v>142.4</v>
      </c>
      <c r="H1670">
        <v>107</v>
      </c>
      <c r="I1670">
        <v>24.21</v>
      </c>
      <c r="J1670">
        <v>318.7</v>
      </c>
      <c r="K1670">
        <v>78</v>
      </c>
      <c r="L1670">
        <v>27.09</v>
      </c>
      <c r="M1670">
        <v>224.1</v>
      </c>
      <c r="N1670">
        <v>108</v>
      </c>
      <c r="O1670">
        <v>10.08</v>
      </c>
      <c r="P1670">
        <v>11.1</v>
      </c>
      <c r="Q1670">
        <v>7</v>
      </c>
      <c r="R1670">
        <v>3</v>
      </c>
      <c r="S1670">
        <v>1</v>
      </c>
      <c r="T1670" t="b">
        <v>0</v>
      </c>
    </row>
    <row r="1671" spans="1:20">
      <c r="A1671" t="s">
        <v>100</v>
      </c>
      <c r="B1671">
        <v>106</v>
      </c>
      <c r="C1671">
        <v>415</v>
      </c>
      <c r="D1671" t="s">
        <v>62</v>
      </c>
      <c r="E1671" t="s">
        <v>63</v>
      </c>
      <c r="F1671">
        <v>37</v>
      </c>
      <c r="G1671">
        <v>223.5</v>
      </c>
      <c r="H1671">
        <v>104</v>
      </c>
      <c r="I1671">
        <v>38</v>
      </c>
      <c r="J1671">
        <v>235.1</v>
      </c>
      <c r="K1671">
        <v>99</v>
      </c>
      <c r="L1671">
        <v>19.98</v>
      </c>
      <c r="M1671">
        <v>140.1</v>
      </c>
      <c r="N1671">
        <v>90</v>
      </c>
      <c r="O1671">
        <v>6.3</v>
      </c>
      <c r="P1671">
        <v>10.6</v>
      </c>
      <c r="Q1671">
        <v>5</v>
      </c>
      <c r="R1671">
        <v>2.86</v>
      </c>
      <c r="S1671">
        <v>2</v>
      </c>
      <c r="T1671" t="b">
        <v>0</v>
      </c>
    </row>
    <row r="1672" spans="1:20">
      <c r="A1672" t="s">
        <v>116</v>
      </c>
      <c r="B1672">
        <v>33</v>
      </c>
      <c r="C1672">
        <v>510</v>
      </c>
      <c r="D1672" t="s">
        <v>62</v>
      </c>
      <c r="E1672" t="s">
        <v>62</v>
      </c>
      <c r="F1672">
        <v>0</v>
      </c>
      <c r="G1672">
        <v>182.5</v>
      </c>
      <c r="H1672">
        <v>65</v>
      </c>
      <c r="I1672">
        <v>31.03</v>
      </c>
      <c r="J1672">
        <v>232.1</v>
      </c>
      <c r="K1672">
        <v>96</v>
      </c>
      <c r="L1672">
        <v>19.73</v>
      </c>
      <c r="M1672">
        <v>149.2</v>
      </c>
      <c r="N1672">
        <v>82</v>
      </c>
      <c r="O1672">
        <v>6.71</v>
      </c>
      <c r="P1672">
        <v>7.5</v>
      </c>
      <c r="Q1672">
        <v>2</v>
      </c>
      <c r="R1672">
        <v>2.03</v>
      </c>
      <c r="S1672">
        <v>2</v>
      </c>
      <c r="T1672" t="b">
        <v>0</v>
      </c>
    </row>
    <row r="1673" spans="1:20">
      <c r="A1673" t="s">
        <v>101</v>
      </c>
      <c r="B1673">
        <v>106</v>
      </c>
      <c r="C1673">
        <v>408</v>
      </c>
      <c r="D1673" t="s">
        <v>62</v>
      </c>
      <c r="E1673" t="s">
        <v>62</v>
      </c>
      <c r="F1673">
        <v>0</v>
      </c>
      <c r="G1673">
        <v>193.6</v>
      </c>
      <c r="H1673">
        <v>66</v>
      </c>
      <c r="I1673">
        <v>32.91</v>
      </c>
      <c r="J1673">
        <v>238.2</v>
      </c>
      <c r="K1673">
        <v>82</v>
      </c>
      <c r="L1673">
        <v>20.25</v>
      </c>
      <c r="M1673">
        <v>176.4</v>
      </c>
      <c r="N1673">
        <v>107</v>
      </c>
      <c r="O1673">
        <v>7.94</v>
      </c>
      <c r="P1673">
        <v>12.9</v>
      </c>
      <c r="Q1673">
        <v>3</v>
      </c>
      <c r="R1673">
        <v>3.48</v>
      </c>
      <c r="S1673">
        <v>0</v>
      </c>
      <c r="T1673" t="b">
        <v>0</v>
      </c>
    </row>
    <row r="1674" spans="1:20">
      <c r="A1674" t="s">
        <v>104</v>
      </c>
      <c r="B1674">
        <v>141</v>
      </c>
      <c r="C1674">
        <v>415</v>
      </c>
      <c r="D1674" t="s">
        <v>62</v>
      </c>
      <c r="E1674" t="s">
        <v>62</v>
      </c>
      <c r="F1674">
        <v>0</v>
      </c>
      <c r="G1674">
        <v>192.4</v>
      </c>
      <c r="H1674">
        <v>111</v>
      </c>
      <c r="I1674">
        <v>32.71</v>
      </c>
      <c r="J1674">
        <v>156.9</v>
      </c>
      <c r="K1674">
        <v>87</v>
      </c>
      <c r="L1674">
        <v>13.34</v>
      </c>
      <c r="M1674">
        <v>175.8</v>
      </c>
      <c r="N1674">
        <v>82</v>
      </c>
      <c r="O1674">
        <v>7.91</v>
      </c>
      <c r="P1674">
        <v>11</v>
      </c>
      <c r="Q1674">
        <v>6</v>
      </c>
      <c r="R1674">
        <v>2.97</v>
      </c>
      <c r="S1674">
        <v>0</v>
      </c>
      <c r="T1674" t="b">
        <v>0</v>
      </c>
    </row>
    <row r="1675" spans="1:20">
      <c r="A1675" t="s">
        <v>61</v>
      </c>
      <c r="B1675">
        <v>94</v>
      </c>
      <c r="C1675">
        <v>510</v>
      </c>
      <c r="D1675" t="s">
        <v>62</v>
      </c>
      <c r="E1675" t="s">
        <v>63</v>
      </c>
      <c r="F1675">
        <v>28</v>
      </c>
      <c r="G1675">
        <v>233.2</v>
      </c>
      <c r="H1675">
        <v>88</v>
      </c>
      <c r="I1675">
        <v>39.64</v>
      </c>
      <c r="J1675">
        <v>113.3</v>
      </c>
      <c r="K1675">
        <v>102</v>
      </c>
      <c r="L1675">
        <v>9.63</v>
      </c>
      <c r="M1675">
        <v>118</v>
      </c>
      <c r="N1675">
        <v>71</v>
      </c>
      <c r="O1675">
        <v>5.31</v>
      </c>
      <c r="P1675">
        <v>16.1</v>
      </c>
      <c r="Q1675">
        <v>4</v>
      </c>
      <c r="R1675">
        <v>4.35</v>
      </c>
      <c r="S1675">
        <v>0</v>
      </c>
      <c r="T1675" t="b">
        <v>0</v>
      </c>
    </row>
    <row r="1676" spans="1:20">
      <c r="A1676" t="s">
        <v>82</v>
      </c>
      <c r="B1676">
        <v>65</v>
      </c>
      <c r="C1676">
        <v>510</v>
      </c>
      <c r="D1676" t="s">
        <v>62</v>
      </c>
      <c r="E1676" t="s">
        <v>62</v>
      </c>
      <c r="F1676">
        <v>0</v>
      </c>
      <c r="G1676">
        <v>158.8</v>
      </c>
      <c r="H1676">
        <v>53</v>
      </c>
      <c r="I1676">
        <v>27</v>
      </c>
      <c r="J1676">
        <v>188.5</v>
      </c>
      <c r="K1676">
        <v>132</v>
      </c>
      <c r="L1676">
        <v>16.02</v>
      </c>
      <c r="M1676">
        <v>189.3</v>
      </c>
      <c r="N1676">
        <v>87</v>
      </c>
      <c r="O1676">
        <v>8.52</v>
      </c>
      <c r="P1676">
        <v>9.8</v>
      </c>
      <c r="Q1676">
        <v>4</v>
      </c>
      <c r="R1676">
        <v>2.65</v>
      </c>
      <c r="S1676">
        <v>2</v>
      </c>
      <c r="T1676" t="b">
        <v>0</v>
      </c>
    </row>
    <row r="1677" spans="1:20">
      <c r="A1677" t="s">
        <v>69</v>
      </c>
      <c r="B1677">
        <v>85</v>
      </c>
      <c r="C1677">
        <v>415</v>
      </c>
      <c r="D1677" t="s">
        <v>62</v>
      </c>
      <c r="E1677" t="s">
        <v>62</v>
      </c>
      <c r="F1677">
        <v>0</v>
      </c>
      <c r="G1677">
        <v>126.1</v>
      </c>
      <c r="H1677">
        <v>112</v>
      </c>
      <c r="I1677">
        <v>21.44</v>
      </c>
      <c r="J1677">
        <v>274.7</v>
      </c>
      <c r="K1677">
        <v>126</v>
      </c>
      <c r="L1677">
        <v>23.35</v>
      </c>
      <c r="M1677">
        <v>184.4</v>
      </c>
      <c r="N1677">
        <v>95</v>
      </c>
      <c r="O1677">
        <v>8.3</v>
      </c>
      <c r="P1677">
        <v>9.8</v>
      </c>
      <c r="Q1677">
        <v>4</v>
      </c>
      <c r="R1677">
        <v>2.65</v>
      </c>
      <c r="S1677">
        <v>1</v>
      </c>
      <c r="T1677" t="b">
        <v>0</v>
      </c>
    </row>
    <row r="1678" spans="1:20">
      <c r="A1678" t="s">
        <v>68</v>
      </c>
      <c r="B1678">
        <v>71</v>
      </c>
      <c r="C1678">
        <v>510</v>
      </c>
      <c r="D1678" t="s">
        <v>62</v>
      </c>
      <c r="E1678" t="s">
        <v>62</v>
      </c>
      <c r="F1678">
        <v>0</v>
      </c>
      <c r="G1678">
        <v>290.4</v>
      </c>
      <c r="H1678">
        <v>108</v>
      </c>
      <c r="I1678">
        <v>49.37</v>
      </c>
      <c r="J1678">
        <v>253.9</v>
      </c>
      <c r="K1678">
        <v>92</v>
      </c>
      <c r="L1678">
        <v>21.58</v>
      </c>
      <c r="M1678">
        <v>263.3</v>
      </c>
      <c r="N1678">
        <v>126</v>
      </c>
      <c r="O1678">
        <v>11.85</v>
      </c>
      <c r="P1678">
        <v>10.1</v>
      </c>
      <c r="Q1678">
        <v>5</v>
      </c>
      <c r="R1678">
        <v>2.73</v>
      </c>
      <c r="S1678">
        <v>3</v>
      </c>
      <c r="T1678" t="b">
        <v>1</v>
      </c>
    </row>
    <row r="1679" spans="1:20">
      <c r="A1679" t="s">
        <v>106</v>
      </c>
      <c r="B1679">
        <v>112</v>
      </c>
      <c r="C1679">
        <v>408</v>
      </c>
      <c r="D1679" t="s">
        <v>62</v>
      </c>
      <c r="E1679" t="s">
        <v>63</v>
      </c>
      <c r="F1679">
        <v>30</v>
      </c>
      <c r="G1679">
        <v>60.6</v>
      </c>
      <c r="H1679">
        <v>113</v>
      </c>
      <c r="I1679">
        <v>10.3</v>
      </c>
      <c r="J1679">
        <v>165.9</v>
      </c>
      <c r="K1679">
        <v>96</v>
      </c>
      <c r="L1679">
        <v>14.1</v>
      </c>
      <c r="M1679">
        <v>132.8</v>
      </c>
      <c r="N1679">
        <v>99</v>
      </c>
      <c r="O1679">
        <v>5.98</v>
      </c>
      <c r="P1679">
        <v>13.3</v>
      </c>
      <c r="Q1679">
        <v>7</v>
      </c>
      <c r="R1679">
        <v>3.59</v>
      </c>
      <c r="S1679">
        <v>0</v>
      </c>
      <c r="T1679" t="b">
        <v>0</v>
      </c>
    </row>
    <row r="1680" spans="1:20">
      <c r="A1680" t="s">
        <v>90</v>
      </c>
      <c r="B1680">
        <v>110</v>
      </c>
      <c r="C1680">
        <v>415</v>
      </c>
      <c r="D1680" t="s">
        <v>62</v>
      </c>
      <c r="E1680" t="s">
        <v>62</v>
      </c>
      <c r="F1680">
        <v>0</v>
      </c>
      <c r="G1680">
        <v>148.4</v>
      </c>
      <c r="H1680">
        <v>95</v>
      </c>
      <c r="I1680">
        <v>25.23</v>
      </c>
      <c r="J1680">
        <v>193.8</v>
      </c>
      <c r="K1680">
        <v>98</v>
      </c>
      <c r="L1680">
        <v>16.47</v>
      </c>
      <c r="M1680">
        <v>206</v>
      </c>
      <c r="N1680">
        <v>106</v>
      </c>
      <c r="O1680">
        <v>9.27</v>
      </c>
      <c r="P1680">
        <v>6.9</v>
      </c>
      <c r="Q1680">
        <v>6</v>
      </c>
      <c r="R1680">
        <v>1.86</v>
      </c>
      <c r="S1680">
        <v>0</v>
      </c>
      <c r="T1680" t="b">
        <v>0</v>
      </c>
    </row>
    <row r="1681" spans="1:20">
      <c r="A1681" t="s">
        <v>93</v>
      </c>
      <c r="B1681">
        <v>111</v>
      </c>
      <c r="C1681">
        <v>415</v>
      </c>
      <c r="D1681" t="s">
        <v>62</v>
      </c>
      <c r="E1681" t="s">
        <v>62</v>
      </c>
      <c r="F1681">
        <v>0</v>
      </c>
      <c r="G1681">
        <v>246.5</v>
      </c>
      <c r="H1681">
        <v>108</v>
      </c>
      <c r="I1681">
        <v>41.91</v>
      </c>
      <c r="J1681">
        <v>216.3</v>
      </c>
      <c r="K1681">
        <v>89</v>
      </c>
      <c r="L1681">
        <v>18.39</v>
      </c>
      <c r="M1681">
        <v>179.6</v>
      </c>
      <c r="N1681">
        <v>99</v>
      </c>
      <c r="O1681">
        <v>8.08</v>
      </c>
      <c r="P1681">
        <v>12.7</v>
      </c>
      <c r="Q1681">
        <v>3</v>
      </c>
      <c r="R1681">
        <v>3.43</v>
      </c>
      <c r="S1681">
        <v>2</v>
      </c>
      <c r="T1681" t="b">
        <v>0</v>
      </c>
    </row>
    <row r="1682" spans="1:20">
      <c r="A1682" t="s">
        <v>87</v>
      </c>
      <c r="B1682">
        <v>74</v>
      </c>
      <c r="C1682">
        <v>408</v>
      </c>
      <c r="D1682" t="s">
        <v>62</v>
      </c>
      <c r="E1682" t="s">
        <v>62</v>
      </c>
      <c r="F1682">
        <v>0</v>
      </c>
      <c r="G1682">
        <v>298.1</v>
      </c>
      <c r="H1682">
        <v>112</v>
      </c>
      <c r="I1682">
        <v>50.68</v>
      </c>
      <c r="J1682">
        <v>201.3</v>
      </c>
      <c r="K1682">
        <v>100</v>
      </c>
      <c r="L1682">
        <v>17.11</v>
      </c>
      <c r="M1682">
        <v>214.7</v>
      </c>
      <c r="N1682">
        <v>88</v>
      </c>
      <c r="O1682">
        <v>9.66</v>
      </c>
      <c r="P1682">
        <v>9.7</v>
      </c>
      <c r="Q1682">
        <v>4</v>
      </c>
      <c r="R1682">
        <v>2.62</v>
      </c>
      <c r="S1682">
        <v>2</v>
      </c>
      <c r="T1682" t="b">
        <v>1</v>
      </c>
    </row>
    <row r="1683" spans="1:20">
      <c r="A1683" t="s">
        <v>112</v>
      </c>
      <c r="B1683">
        <v>105</v>
      </c>
      <c r="C1683">
        <v>510</v>
      </c>
      <c r="D1683" t="s">
        <v>62</v>
      </c>
      <c r="E1683" t="s">
        <v>62</v>
      </c>
      <c r="F1683">
        <v>0</v>
      </c>
      <c r="G1683">
        <v>119.3</v>
      </c>
      <c r="H1683">
        <v>82</v>
      </c>
      <c r="I1683">
        <v>20.28</v>
      </c>
      <c r="J1683">
        <v>185.1</v>
      </c>
      <c r="K1683">
        <v>111</v>
      </c>
      <c r="L1683">
        <v>15.73</v>
      </c>
      <c r="M1683">
        <v>157</v>
      </c>
      <c r="N1683">
        <v>74</v>
      </c>
      <c r="O1683">
        <v>7.07</v>
      </c>
      <c r="P1683">
        <v>10.9</v>
      </c>
      <c r="Q1683">
        <v>4</v>
      </c>
      <c r="R1683">
        <v>2.94</v>
      </c>
      <c r="S1683">
        <v>2</v>
      </c>
      <c r="T1683" t="b">
        <v>0</v>
      </c>
    </row>
    <row r="1684" spans="1:20">
      <c r="A1684" t="s">
        <v>106</v>
      </c>
      <c r="B1684">
        <v>40</v>
      </c>
      <c r="C1684">
        <v>408</v>
      </c>
      <c r="D1684" t="s">
        <v>62</v>
      </c>
      <c r="E1684" t="s">
        <v>62</v>
      </c>
      <c r="F1684">
        <v>0</v>
      </c>
      <c r="G1684">
        <v>242.5</v>
      </c>
      <c r="H1684">
        <v>82</v>
      </c>
      <c r="I1684">
        <v>41.23</v>
      </c>
      <c r="J1684">
        <v>232.9</v>
      </c>
      <c r="K1684">
        <v>97</v>
      </c>
      <c r="L1684">
        <v>19.8</v>
      </c>
      <c r="M1684">
        <v>154</v>
      </c>
      <c r="N1684">
        <v>86</v>
      </c>
      <c r="O1684">
        <v>6.93</v>
      </c>
      <c r="P1684">
        <v>9.6</v>
      </c>
      <c r="Q1684">
        <v>7</v>
      </c>
      <c r="R1684">
        <v>2.59</v>
      </c>
      <c r="S1684">
        <v>0</v>
      </c>
      <c r="T1684" t="b">
        <v>0</v>
      </c>
    </row>
    <row r="1685" spans="1:20">
      <c r="A1685" t="s">
        <v>89</v>
      </c>
      <c r="B1685">
        <v>128</v>
      </c>
      <c r="C1685">
        <v>408</v>
      </c>
      <c r="D1685" t="s">
        <v>63</v>
      </c>
      <c r="E1685" t="s">
        <v>63</v>
      </c>
      <c r="F1685">
        <v>18</v>
      </c>
      <c r="G1685">
        <v>222.1</v>
      </c>
      <c r="H1685">
        <v>89</v>
      </c>
      <c r="I1685">
        <v>37.76</v>
      </c>
      <c r="J1685">
        <v>160.6</v>
      </c>
      <c r="K1685">
        <v>109</v>
      </c>
      <c r="L1685">
        <v>13.65</v>
      </c>
      <c r="M1685">
        <v>218.8</v>
      </c>
      <c r="N1685">
        <v>102</v>
      </c>
      <c r="O1685">
        <v>9.85</v>
      </c>
      <c r="P1685">
        <v>13.6</v>
      </c>
      <c r="Q1685">
        <v>2</v>
      </c>
      <c r="R1685">
        <v>3.67</v>
      </c>
      <c r="S1685">
        <v>0</v>
      </c>
      <c r="T1685" t="b">
        <v>1</v>
      </c>
    </row>
    <row r="1686" spans="1:20">
      <c r="A1686" t="s">
        <v>102</v>
      </c>
      <c r="B1686">
        <v>123</v>
      </c>
      <c r="C1686">
        <v>408</v>
      </c>
      <c r="D1686" t="s">
        <v>62</v>
      </c>
      <c r="E1686" t="s">
        <v>62</v>
      </c>
      <c r="F1686">
        <v>0</v>
      </c>
      <c r="G1686">
        <v>236.2</v>
      </c>
      <c r="H1686">
        <v>135</v>
      </c>
      <c r="I1686">
        <v>40.15</v>
      </c>
      <c r="J1686">
        <v>273.9</v>
      </c>
      <c r="K1686">
        <v>88</v>
      </c>
      <c r="L1686">
        <v>23.28</v>
      </c>
      <c r="M1686">
        <v>227</v>
      </c>
      <c r="N1686">
        <v>77</v>
      </c>
      <c r="O1686">
        <v>10.22</v>
      </c>
      <c r="P1686">
        <v>10.1</v>
      </c>
      <c r="Q1686">
        <v>6</v>
      </c>
      <c r="R1686">
        <v>2.73</v>
      </c>
      <c r="S1686">
        <v>2</v>
      </c>
      <c r="T1686" t="b">
        <v>1</v>
      </c>
    </row>
    <row r="1687" spans="1:20">
      <c r="A1687" t="s">
        <v>110</v>
      </c>
      <c r="B1687">
        <v>122</v>
      </c>
      <c r="C1687">
        <v>510</v>
      </c>
      <c r="D1687" t="s">
        <v>62</v>
      </c>
      <c r="E1687" t="s">
        <v>62</v>
      </c>
      <c r="F1687">
        <v>0</v>
      </c>
      <c r="G1687">
        <v>144.2</v>
      </c>
      <c r="H1687">
        <v>87</v>
      </c>
      <c r="I1687">
        <v>24.51</v>
      </c>
      <c r="J1687">
        <v>212.2</v>
      </c>
      <c r="K1687">
        <v>74</v>
      </c>
      <c r="L1687">
        <v>18.04</v>
      </c>
      <c r="M1687">
        <v>169.3</v>
      </c>
      <c r="N1687">
        <v>87</v>
      </c>
      <c r="O1687">
        <v>7.62</v>
      </c>
      <c r="P1687">
        <v>9.5</v>
      </c>
      <c r="Q1687">
        <v>4</v>
      </c>
      <c r="R1687">
        <v>2.57</v>
      </c>
      <c r="S1687">
        <v>0</v>
      </c>
      <c r="T1687" t="b">
        <v>0</v>
      </c>
    </row>
    <row r="1688" spans="1:20">
      <c r="A1688" t="s">
        <v>77</v>
      </c>
      <c r="B1688">
        <v>114</v>
      </c>
      <c r="C1688">
        <v>408</v>
      </c>
      <c r="D1688" t="s">
        <v>62</v>
      </c>
      <c r="E1688" t="s">
        <v>63</v>
      </c>
      <c r="F1688">
        <v>19</v>
      </c>
      <c r="G1688">
        <v>154.6</v>
      </c>
      <c r="H1688">
        <v>100</v>
      </c>
      <c r="I1688">
        <v>26.28</v>
      </c>
      <c r="J1688">
        <v>241.6</v>
      </c>
      <c r="K1688">
        <v>109</v>
      </c>
      <c r="L1688">
        <v>20.54</v>
      </c>
      <c r="M1688">
        <v>160</v>
      </c>
      <c r="N1688">
        <v>112</v>
      </c>
      <c r="O1688">
        <v>7.2</v>
      </c>
      <c r="P1688">
        <v>12.6</v>
      </c>
      <c r="Q1688">
        <v>1</v>
      </c>
      <c r="R1688">
        <v>3.4</v>
      </c>
      <c r="S1688">
        <v>3</v>
      </c>
      <c r="T1688" t="b">
        <v>0</v>
      </c>
    </row>
    <row r="1689" spans="1:20">
      <c r="A1689" t="s">
        <v>116</v>
      </c>
      <c r="B1689">
        <v>102</v>
      </c>
      <c r="C1689">
        <v>415</v>
      </c>
      <c r="D1689" t="s">
        <v>62</v>
      </c>
      <c r="E1689" t="s">
        <v>63</v>
      </c>
      <c r="F1689">
        <v>25</v>
      </c>
      <c r="G1689">
        <v>137.4</v>
      </c>
      <c r="H1689">
        <v>100</v>
      </c>
      <c r="I1689">
        <v>23.36</v>
      </c>
      <c r="J1689">
        <v>176.7</v>
      </c>
      <c r="K1689">
        <v>83</v>
      </c>
      <c r="L1689">
        <v>15.02</v>
      </c>
      <c r="M1689">
        <v>188.2</v>
      </c>
      <c r="N1689">
        <v>93</v>
      </c>
      <c r="O1689">
        <v>8.47</v>
      </c>
      <c r="P1689">
        <v>10.2</v>
      </c>
      <c r="Q1689">
        <v>6</v>
      </c>
      <c r="R1689">
        <v>2.75</v>
      </c>
      <c r="S1689">
        <v>2</v>
      </c>
      <c r="T1689" t="b">
        <v>0</v>
      </c>
    </row>
    <row r="1690" spans="1:20">
      <c r="A1690" t="s">
        <v>100</v>
      </c>
      <c r="B1690">
        <v>126</v>
      </c>
      <c r="C1690">
        <v>415</v>
      </c>
      <c r="D1690" t="s">
        <v>62</v>
      </c>
      <c r="E1690" t="s">
        <v>62</v>
      </c>
      <c r="F1690">
        <v>0</v>
      </c>
      <c r="G1690">
        <v>103.7</v>
      </c>
      <c r="H1690">
        <v>93</v>
      </c>
      <c r="I1690">
        <v>17.63</v>
      </c>
      <c r="J1690">
        <v>127</v>
      </c>
      <c r="K1690">
        <v>107</v>
      </c>
      <c r="L1690">
        <v>10.8</v>
      </c>
      <c r="M1690">
        <v>329.3</v>
      </c>
      <c r="N1690">
        <v>66</v>
      </c>
      <c r="O1690">
        <v>14.82</v>
      </c>
      <c r="P1690">
        <v>14.4</v>
      </c>
      <c r="Q1690">
        <v>1</v>
      </c>
      <c r="R1690">
        <v>3.89</v>
      </c>
      <c r="S1690">
        <v>0</v>
      </c>
      <c r="T1690" t="b">
        <v>0</v>
      </c>
    </row>
    <row r="1691" spans="1:20">
      <c r="A1691" t="s">
        <v>88</v>
      </c>
      <c r="B1691">
        <v>150</v>
      </c>
      <c r="C1691">
        <v>415</v>
      </c>
      <c r="D1691" t="s">
        <v>62</v>
      </c>
      <c r="E1691" t="s">
        <v>62</v>
      </c>
      <c r="F1691">
        <v>0</v>
      </c>
      <c r="G1691">
        <v>136.6</v>
      </c>
      <c r="H1691">
        <v>112</v>
      </c>
      <c r="I1691">
        <v>23.22</v>
      </c>
      <c r="J1691">
        <v>209.4</v>
      </c>
      <c r="K1691">
        <v>81</v>
      </c>
      <c r="L1691">
        <v>17.8</v>
      </c>
      <c r="M1691">
        <v>161.1</v>
      </c>
      <c r="N1691">
        <v>78</v>
      </c>
      <c r="O1691">
        <v>7.25</v>
      </c>
      <c r="P1691">
        <v>12.2</v>
      </c>
      <c r="Q1691">
        <v>2</v>
      </c>
      <c r="R1691">
        <v>3.29</v>
      </c>
      <c r="S1691">
        <v>4</v>
      </c>
      <c r="T1691" t="b">
        <v>1</v>
      </c>
    </row>
    <row r="1692" spans="1:20">
      <c r="A1692" t="s">
        <v>65</v>
      </c>
      <c r="B1692">
        <v>60</v>
      </c>
      <c r="C1692">
        <v>408</v>
      </c>
      <c r="D1692" t="s">
        <v>62</v>
      </c>
      <c r="E1692" t="s">
        <v>62</v>
      </c>
      <c r="F1692">
        <v>0</v>
      </c>
      <c r="G1692">
        <v>289.8</v>
      </c>
      <c r="H1692">
        <v>101</v>
      </c>
      <c r="I1692">
        <v>49.27</v>
      </c>
      <c r="J1692">
        <v>255.6</v>
      </c>
      <c r="K1692">
        <v>115</v>
      </c>
      <c r="L1692">
        <v>21.73</v>
      </c>
      <c r="M1692">
        <v>242.8</v>
      </c>
      <c r="N1692">
        <v>76</v>
      </c>
      <c r="O1692">
        <v>10.93</v>
      </c>
      <c r="P1692">
        <v>11.7</v>
      </c>
      <c r="Q1692">
        <v>4</v>
      </c>
      <c r="R1692">
        <v>3.16</v>
      </c>
      <c r="S1692">
        <v>2</v>
      </c>
      <c r="T1692" t="b">
        <v>1</v>
      </c>
    </row>
    <row r="1693" spans="1:20">
      <c r="A1693" t="s">
        <v>98</v>
      </c>
      <c r="B1693">
        <v>138</v>
      </c>
      <c r="C1693">
        <v>510</v>
      </c>
      <c r="D1693" t="s">
        <v>63</v>
      </c>
      <c r="E1693" t="s">
        <v>62</v>
      </c>
      <c r="F1693">
        <v>0</v>
      </c>
      <c r="G1693">
        <v>196.2</v>
      </c>
      <c r="H1693">
        <v>129</v>
      </c>
      <c r="I1693">
        <v>33.35</v>
      </c>
      <c r="J1693">
        <v>176.5</v>
      </c>
      <c r="K1693">
        <v>86</v>
      </c>
      <c r="L1693">
        <v>15</v>
      </c>
      <c r="M1693">
        <v>232.4</v>
      </c>
      <c r="N1693">
        <v>108</v>
      </c>
      <c r="O1693">
        <v>10.46</v>
      </c>
      <c r="P1693">
        <v>15.2</v>
      </c>
      <c r="Q1693">
        <v>1</v>
      </c>
      <c r="R1693">
        <v>4.1</v>
      </c>
      <c r="S1693">
        <v>0</v>
      </c>
      <c r="T1693" t="b">
        <v>1</v>
      </c>
    </row>
    <row r="1694" spans="1:20">
      <c r="A1694" t="s">
        <v>91</v>
      </c>
      <c r="B1694">
        <v>29</v>
      </c>
      <c r="C1694">
        <v>510</v>
      </c>
      <c r="D1694" t="s">
        <v>62</v>
      </c>
      <c r="E1694" t="s">
        <v>62</v>
      </c>
      <c r="F1694">
        <v>0</v>
      </c>
      <c r="G1694">
        <v>195.6</v>
      </c>
      <c r="H1694">
        <v>71</v>
      </c>
      <c r="I1694">
        <v>33.25</v>
      </c>
      <c r="J1694">
        <v>126.4</v>
      </c>
      <c r="K1694">
        <v>74</v>
      </c>
      <c r="L1694">
        <v>10.74</v>
      </c>
      <c r="M1694">
        <v>148.6</v>
      </c>
      <c r="N1694">
        <v>87</v>
      </c>
      <c r="O1694">
        <v>6.69</v>
      </c>
      <c r="P1694">
        <v>14.2</v>
      </c>
      <c r="Q1694">
        <v>4</v>
      </c>
      <c r="R1694">
        <v>3.83</v>
      </c>
      <c r="S1694">
        <v>1</v>
      </c>
      <c r="T1694" t="b">
        <v>0</v>
      </c>
    </row>
    <row r="1695" spans="1:20">
      <c r="A1695" t="s">
        <v>85</v>
      </c>
      <c r="B1695">
        <v>111</v>
      </c>
      <c r="C1695">
        <v>415</v>
      </c>
      <c r="D1695" t="s">
        <v>62</v>
      </c>
      <c r="E1695" t="s">
        <v>62</v>
      </c>
      <c r="F1695">
        <v>0</v>
      </c>
      <c r="G1695">
        <v>222.2</v>
      </c>
      <c r="H1695">
        <v>96</v>
      </c>
      <c r="I1695">
        <v>37.77</v>
      </c>
      <c r="J1695">
        <v>162.5</v>
      </c>
      <c r="K1695">
        <v>111</v>
      </c>
      <c r="L1695">
        <v>13.81</v>
      </c>
      <c r="M1695">
        <v>184.9</v>
      </c>
      <c r="N1695">
        <v>120</v>
      </c>
      <c r="O1695">
        <v>8.32</v>
      </c>
      <c r="P1695">
        <v>11.9</v>
      </c>
      <c r="Q1695">
        <v>7</v>
      </c>
      <c r="R1695">
        <v>3.21</v>
      </c>
      <c r="S1695">
        <v>4</v>
      </c>
      <c r="T1695" t="b">
        <v>0</v>
      </c>
    </row>
    <row r="1696" spans="1:20">
      <c r="A1696" t="s">
        <v>80</v>
      </c>
      <c r="B1696">
        <v>37</v>
      </c>
      <c r="C1696">
        <v>510</v>
      </c>
      <c r="D1696" t="s">
        <v>63</v>
      </c>
      <c r="E1696" t="s">
        <v>62</v>
      </c>
      <c r="F1696">
        <v>0</v>
      </c>
      <c r="G1696">
        <v>172.9</v>
      </c>
      <c r="H1696">
        <v>119</v>
      </c>
      <c r="I1696">
        <v>29.39</v>
      </c>
      <c r="J1696">
        <v>183</v>
      </c>
      <c r="K1696">
        <v>86</v>
      </c>
      <c r="L1696">
        <v>15.56</v>
      </c>
      <c r="M1696">
        <v>226.4</v>
      </c>
      <c r="N1696">
        <v>100</v>
      </c>
      <c r="O1696">
        <v>10.19</v>
      </c>
      <c r="P1696">
        <v>9.8</v>
      </c>
      <c r="Q1696">
        <v>1</v>
      </c>
      <c r="R1696">
        <v>2.65</v>
      </c>
      <c r="S1696">
        <v>0</v>
      </c>
      <c r="T1696" t="b">
        <v>1</v>
      </c>
    </row>
    <row r="1697" spans="1:20">
      <c r="A1697" t="s">
        <v>97</v>
      </c>
      <c r="B1697">
        <v>81</v>
      </c>
      <c r="C1697">
        <v>510</v>
      </c>
      <c r="D1697" t="s">
        <v>62</v>
      </c>
      <c r="E1697" t="s">
        <v>62</v>
      </c>
      <c r="F1697">
        <v>0</v>
      </c>
      <c r="G1697">
        <v>154.5</v>
      </c>
      <c r="H1697">
        <v>84</v>
      </c>
      <c r="I1697">
        <v>26.27</v>
      </c>
      <c r="J1697">
        <v>216.2</v>
      </c>
      <c r="K1697">
        <v>91</v>
      </c>
      <c r="L1697">
        <v>18.38</v>
      </c>
      <c r="M1697">
        <v>229.8</v>
      </c>
      <c r="N1697">
        <v>82</v>
      </c>
      <c r="O1697">
        <v>10.34</v>
      </c>
      <c r="P1697">
        <v>13.7</v>
      </c>
      <c r="Q1697">
        <v>3</v>
      </c>
      <c r="R1697">
        <v>3.7</v>
      </c>
      <c r="S1697">
        <v>1</v>
      </c>
      <c r="T1697" t="b">
        <v>0</v>
      </c>
    </row>
    <row r="1698" spans="1:20">
      <c r="A1698" t="s">
        <v>101</v>
      </c>
      <c r="B1698">
        <v>46</v>
      </c>
      <c r="C1698">
        <v>510</v>
      </c>
      <c r="D1698" t="s">
        <v>62</v>
      </c>
      <c r="E1698" t="s">
        <v>62</v>
      </c>
      <c r="F1698">
        <v>0</v>
      </c>
      <c r="G1698">
        <v>90.4</v>
      </c>
      <c r="H1698">
        <v>108</v>
      </c>
      <c r="I1698">
        <v>15.37</v>
      </c>
      <c r="J1698">
        <v>276.2</v>
      </c>
      <c r="K1698">
        <v>77</v>
      </c>
      <c r="L1698">
        <v>23.48</v>
      </c>
      <c r="M1698">
        <v>146.5</v>
      </c>
      <c r="N1698">
        <v>111</v>
      </c>
      <c r="O1698">
        <v>6.59</v>
      </c>
      <c r="P1698">
        <v>12.7</v>
      </c>
      <c r="Q1698">
        <v>2</v>
      </c>
      <c r="R1698">
        <v>3.43</v>
      </c>
      <c r="S1698">
        <v>1</v>
      </c>
      <c r="T1698" t="b">
        <v>0</v>
      </c>
    </row>
    <row r="1699" spans="1:20">
      <c r="A1699" t="s">
        <v>64</v>
      </c>
      <c r="B1699">
        <v>125</v>
      </c>
      <c r="C1699">
        <v>408</v>
      </c>
      <c r="D1699" t="s">
        <v>62</v>
      </c>
      <c r="E1699" t="s">
        <v>62</v>
      </c>
      <c r="F1699">
        <v>0</v>
      </c>
      <c r="G1699">
        <v>106.1</v>
      </c>
      <c r="H1699">
        <v>95</v>
      </c>
      <c r="I1699">
        <v>18.04</v>
      </c>
      <c r="J1699">
        <v>157.6</v>
      </c>
      <c r="K1699">
        <v>113</v>
      </c>
      <c r="L1699">
        <v>13.4</v>
      </c>
      <c r="M1699">
        <v>192.5</v>
      </c>
      <c r="N1699">
        <v>69</v>
      </c>
      <c r="O1699">
        <v>8.66</v>
      </c>
      <c r="P1699">
        <v>8.1</v>
      </c>
      <c r="Q1699">
        <v>3</v>
      </c>
      <c r="R1699">
        <v>2.19</v>
      </c>
      <c r="S1699">
        <v>1</v>
      </c>
      <c r="T1699" t="b">
        <v>0</v>
      </c>
    </row>
    <row r="1700" spans="1:20">
      <c r="A1700" t="s">
        <v>61</v>
      </c>
      <c r="B1700">
        <v>43</v>
      </c>
      <c r="C1700">
        <v>415</v>
      </c>
      <c r="D1700" t="s">
        <v>62</v>
      </c>
      <c r="E1700" t="s">
        <v>62</v>
      </c>
      <c r="F1700">
        <v>0</v>
      </c>
      <c r="G1700">
        <v>27</v>
      </c>
      <c r="H1700">
        <v>117</v>
      </c>
      <c r="I1700">
        <v>4.59</v>
      </c>
      <c r="J1700">
        <v>160.9</v>
      </c>
      <c r="K1700">
        <v>97</v>
      </c>
      <c r="L1700">
        <v>13.68</v>
      </c>
      <c r="M1700">
        <v>279.5</v>
      </c>
      <c r="N1700">
        <v>96</v>
      </c>
      <c r="O1700">
        <v>12.58</v>
      </c>
      <c r="P1700">
        <v>10.7</v>
      </c>
      <c r="Q1700">
        <v>3</v>
      </c>
      <c r="R1700">
        <v>2.89</v>
      </c>
      <c r="S1700">
        <v>3</v>
      </c>
      <c r="T1700" t="b">
        <v>0</v>
      </c>
    </row>
    <row r="1701" spans="1:20">
      <c r="A1701" t="s">
        <v>96</v>
      </c>
      <c r="B1701">
        <v>94</v>
      </c>
      <c r="C1701">
        <v>510</v>
      </c>
      <c r="D1701" t="s">
        <v>62</v>
      </c>
      <c r="E1701" t="s">
        <v>62</v>
      </c>
      <c r="F1701">
        <v>0</v>
      </c>
      <c r="G1701">
        <v>245</v>
      </c>
      <c r="H1701">
        <v>112</v>
      </c>
      <c r="I1701">
        <v>41.65</v>
      </c>
      <c r="J1701">
        <v>180.4</v>
      </c>
      <c r="K1701">
        <v>91</v>
      </c>
      <c r="L1701">
        <v>15.33</v>
      </c>
      <c r="M1701">
        <v>262.9</v>
      </c>
      <c r="N1701">
        <v>105</v>
      </c>
      <c r="O1701">
        <v>11.83</v>
      </c>
      <c r="P1701">
        <v>9.7</v>
      </c>
      <c r="Q1701">
        <v>6</v>
      </c>
      <c r="R1701">
        <v>2.62</v>
      </c>
      <c r="S1701">
        <v>1</v>
      </c>
      <c r="T1701" t="b">
        <v>0</v>
      </c>
    </row>
    <row r="1702" spans="1:20">
      <c r="A1702" t="s">
        <v>78</v>
      </c>
      <c r="B1702">
        <v>46</v>
      </c>
      <c r="C1702">
        <v>408</v>
      </c>
      <c r="D1702" t="s">
        <v>62</v>
      </c>
      <c r="E1702" t="s">
        <v>62</v>
      </c>
      <c r="F1702">
        <v>0</v>
      </c>
      <c r="G1702">
        <v>196.7</v>
      </c>
      <c r="H1702">
        <v>85</v>
      </c>
      <c r="I1702">
        <v>33.44</v>
      </c>
      <c r="J1702">
        <v>205.9</v>
      </c>
      <c r="K1702">
        <v>74</v>
      </c>
      <c r="L1702">
        <v>17.5</v>
      </c>
      <c r="M1702">
        <v>216.6</v>
      </c>
      <c r="N1702">
        <v>112</v>
      </c>
      <c r="O1702">
        <v>9.75</v>
      </c>
      <c r="P1702">
        <v>11.2</v>
      </c>
      <c r="Q1702">
        <v>5</v>
      </c>
      <c r="R1702">
        <v>3.02</v>
      </c>
      <c r="S1702">
        <v>3</v>
      </c>
      <c r="T1702" t="b">
        <v>0</v>
      </c>
    </row>
    <row r="1703" spans="1:20">
      <c r="A1703" t="s">
        <v>76</v>
      </c>
      <c r="B1703">
        <v>73</v>
      </c>
      <c r="C1703">
        <v>408</v>
      </c>
      <c r="D1703" t="s">
        <v>62</v>
      </c>
      <c r="E1703" t="s">
        <v>63</v>
      </c>
      <c r="F1703">
        <v>26</v>
      </c>
      <c r="G1703">
        <v>131.2</v>
      </c>
      <c r="H1703">
        <v>98</v>
      </c>
      <c r="I1703">
        <v>22.3</v>
      </c>
      <c r="J1703">
        <v>106.5</v>
      </c>
      <c r="K1703">
        <v>97</v>
      </c>
      <c r="L1703">
        <v>9.05</v>
      </c>
      <c r="M1703">
        <v>221.7</v>
      </c>
      <c r="N1703">
        <v>96</v>
      </c>
      <c r="O1703">
        <v>9.98</v>
      </c>
      <c r="P1703">
        <v>10.2</v>
      </c>
      <c r="Q1703">
        <v>6</v>
      </c>
      <c r="R1703">
        <v>2.75</v>
      </c>
      <c r="S1703">
        <v>2</v>
      </c>
      <c r="T1703" t="b">
        <v>0</v>
      </c>
    </row>
    <row r="1704" spans="1:20">
      <c r="A1704" t="s">
        <v>116</v>
      </c>
      <c r="B1704">
        <v>146</v>
      </c>
      <c r="C1704">
        <v>408</v>
      </c>
      <c r="D1704" t="s">
        <v>62</v>
      </c>
      <c r="E1704" t="s">
        <v>63</v>
      </c>
      <c r="F1704">
        <v>23</v>
      </c>
      <c r="G1704">
        <v>149.6</v>
      </c>
      <c r="H1704">
        <v>96</v>
      </c>
      <c r="I1704">
        <v>25.43</v>
      </c>
      <c r="J1704">
        <v>239.8</v>
      </c>
      <c r="K1704">
        <v>124</v>
      </c>
      <c r="L1704">
        <v>20.38</v>
      </c>
      <c r="M1704">
        <v>293.5</v>
      </c>
      <c r="N1704">
        <v>135</v>
      </c>
      <c r="O1704">
        <v>13.21</v>
      </c>
      <c r="P1704">
        <v>7.4</v>
      </c>
      <c r="Q1704">
        <v>4</v>
      </c>
      <c r="R1704">
        <v>2</v>
      </c>
      <c r="S1704">
        <v>2</v>
      </c>
      <c r="T1704" t="b">
        <v>0</v>
      </c>
    </row>
    <row r="1705" spans="1:20">
      <c r="A1705" t="s">
        <v>103</v>
      </c>
      <c r="B1705">
        <v>93</v>
      </c>
      <c r="C1705">
        <v>415</v>
      </c>
      <c r="D1705" t="s">
        <v>62</v>
      </c>
      <c r="E1705" t="s">
        <v>62</v>
      </c>
      <c r="F1705">
        <v>0</v>
      </c>
      <c r="G1705">
        <v>239.8</v>
      </c>
      <c r="H1705">
        <v>70</v>
      </c>
      <c r="I1705">
        <v>40.77</v>
      </c>
      <c r="J1705">
        <v>251.8</v>
      </c>
      <c r="K1705">
        <v>99</v>
      </c>
      <c r="L1705">
        <v>21.4</v>
      </c>
      <c r="M1705">
        <v>168.6</v>
      </c>
      <c r="N1705">
        <v>112</v>
      </c>
      <c r="O1705">
        <v>7.59</v>
      </c>
      <c r="P1705">
        <v>10.9</v>
      </c>
      <c r="Q1705">
        <v>10</v>
      </c>
      <c r="R1705">
        <v>2.94</v>
      </c>
      <c r="S1705">
        <v>1</v>
      </c>
      <c r="T1705" t="b">
        <v>0</v>
      </c>
    </row>
    <row r="1706" spans="1:20">
      <c r="A1706" t="s">
        <v>64</v>
      </c>
      <c r="B1706">
        <v>52</v>
      </c>
      <c r="C1706">
        <v>408</v>
      </c>
      <c r="D1706" t="s">
        <v>62</v>
      </c>
      <c r="E1706" t="s">
        <v>63</v>
      </c>
      <c r="F1706">
        <v>31</v>
      </c>
      <c r="G1706">
        <v>142.1</v>
      </c>
      <c r="H1706">
        <v>77</v>
      </c>
      <c r="I1706">
        <v>24.16</v>
      </c>
      <c r="J1706">
        <v>193</v>
      </c>
      <c r="K1706">
        <v>97</v>
      </c>
      <c r="L1706">
        <v>16.41</v>
      </c>
      <c r="M1706">
        <v>253.4</v>
      </c>
      <c r="N1706">
        <v>88</v>
      </c>
      <c r="O1706">
        <v>11.4</v>
      </c>
      <c r="P1706">
        <v>11</v>
      </c>
      <c r="Q1706">
        <v>4</v>
      </c>
      <c r="R1706">
        <v>2.97</v>
      </c>
      <c r="S1706">
        <v>1</v>
      </c>
      <c r="T1706" t="b">
        <v>0</v>
      </c>
    </row>
    <row r="1707" spans="1:20">
      <c r="A1707" t="s">
        <v>89</v>
      </c>
      <c r="B1707">
        <v>202</v>
      </c>
      <c r="C1707">
        <v>510</v>
      </c>
      <c r="D1707" t="s">
        <v>62</v>
      </c>
      <c r="E1707" t="s">
        <v>62</v>
      </c>
      <c r="F1707">
        <v>0</v>
      </c>
      <c r="G1707">
        <v>115.4</v>
      </c>
      <c r="H1707">
        <v>137</v>
      </c>
      <c r="I1707">
        <v>19.62</v>
      </c>
      <c r="J1707">
        <v>178.7</v>
      </c>
      <c r="K1707">
        <v>70</v>
      </c>
      <c r="L1707">
        <v>15.19</v>
      </c>
      <c r="M1707">
        <v>185.7</v>
      </c>
      <c r="N1707">
        <v>113</v>
      </c>
      <c r="O1707">
        <v>8.36</v>
      </c>
      <c r="P1707">
        <v>6</v>
      </c>
      <c r="Q1707">
        <v>3</v>
      </c>
      <c r="R1707">
        <v>1.62</v>
      </c>
      <c r="S1707">
        <v>3</v>
      </c>
      <c r="T1707" t="b">
        <v>0</v>
      </c>
    </row>
    <row r="1708" spans="1:20">
      <c r="A1708" t="s">
        <v>102</v>
      </c>
      <c r="B1708">
        <v>129</v>
      </c>
      <c r="C1708">
        <v>510</v>
      </c>
      <c r="D1708" t="s">
        <v>62</v>
      </c>
      <c r="E1708" t="s">
        <v>63</v>
      </c>
      <c r="F1708">
        <v>31</v>
      </c>
      <c r="G1708">
        <v>193</v>
      </c>
      <c r="H1708">
        <v>99</v>
      </c>
      <c r="I1708">
        <v>32.81</v>
      </c>
      <c r="J1708">
        <v>224.8</v>
      </c>
      <c r="K1708">
        <v>87</v>
      </c>
      <c r="L1708">
        <v>19.11</v>
      </c>
      <c r="M1708">
        <v>197.6</v>
      </c>
      <c r="N1708">
        <v>91</v>
      </c>
      <c r="O1708">
        <v>8.89</v>
      </c>
      <c r="P1708">
        <v>10.3</v>
      </c>
      <c r="Q1708">
        <v>8</v>
      </c>
      <c r="R1708">
        <v>2.78</v>
      </c>
      <c r="S1708">
        <v>2</v>
      </c>
      <c r="T1708" t="b">
        <v>0</v>
      </c>
    </row>
    <row r="1709" spans="1:20">
      <c r="A1709" t="s">
        <v>116</v>
      </c>
      <c r="B1709">
        <v>94</v>
      </c>
      <c r="C1709">
        <v>415</v>
      </c>
      <c r="D1709" t="s">
        <v>62</v>
      </c>
      <c r="E1709" t="s">
        <v>62</v>
      </c>
      <c r="F1709">
        <v>0</v>
      </c>
      <c r="G1709">
        <v>206.1</v>
      </c>
      <c r="H1709">
        <v>49</v>
      </c>
      <c r="I1709">
        <v>35.04</v>
      </c>
      <c r="J1709">
        <v>224.6</v>
      </c>
      <c r="K1709">
        <v>115</v>
      </c>
      <c r="L1709">
        <v>19.09</v>
      </c>
      <c r="M1709">
        <v>256.7</v>
      </c>
      <c r="N1709">
        <v>74</v>
      </c>
      <c r="O1709">
        <v>11.55</v>
      </c>
      <c r="P1709">
        <v>13</v>
      </c>
      <c r="Q1709">
        <v>1</v>
      </c>
      <c r="R1709">
        <v>3.51</v>
      </c>
      <c r="S1709">
        <v>1</v>
      </c>
      <c r="T1709" t="b">
        <v>0</v>
      </c>
    </row>
    <row r="1710" spans="1:20">
      <c r="A1710" t="s">
        <v>67</v>
      </c>
      <c r="B1710">
        <v>100</v>
      </c>
      <c r="C1710">
        <v>415</v>
      </c>
      <c r="D1710" t="s">
        <v>62</v>
      </c>
      <c r="E1710" t="s">
        <v>62</v>
      </c>
      <c r="F1710">
        <v>0</v>
      </c>
      <c r="G1710">
        <v>160.3</v>
      </c>
      <c r="H1710">
        <v>138</v>
      </c>
      <c r="I1710">
        <v>27.25</v>
      </c>
      <c r="J1710">
        <v>221.3</v>
      </c>
      <c r="K1710">
        <v>92</v>
      </c>
      <c r="L1710">
        <v>18.81</v>
      </c>
      <c r="M1710">
        <v>150.4</v>
      </c>
      <c r="N1710">
        <v>120</v>
      </c>
      <c r="O1710">
        <v>6.77</v>
      </c>
      <c r="P1710">
        <v>11.2</v>
      </c>
      <c r="Q1710">
        <v>2</v>
      </c>
      <c r="R1710">
        <v>3.02</v>
      </c>
      <c r="S1710">
        <v>0</v>
      </c>
      <c r="T1710" t="b">
        <v>0</v>
      </c>
    </row>
    <row r="1711" spans="1:20">
      <c r="A1711" t="s">
        <v>71</v>
      </c>
      <c r="B1711">
        <v>43</v>
      </c>
      <c r="C1711">
        <v>415</v>
      </c>
      <c r="D1711" t="s">
        <v>62</v>
      </c>
      <c r="E1711" t="s">
        <v>62</v>
      </c>
      <c r="F1711">
        <v>0</v>
      </c>
      <c r="G1711">
        <v>199.9</v>
      </c>
      <c r="H1711">
        <v>108</v>
      </c>
      <c r="I1711">
        <v>33.98</v>
      </c>
      <c r="J1711">
        <v>288.4</v>
      </c>
      <c r="K1711">
        <v>80</v>
      </c>
      <c r="L1711">
        <v>24.51</v>
      </c>
      <c r="M1711">
        <v>180.6</v>
      </c>
      <c r="N1711">
        <v>103</v>
      </c>
      <c r="O1711">
        <v>8.13</v>
      </c>
      <c r="P1711">
        <v>11.3</v>
      </c>
      <c r="Q1711">
        <v>7</v>
      </c>
      <c r="R1711">
        <v>3.05</v>
      </c>
      <c r="S1711">
        <v>1</v>
      </c>
      <c r="T1711" t="b">
        <v>0</v>
      </c>
    </row>
    <row r="1712" spans="1:20">
      <c r="A1712" t="s">
        <v>87</v>
      </c>
      <c r="B1712">
        <v>130</v>
      </c>
      <c r="C1712">
        <v>415</v>
      </c>
      <c r="D1712" t="s">
        <v>62</v>
      </c>
      <c r="E1712" t="s">
        <v>62</v>
      </c>
      <c r="F1712">
        <v>0</v>
      </c>
      <c r="G1712">
        <v>213.1</v>
      </c>
      <c r="H1712">
        <v>105</v>
      </c>
      <c r="I1712">
        <v>36.23</v>
      </c>
      <c r="J1712">
        <v>206.2</v>
      </c>
      <c r="K1712">
        <v>108</v>
      </c>
      <c r="L1712">
        <v>17.53</v>
      </c>
      <c r="M1712">
        <v>163.4</v>
      </c>
      <c r="N1712">
        <v>93</v>
      </c>
      <c r="O1712">
        <v>7.35</v>
      </c>
      <c r="P1712">
        <v>8.9</v>
      </c>
      <c r="Q1712">
        <v>3</v>
      </c>
      <c r="R1712">
        <v>2.4</v>
      </c>
      <c r="S1712">
        <v>0</v>
      </c>
      <c r="T1712" t="b">
        <v>0</v>
      </c>
    </row>
    <row r="1713" spans="1:20">
      <c r="A1713" t="s">
        <v>85</v>
      </c>
      <c r="B1713">
        <v>124</v>
      </c>
      <c r="C1713">
        <v>415</v>
      </c>
      <c r="D1713" t="s">
        <v>62</v>
      </c>
      <c r="E1713" t="s">
        <v>62</v>
      </c>
      <c r="F1713">
        <v>0</v>
      </c>
      <c r="G1713">
        <v>178.3</v>
      </c>
      <c r="H1713">
        <v>102</v>
      </c>
      <c r="I1713">
        <v>30.31</v>
      </c>
      <c r="J1713">
        <v>235</v>
      </c>
      <c r="K1713">
        <v>120</v>
      </c>
      <c r="L1713">
        <v>19.98</v>
      </c>
      <c r="M1713">
        <v>239.7</v>
      </c>
      <c r="N1713">
        <v>119</v>
      </c>
      <c r="O1713">
        <v>10.79</v>
      </c>
      <c r="P1713">
        <v>10.9</v>
      </c>
      <c r="Q1713">
        <v>1</v>
      </c>
      <c r="R1713">
        <v>2.94</v>
      </c>
      <c r="S1713">
        <v>3</v>
      </c>
      <c r="T1713" t="b">
        <v>0</v>
      </c>
    </row>
    <row r="1714" spans="1:20">
      <c r="A1714" t="s">
        <v>79</v>
      </c>
      <c r="B1714">
        <v>92</v>
      </c>
      <c r="C1714">
        <v>510</v>
      </c>
      <c r="D1714" t="s">
        <v>63</v>
      </c>
      <c r="E1714" t="s">
        <v>62</v>
      </c>
      <c r="F1714">
        <v>0</v>
      </c>
      <c r="G1714">
        <v>252.3</v>
      </c>
      <c r="H1714">
        <v>120</v>
      </c>
      <c r="I1714">
        <v>42.89</v>
      </c>
      <c r="J1714">
        <v>207</v>
      </c>
      <c r="K1714">
        <v>112</v>
      </c>
      <c r="L1714">
        <v>17.6</v>
      </c>
      <c r="M1714">
        <v>284.6</v>
      </c>
      <c r="N1714">
        <v>95</v>
      </c>
      <c r="O1714">
        <v>12.81</v>
      </c>
      <c r="P1714">
        <v>12</v>
      </c>
      <c r="Q1714">
        <v>5</v>
      </c>
      <c r="R1714">
        <v>3.24</v>
      </c>
      <c r="S1714">
        <v>3</v>
      </c>
      <c r="T1714" t="b">
        <v>1</v>
      </c>
    </row>
    <row r="1715" spans="1:20">
      <c r="A1715" t="s">
        <v>78</v>
      </c>
      <c r="B1715">
        <v>48</v>
      </c>
      <c r="C1715">
        <v>415</v>
      </c>
      <c r="D1715" t="s">
        <v>62</v>
      </c>
      <c r="E1715" t="s">
        <v>62</v>
      </c>
      <c r="F1715">
        <v>0</v>
      </c>
      <c r="G1715">
        <v>197.7</v>
      </c>
      <c r="H1715">
        <v>64</v>
      </c>
      <c r="I1715">
        <v>33.61</v>
      </c>
      <c r="J1715">
        <v>136.7</v>
      </c>
      <c r="K1715">
        <v>126</v>
      </c>
      <c r="L1715">
        <v>11.62</v>
      </c>
      <c r="M1715">
        <v>244.4</v>
      </c>
      <c r="N1715">
        <v>81</v>
      </c>
      <c r="O1715">
        <v>11</v>
      </c>
      <c r="P1715">
        <v>13.2</v>
      </c>
      <c r="Q1715">
        <v>5</v>
      </c>
      <c r="R1715">
        <v>3.56</v>
      </c>
      <c r="S1715">
        <v>4</v>
      </c>
      <c r="T1715" t="b">
        <v>0</v>
      </c>
    </row>
    <row r="1716" spans="1:20">
      <c r="A1716" t="s">
        <v>64</v>
      </c>
      <c r="B1716">
        <v>98</v>
      </c>
      <c r="C1716">
        <v>510</v>
      </c>
      <c r="D1716" t="s">
        <v>62</v>
      </c>
      <c r="E1716" t="s">
        <v>63</v>
      </c>
      <c r="F1716">
        <v>29</v>
      </c>
      <c r="G1716">
        <v>111.1</v>
      </c>
      <c r="H1716">
        <v>105</v>
      </c>
      <c r="I1716">
        <v>18.89</v>
      </c>
      <c r="J1716">
        <v>217.9</v>
      </c>
      <c r="K1716">
        <v>101</v>
      </c>
      <c r="L1716">
        <v>18.52</v>
      </c>
      <c r="M1716">
        <v>248.1</v>
      </c>
      <c r="N1716">
        <v>108</v>
      </c>
      <c r="O1716">
        <v>11.16</v>
      </c>
      <c r="P1716">
        <v>6.6</v>
      </c>
      <c r="Q1716">
        <v>3</v>
      </c>
      <c r="R1716">
        <v>1.78</v>
      </c>
      <c r="S1716">
        <v>2</v>
      </c>
      <c r="T1716" t="b">
        <v>0</v>
      </c>
    </row>
    <row r="1717" spans="1:20">
      <c r="A1717" t="s">
        <v>76</v>
      </c>
      <c r="B1717">
        <v>100</v>
      </c>
      <c r="C1717">
        <v>415</v>
      </c>
      <c r="D1717" t="s">
        <v>62</v>
      </c>
      <c r="E1717" t="s">
        <v>62</v>
      </c>
      <c r="F1717">
        <v>0</v>
      </c>
      <c r="G1717">
        <v>96.5</v>
      </c>
      <c r="H1717">
        <v>86</v>
      </c>
      <c r="I1717">
        <v>16.41</v>
      </c>
      <c r="J1717">
        <v>210.2</v>
      </c>
      <c r="K1717">
        <v>133</v>
      </c>
      <c r="L1717">
        <v>17.87</v>
      </c>
      <c r="M1717">
        <v>146.4</v>
      </c>
      <c r="N1717">
        <v>106</v>
      </c>
      <c r="O1717">
        <v>6.59</v>
      </c>
      <c r="P1717">
        <v>12.5</v>
      </c>
      <c r="Q1717">
        <v>3</v>
      </c>
      <c r="R1717">
        <v>3.38</v>
      </c>
      <c r="S1717">
        <v>1</v>
      </c>
      <c r="T1717" t="b">
        <v>1</v>
      </c>
    </row>
    <row r="1718" spans="1:20">
      <c r="A1718" t="s">
        <v>68</v>
      </c>
      <c r="B1718">
        <v>79</v>
      </c>
      <c r="C1718">
        <v>415</v>
      </c>
      <c r="D1718" t="s">
        <v>62</v>
      </c>
      <c r="E1718" t="s">
        <v>62</v>
      </c>
      <c r="F1718">
        <v>0</v>
      </c>
      <c r="G1718">
        <v>156.9</v>
      </c>
      <c r="H1718">
        <v>109</v>
      </c>
      <c r="I1718">
        <v>26.67</v>
      </c>
      <c r="J1718">
        <v>122.2</v>
      </c>
      <c r="K1718">
        <v>87</v>
      </c>
      <c r="L1718">
        <v>10.39</v>
      </c>
      <c r="M1718">
        <v>189.1</v>
      </c>
      <c r="N1718">
        <v>103</v>
      </c>
      <c r="O1718">
        <v>8.51</v>
      </c>
      <c r="P1718">
        <v>11.3</v>
      </c>
      <c r="Q1718">
        <v>5</v>
      </c>
      <c r="R1718">
        <v>3.05</v>
      </c>
      <c r="S1718">
        <v>3</v>
      </c>
      <c r="T1718" t="b">
        <v>0</v>
      </c>
    </row>
    <row r="1719" spans="1:20">
      <c r="A1719" t="s">
        <v>79</v>
      </c>
      <c r="B1719">
        <v>164</v>
      </c>
      <c r="C1719">
        <v>415</v>
      </c>
      <c r="D1719" t="s">
        <v>62</v>
      </c>
      <c r="E1719" t="s">
        <v>62</v>
      </c>
      <c r="F1719">
        <v>0</v>
      </c>
      <c r="G1719">
        <v>123.3</v>
      </c>
      <c r="H1719">
        <v>78</v>
      </c>
      <c r="I1719">
        <v>20.96</v>
      </c>
      <c r="J1719">
        <v>170</v>
      </c>
      <c r="K1719">
        <v>85</v>
      </c>
      <c r="L1719">
        <v>14.45</v>
      </c>
      <c r="M1719">
        <v>165.9</v>
      </c>
      <c r="N1719">
        <v>78</v>
      </c>
      <c r="O1719">
        <v>7.47</v>
      </c>
      <c r="P1719">
        <v>12.7</v>
      </c>
      <c r="Q1719">
        <v>2</v>
      </c>
      <c r="R1719">
        <v>3.43</v>
      </c>
      <c r="S1719">
        <v>1</v>
      </c>
      <c r="T1719" t="b">
        <v>0</v>
      </c>
    </row>
    <row r="1720" spans="1:20">
      <c r="A1720" t="s">
        <v>92</v>
      </c>
      <c r="B1720">
        <v>89</v>
      </c>
      <c r="C1720">
        <v>408</v>
      </c>
      <c r="D1720" t="s">
        <v>63</v>
      </c>
      <c r="E1720" t="s">
        <v>62</v>
      </c>
      <c r="F1720">
        <v>0</v>
      </c>
      <c r="G1720">
        <v>206.9</v>
      </c>
      <c r="H1720">
        <v>134</v>
      </c>
      <c r="I1720">
        <v>35.17</v>
      </c>
      <c r="J1720">
        <v>167.7</v>
      </c>
      <c r="K1720">
        <v>105</v>
      </c>
      <c r="L1720">
        <v>14.25</v>
      </c>
      <c r="M1720">
        <v>155.7</v>
      </c>
      <c r="N1720">
        <v>86</v>
      </c>
      <c r="O1720">
        <v>7.01</v>
      </c>
      <c r="P1720">
        <v>10.9</v>
      </c>
      <c r="Q1720">
        <v>4</v>
      </c>
      <c r="R1720">
        <v>2.94</v>
      </c>
      <c r="S1720">
        <v>0</v>
      </c>
      <c r="T1720" t="b">
        <v>0</v>
      </c>
    </row>
    <row r="1721" spans="1:20">
      <c r="A1721" t="s">
        <v>84</v>
      </c>
      <c r="B1721">
        <v>126</v>
      </c>
      <c r="C1721">
        <v>415</v>
      </c>
      <c r="D1721" t="s">
        <v>62</v>
      </c>
      <c r="E1721" t="s">
        <v>62</v>
      </c>
      <c r="F1721">
        <v>0</v>
      </c>
      <c r="G1721">
        <v>249.8</v>
      </c>
      <c r="H1721">
        <v>96</v>
      </c>
      <c r="I1721">
        <v>42.47</v>
      </c>
      <c r="J1721">
        <v>261.9</v>
      </c>
      <c r="K1721">
        <v>92</v>
      </c>
      <c r="L1721">
        <v>22.26</v>
      </c>
      <c r="M1721">
        <v>166.8</v>
      </c>
      <c r="N1721">
        <v>108</v>
      </c>
      <c r="O1721">
        <v>7.51</v>
      </c>
      <c r="P1721">
        <v>12.7</v>
      </c>
      <c r="Q1721">
        <v>4</v>
      </c>
      <c r="R1721">
        <v>3.43</v>
      </c>
      <c r="S1721">
        <v>3</v>
      </c>
      <c r="T1721" t="b">
        <v>1</v>
      </c>
    </row>
    <row r="1722" spans="1:20">
      <c r="A1722" t="s">
        <v>85</v>
      </c>
      <c r="B1722">
        <v>96</v>
      </c>
      <c r="C1722">
        <v>408</v>
      </c>
      <c r="D1722" t="s">
        <v>62</v>
      </c>
      <c r="E1722" t="s">
        <v>62</v>
      </c>
      <c r="F1722">
        <v>0</v>
      </c>
      <c r="G1722">
        <v>144</v>
      </c>
      <c r="H1722">
        <v>102</v>
      </c>
      <c r="I1722">
        <v>24.48</v>
      </c>
      <c r="J1722">
        <v>224.7</v>
      </c>
      <c r="K1722">
        <v>73</v>
      </c>
      <c r="L1722">
        <v>19.1</v>
      </c>
      <c r="M1722">
        <v>227.7</v>
      </c>
      <c r="N1722">
        <v>91</v>
      </c>
      <c r="O1722">
        <v>10.25</v>
      </c>
      <c r="P1722">
        <v>10</v>
      </c>
      <c r="Q1722">
        <v>7</v>
      </c>
      <c r="R1722">
        <v>2.7</v>
      </c>
      <c r="S1722">
        <v>1</v>
      </c>
      <c r="T1722" t="b">
        <v>0</v>
      </c>
    </row>
    <row r="1723" spans="1:20">
      <c r="A1723" t="s">
        <v>75</v>
      </c>
      <c r="B1723">
        <v>120</v>
      </c>
      <c r="C1723">
        <v>415</v>
      </c>
      <c r="D1723" t="s">
        <v>62</v>
      </c>
      <c r="E1723" t="s">
        <v>63</v>
      </c>
      <c r="F1723">
        <v>33</v>
      </c>
      <c r="G1723">
        <v>299.5</v>
      </c>
      <c r="H1723">
        <v>83</v>
      </c>
      <c r="I1723">
        <v>50.92</v>
      </c>
      <c r="J1723">
        <v>163.4</v>
      </c>
      <c r="K1723">
        <v>84</v>
      </c>
      <c r="L1723">
        <v>13.89</v>
      </c>
      <c r="M1723">
        <v>146.7</v>
      </c>
      <c r="N1723">
        <v>88</v>
      </c>
      <c r="O1723">
        <v>6.6</v>
      </c>
      <c r="P1723">
        <v>11.6</v>
      </c>
      <c r="Q1723">
        <v>5</v>
      </c>
      <c r="R1723">
        <v>3.13</v>
      </c>
      <c r="S1723">
        <v>0</v>
      </c>
      <c r="T1723" t="b">
        <v>0</v>
      </c>
    </row>
    <row r="1724" spans="1:20">
      <c r="A1724" t="s">
        <v>111</v>
      </c>
      <c r="B1724">
        <v>212</v>
      </c>
      <c r="C1724">
        <v>415</v>
      </c>
      <c r="D1724" t="s">
        <v>62</v>
      </c>
      <c r="E1724" t="s">
        <v>62</v>
      </c>
      <c r="F1724">
        <v>0</v>
      </c>
      <c r="G1724">
        <v>226</v>
      </c>
      <c r="H1724">
        <v>127</v>
      </c>
      <c r="I1724">
        <v>38.42</v>
      </c>
      <c r="J1724">
        <v>304.6</v>
      </c>
      <c r="K1724">
        <v>83</v>
      </c>
      <c r="L1724">
        <v>25.89</v>
      </c>
      <c r="M1724">
        <v>181.2</v>
      </c>
      <c r="N1724">
        <v>132</v>
      </c>
      <c r="O1724">
        <v>8.15</v>
      </c>
      <c r="P1724">
        <v>12.6</v>
      </c>
      <c r="Q1724">
        <v>4</v>
      </c>
      <c r="R1724">
        <v>3.4</v>
      </c>
      <c r="S1724">
        <v>2</v>
      </c>
      <c r="T1724" t="b">
        <v>1</v>
      </c>
    </row>
    <row r="1725" spans="1:20">
      <c r="A1725" t="s">
        <v>100</v>
      </c>
      <c r="B1725">
        <v>72</v>
      </c>
      <c r="C1725">
        <v>415</v>
      </c>
      <c r="D1725" t="s">
        <v>62</v>
      </c>
      <c r="E1725" t="s">
        <v>62</v>
      </c>
      <c r="F1725">
        <v>0</v>
      </c>
      <c r="G1725">
        <v>137.6</v>
      </c>
      <c r="H1725">
        <v>106</v>
      </c>
      <c r="I1725">
        <v>23.39</v>
      </c>
      <c r="J1725">
        <v>143.5</v>
      </c>
      <c r="K1725">
        <v>94</v>
      </c>
      <c r="L1725">
        <v>12.2</v>
      </c>
      <c r="M1725">
        <v>273.7</v>
      </c>
      <c r="N1725">
        <v>110</v>
      </c>
      <c r="O1725">
        <v>12.32</v>
      </c>
      <c r="P1725">
        <v>9.6</v>
      </c>
      <c r="Q1725">
        <v>6</v>
      </c>
      <c r="R1725">
        <v>2.59</v>
      </c>
      <c r="S1725">
        <v>2</v>
      </c>
      <c r="T1725" t="b">
        <v>0</v>
      </c>
    </row>
    <row r="1726" spans="1:20">
      <c r="A1726" t="s">
        <v>114</v>
      </c>
      <c r="B1726">
        <v>155</v>
      </c>
      <c r="C1726">
        <v>415</v>
      </c>
      <c r="D1726" t="s">
        <v>63</v>
      </c>
      <c r="E1726" t="s">
        <v>63</v>
      </c>
      <c r="F1726">
        <v>26</v>
      </c>
      <c r="G1726">
        <v>211.7</v>
      </c>
      <c r="H1726">
        <v>121</v>
      </c>
      <c r="I1726">
        <v>35.99</v>
      </c>
      <c r="J1726">
        <v>139.2</v>
      </c>
      <c r="K1726">
        <v>123</v>
      </c>
      <c r="L1726">
        <v>11.83</v>
      </c>
      <c r="M1726">
        <v>146.7</v>
      </c>
      <c r="N1726">
        <v>89</v>
      </c>
      <c r="O1726">
        <v>6.6</v>
      </c>
      <c r="P1726">
        <v>11.1</v>
      </c>
      <c r="Q1726">
        <v>3</v>
      </c>
      <c r="R1726">
        <v>3</v>
      </c>
      <c r="S1726">
        <v>1</v>
      </c>
      <c r="T1726" t="b">
        <v>0</v>
      </c>
    </row>
    <row r="1727" spans="1:20">
      <c r="A1727" t="s">
        <v>97</v>
      </c>
      <c r="B1727">
        <v>89</v>
      </c>
      <c r="C1727">
        <v>415</v>
      </c>
      <c r="D1727" t="s">
        <v>62</v>
      </c>
      <c r="E1727" t="s">
        <v>62</v>
      </c>
      <c r="F1727">
        <v>0</v>
      </c>
      <c r="G1727">
        <v>89.7</v>
      </c>
      <c r="H1727">
        <v>80</v>
      </c>
      <c r="I1727">
        <v>15.25</v>
      </c>
      <c r="J1727">
        <v>179.8</v>
      </c>
      <c r="K1727">
        <v>81</v>
      </c>
      <c r="L1727">
        <v>15.28</v>
      </c>
      <c r="M1727">
        <v>145.7</v>
      </c>
      <c r="N1727">
        <v>120</v>
      </c>
      <c r="O1727">
        <v>6.56</v>
      </c>
      <c r="P1727">
        <v>9.5</v>
      </c>
      <c r="Q1727">
        <v>4</v>
      </c>
      <c r="R1727">
        <v>2.57</v>
      </c>
      <c r="S1727">
        <v>2</v>
      </c>
      <c r="T1727" t="b">
        <v>0</v>
      </c>
    </row>
    <row r="1728" spans="1:20">
      <c r="A1728" t="s">
        <v>85</v>
      </c>
      <c r="B1728">
        <v>126</v>
      </c>
      <c r="C1728">
        <v>408</v>
      </c>
      <c r="D1728" t="s">
        <v>63</v>
      </c>
      <c r="E1728" t="s">
        <v>62</v>
      </c>
      <c r="F1728">
        <v>0</v>
      </c>
      <c r="G1728">
        <v>197.6</v>
      </c>
      <c r="H1728">
        <v>126</v>
      </c>
      <c r="I1728">
        <v>33.59</v>
      </c>
      <c r="J1728">
        <v>246.5</v>
      </c>
      <c r="K1728">
        <v>112</v>
      </c>
      <c r="L1728">
        <v>20.95</v>
      </c>
      <c r="M1728">
        <v>285.3</v>
      </c>
      <c r="N1728">
        <v>104</v>
      </c>
      <c r="O1728">
        <v>12.84</v>
      </c>
      <c r="P1728">
        <v>12.5</v>
      </c>
      <c r="Q1728">
        <v>8</v>
      </c>
      <c r="R1728">
        <v>3.38</v>
      </c>
      <c r="S1728">
        <v>2</v>
      </c>
      <c r="T1728" t="b">
        <v>0</v>
      </c>
    </row>
    <row r="1729" spans="1:20">
      <c r="A1729" t="s">
        <v>67</v>
      </c>
      <c r="B1729">
        <v>172</v>
      </c>
      <c r="C1729">
        <v>408</v>
      </c>
      <c r="D1729" t="s">
        <v>62</v>
      </c>
      <c r="E1729" t="s">
        <v>62</v>
      </c>
      <c r="F1729">
        <v>0</v>
      </c>
      <c r="G1729">
        <v>270</v>
      </c>
      <c r="H1729">
        <v>102</v>
      </c>
      <c r="I1729">
        <v>45.9</v>
      </c>
      <c r="J1729">
        <v>256.6</v>
      </c>
      <c r="K1729">
        <v>111</v>
      </c>
      <c r="L1729">
        <v>21.81</v>
      </c>
      <c r="M1729">
        <v>168.5</v>
      </c>
      <c r="N1729">
        <v>104</v>
      </c>
      <c r="O1729">
        <v>7.58</v>
      </c>
      <c r="P1729">
        <v>12</v>
      </c>
      <c r="Q1729">
        <v>5</v>
      </c>
      <c r="R1729">
        <v>3.24</v>
      </c>
      <c r="S1729">
        <v>2</v>
      </c>
      <c r="T1729" t="b">
        <v>1</v>
      </c>
    </row>
    <row r="1730" spans="1:20">
      <c r="A1730" t="s">
        <v>93</v>
      </c>
      <c r="B1730">
        <v>143</v>
      </c>
      <c r="C1730">
        <v>510</v>
      </c>
      <c r="D1730" t="s">
        <v>62</v>
      </c>
      <c r="E1730" t="s">
        <v>62</v>
      </c>
      <c r="F1730">
        <v>0</v>
      </c>
      <c r="G1730">
        <v>194.3</v>
      </c>
      <c r="H1730">
        <v>99</v>
      </c>
      <c r="I1730">
        <v>33.03</v>
      </c>
      <c r="J1730">
        <v>123.6</v>
      </c>
      <c r="K1730">
        <v>133</v>
      </c>
      <c r="L1730">
        <v>10.51</v>
      </c>
      <c r="M1730">
        <v>229.5</v>
      </c>
      <c r="N1730">
        <v>99</v>
      </c>
      <c r="O1730">
        <v>10.33</v>
      </c>
      <c r="P1730">
        <v>10.2</v>
      </c>
      <c r="Q1730">
        <v>2</v>
      </c>
      <c r="R1730">
        <v>2.75</v>
      </c>
      <c r="S1730">
        <v>2</v>
      </c>
      <c r="T1730" t="b">
        <v>0</v>
      </c>
    </row>
    <row r="1731" spans="1:20">
      <c r="A1731" t="s">
        <v>81</v>
      </c>
      <c r="B1731">
        <v>166</v>
      </c>
      <c r="C1731">
        <v>510</v>
      </c>
      <c r="D1731" t="s">
        <v>63</v>
      </c>
      <c r="E1731" t="s">
        <v>62</v>
      </c>
      <c r="F1731">
        <v>0</v>
      </c>
      <c r="G1731">
        <v>47.7</v>
      </c>
      <c r="H1731">
        <v>89</v>
      </c>
      <c r="I1731">
        <v>8.11</v>
      </c>
      <c r="J1731">
        <v>264.4</v>
      </c>
      <c r="K1731">
        <v>95</v>
      </c>
      <c r="L1731">
        <v>22.47</v>
      </c>
      <c r="M1731">
        <v>235.2</v>
      </c>
      <c r="N1731">
        <v>97</v>
      </c>
      <c r="O1731">
        <v>10.58</v>
      </c>
      <c r="P1731">
        <v>13.2</v>
      </c>
      <c r="Q1731">
        <v>3</v>
      </c>
      <c r="R1731">
        <v>3.56</v>
      </c>
      <c r="S1731">
        <v>0</v>
      </c>
      <c r="T1731" t="b">
        <v>1</v>
      </c>
    </row>
    <row r="1732" spans="1:20">
      <c r="A1732" t="s">
        <v>61</v>
      </c>
      <c r="B1732">
        <v>132</v>
      </c>
      <c r="C1732">
        <v>415</v>
      </c>
      <c r="D1732" t="s">
        <v>62</v>
      </c>
      <c r="E1732" t="s">
        <v>62</v>
      </c>
      <c r="F1732">
        <v>0</v>
      </c>
      <c r="G1732">
        <v>190.1</v>
      </c>
      <c r="H1732">
        <v>105</v>
      </c>
      <c r="I1732">
        <v>32.32</v>
      </c>
      <c r="J1732">
        <v>182.2</v>
      </c>
      <c r="K1732">
        <v>116</v>
      </c>
      <c r="L1732">
        <v>15.49</v>
      </c>
      <c r="M1732">
        <v>279.8</v>
      </c>
      <c r="N1732">
        <v>105</v>
      </c>
      <c r="O1732">
        <v>12.59</v>
      </c>
      <c r="P1732">
        <v>13</v>
      </c>
      <c r="Q1732">
        <v>2</v>
      </c>
      <c r="R1732">
        <v>3.51</v>
      </c>
      <c r="S1732">
        <v>1</v>
      </c>
      <c r="T1732" t="b">
        <v>0</v>
      </c>
    </row>
    <row r="1733" spans="1:20">
      <c r="A1733" t="s">
        <v>104</v>
      </c>
      <c r="B1733">
        <v>94</v>
      </c>
      <c r="C1733">
        <v>408</v>
      </c>
      <c r="D1733" t="s">
        <v>63</v>
      </c>
      <c r="E1733" t="s">
        <v>62</v>
      </c>
      <c r="F1733">
        <v>0</v>
      </c>
      <c r="G1733">
        <v>89.5</v>
      </c>
      <c r="H1733">
        <v>94</v>
      </c>
      <c r="I1733">
        <v>15.22</v>
      </c>
      <c r="J1733">
        <v>339.9</v>
      </c>
      <c r="K1733">
        <v>106</v>
      </c>
      <c r="L1733">
        <v>28.89</v>
      </c>
      <c r="M1733">
        <v>172.9</v>
      </c>
      <c r="N1733">
        <v>76</v>
      </c>
      <c r="O1733">
        <v>7.78</v>
      </c>
      <c r="P1733">
        <v>7.9</v>
      </c>
      <c r="Q1733">
        <v>1</v>
      </c>
      <c r="R1733">
        <v>2.13</v>
      </c>
      <c r="S1733">
        <v>1</v>
      </c>
      <c r="T1733" t="b">
        <v>1</v>
      </c>
    </row>
    <row r="1734" spans="1:20">
      <c r="A1734" t="s">
        <v>106</v>
      </c>
      <c r="B1734">
        <v>99</v>
      </c>
      <c r="C1734">
        <v>415</v>
      </c>
      <c r="D1734" t="s">
        <v>62</v>
      </c>
      <c r="E1734" t="s">
        <v>62</v>
      </c>
      <c r="F1734">
        <v>0</v>
      </c>
      <c r="G1734">
        <v>182.6</v>
      </c>
      <c r="H1734">
        <v>83</v>
      </c>
      <c r="I1734">
        <v>31.04</v>
      </c>
      <c r="J1734">
        <v>154.5</v>
      </c>
      <c r="K1734">
        <v>111</v>
      </c>
      <c r="L1734">
        <v>13.13</v>
      </c>
      <c r="M1734">
        <v>196</v>
      </c>
      <c r="N1734">
        <v>57</v>
      </c>
      <c r="O1734">
        <v>8.82</v>
      </c>
      <c r="P1734">
        <v>12.1</v>
      </c>
      <c r="Q1734">
        <v>5</v>
      </c>
      <c r="R1734">
        <v>3.27</v>
      </c>
      <c r="S1734">
        <v>0</v>
      </c>
      <c r="T1734" t="b">
        <v>0</v>
      </c>
    </row>
    <row r="1735" spans="1:20">
      <c r="A1735" t="s">
        <v>79</v>
      </c>
      <c r="B1735">
        <v>136</v>
      </c>
      <c r="C1735">
        <v>415</v>
      </c>
      <c r="D1735" t="s">
        <v>62</v>
      </c>
      <c r="E1735" t="s">
        <v>63</v>
      </c>
      <c r="F1735">
        <v>35</v>
      </c>
      <c r="G1735">
        <v>205.5</v>
      </c>
      <c r="H1735">
        <v>86</v>
      </c>
      <c r="I1735">
        <v>34.94</v>
      </c>
      <c r="J1735">
        <v>298.5</v>
      </c>
      <c r="K1735">
        <v>119</v>
      </c>
      <c r="L1735">
        <v>25.37</v>
      </c>
      <c r="M1735">
        <v>214.2</v>
      </c>
      <c r="N1735">
        <v>104</v>
      </c>
      <c r="O1735">
        <v>9.64</v>
      </c>
      <c r="P1735">
        <v>6.9</v>
      </c>
      <c r="Q1735">
        <v>4</v>
      </c>
      <c r="R1735">
        <v>1.86</v>
      </c>
      <c r="S1735">
        <v>1</v>
      </c>
      <c r="T1735" t="b">
        <v>0</v>
      </c>
    </row>
    <row r="1736" spans="1:20">
      <c r="A1736" t="s">
        <v>61</v>
      </c>
      <c r="B1736">
        <v>119</v>
      </c>
      <c r="C1736">
        <v>415</v>
      </c>
      <c r="D1736" t="s">
        <v>62</v>
      </c>
      <c r="E1736" t="s">
        <v>62</v>
      </c>
      <c r="F1736">
        <v>0</v>
      </c>
      <c r="G1736">
        <v>231.5</v>
      </c>
      <c r="H1736">
        <v>82</v>
      </c>
      <c r="I1736">
        <v>39.36</v>
      </c>
      <c r="J1736">
        <v>266.9</v>
      </c>
      <c r="K1736">
        <v>97</v>
      </c>
      <c r="L1736">
        <v>22.69</v>
      </c>
      <c r="M1736">
        <v>211</v>
      </c>
      <c r="N1736">
        <v>118</v>
      </c>
      <c r="O1736">
        <v>9.49</v>
      </c>
      <c r="P1736">
        <v>7.4</v>
      </c>
      <c r="Q1736">
        <v>10</v>
      </c>
      <c r="R1736">
        <v>2</v>
      </c>
      <c r="S1736">
        <v>1</v>
      </c>
      <c r="T1736" t="b">
        <v>0</v>
      </c>
    </row>
    <row r="1737" spans="1:20">
      <c r="A1737" t="s">
        <v>100</v>
      </c>
      <c r="B1737">
        <v>115</v>
      </c>
      <c r="C1737">
        <v>510</v>
      </c>
      <c r="D1737" t="s">
        <v>63</v>
      </c>
      <c r="E1737" t="s">
        <v>62</v>
      </c>
      <c r="F1737">
        <v>0</v>
      </c>
      <c r="G1737">
        <v>251.3</v>
      </c>
      <c r="H1737">
        <v>69</v>
      </c>
      <c r="I1737">
        <v>42.72</v>
      </c>
      <c r="J1737">
        <v>252.5</v>
      </c>
      <c r="K1737">
        <v>96</v>
      </c>
      <c r="L1737">
        <v>21.46</v>
      </c>
      <c r="M1737">
        <v>118.3</v>
      </c>
      <c r="N1737">
        <v>112</v>
      </c>
      <c r="O1737">
        <v>5.32</v>
      </c>
      <c r="P1737">
        <v>9.9</v>
      </c>
      <c r="Q1737">
        <v>1</v>
      </c>
      <c r="R1737">
        <v>2.67</v>
      </c>
      <c r="S1737">
        <v>3</v>
      </c>
      <c r="T1737" t="b">
        <v>1</v>
      </c>
    </row>
    <row r="1738" spans="1:20">
      <c r="A1738" t="s">
        <v>69</v>
      </c>
      <c r="B1738">
        <v>160</v>
      </c>
      <c r="C1738">
        <v>415</v>
      </c>
      <c r="D1738" t="s">
        <v>62</v>
      </c>
      <c r="E1738" t="s">
        <v>62</v>
      </c>
      <c r="F1738">
        <v>0</v>
      </c>
      <c r="G1738">
        <v>171.2</v>
      </c>
      <c r="H1738">
        <v>103</v>
      </c>
      <c r="I1738">
        <v>29.1</v>
      </c>
      <c r="J1738">
        <v>243.5</v>
      </c>
      <c r="K1738">
        <v>121</v>
      </c>
      <c r="L1738">
        <v>20.7</v>
      </c>
      <c r="M1738">
        <v>178.2</v>
      </c>
      <c r="N1738">
        <v>92</v>
      </c>
      <c r="O1738">
        <v>8.02</v>
      </c>
      <c r="P1738">
        <v>13</v>
      </c>
      <c r="Q1738">
        <v>3</v>
      </c>
      <c r="R1738">
        <v>3.51</v>
      </c>
      <c r="S1738">
        <v>2</v>
      </c>
      <c r="T1738" t="b">
        <v>0</v>
      </c>
    </row>
    <row r="1739" spans="1:20">
      <c r="A1739" t="s">
        <v>115</v>
      </c>
      <c r="B1739">
        <v>166</v>
      </c>
      <c r="C1739">
        <v>510</v>
      </c>
      <c r="D1739" t="s">
        <v>62</v>
      </c>
      <c r="E1739" t="s">
        <v>62</v>
      </c>
      <c r="F1739">
        <v>0</v>
      </c>
      <c r="G1739">
        <v>197.9</v>
      </c>
      <c r="H1739">
        <v>89</v>
      </c>
      <c r="I1739">
        <v>33.64</v>
      </c>
      <c r="J1739">
        <v>251</v>
      </c>
      <c r="K1739">
        <v>113</v>
      </c>
      <c r="L1739">
        <v>21.34</v>
      </c>
      <c r="M1739">
        <v>138.3</v>
      </c>
      <c r="N1739">
        <v>85</v>
      </c>
      <c r="O1739">
        <v>6.22</v>
      </c>
      <c r="P1739">
        <v>11.2</v>
      </c>
      <c r="Q1739">
        <v>2</v>
      </c>
      <c r="R1739">
        <v>3.02</v>
      </c>
      <c r="S1739">
        <v>2</v>
      </c>
      <c r="T1739" t="b">
        <v>0</v>
      </c>
    </row>
    <row r="1740" spans="1:20">
      <c r="A1740" t="s">
        <v>98</v>
      </c>
      <c r="B1740">
        <v>120</v>
      </c>
      <c r="C1740">
        <v>510</v>
      </c>
      <c r="D1740" t="s">
        <v>62</v>
      </c>
      <c r="E1740" t="s">
        <v>62</v>
      </c>
      <c r="F1740">
        <v>0</v>
      </c>
      <c r="G1740">
        <v>134.8</v>
      </c>
      <c r="H1740">
        <v>94</v>
      </c>
      <c r="I1740">
        <v>22.92</v>
      </c>
      <c r="J1740">
        <v>204.1</v>
      </c>
      <c r="K1740">
        <v>106</v>
      </c>
      <c r="L1740">
        <v>17.35</v>
      </c>
      <c r="M1740">
        <v>238.4</v>
      </c>
      <c r="N1740">
        <v>109</v>
      </c>
      <c r="O1740">
        <v>10.73</v>
      </c>
      <c r="P1740">
        <v>6.7</v>
      </c>
      <c r="Q1740">
        <v>8</v>
      </c>
      <c r="R1740">
        <v>1.81</v>
      </c>
      <c r="S1740">
        <v>1</v>
      </c>
      <c r="T1740" t="b">
        <v>0</v>
      </c>
    </row>
    <row r="1741" spans="1:20">
      <c r="A1741" t="s">
        <v>71</v>
      </c>
      <c r="B1741">
        <v>173</v>
      </c>
      <c r="C1741">
        <v>415</v>
      </c>
      <c r="D1741" t="s">
        <v>62</v>
      </c>
      <c r="E1741" t="s">
        <v>62</v>
      </c>
      <c r="F1741">
        <v>0</v>
      </c>
      <c r="G1741">
        <v>191.4</v>
      </c>
      <c r="H1741">
        <v>114</v>
      </c>
      <c r="I1741">
        <v>32.54</v>
      </c>
      <c r="J1741">
        <v>168.5</v>
      </c>
      <c r="K1741">
        <v>138</v>
      </c>
      <c r="L1741">
        <v>14.32</v>
      </c>
      <c r="M1741">
        <v>109.3</v>
      </c>
      <c r="N1741">
        <v>99</v>
      </c>
      <c r="O1741">
        <v>4.92</v>
      </c>
      <c r="P1741">
        <v>10.3</v>
      </c>
      <c r="Q1741">
        <v>3</v>
      </c>
      <c r="R1741">
        <v>2.78</v>
      </c>
      <c r="S1741">
        <v>1</v>
      </c>
      <c r="T1741" t="b">
        <v>0</v>
      </c>
    </row>
    <row r="1742" spans="1:20">
      <c r="A1742" t="s">
        <v>86</v>
      </c>
      <c r="B1742">
        <v>156</v>
      </c>
      <c r="C1742">
        <v>415</v>
      </c>
      <c r="D1742" t="s">
        <v>62</v>
      </c>
      <c r="E1742" t="s">
        <v>62</v>
      </c>
      <c r="F1742">
        <v>0</v>
      </c>
      <c r="G1742">
        <v>174.5</v>
      </c>
      <c r="H1742">
        <v>65</v>
      </c>
      <c r="I1742">
        <v>29.67</v>
      </c>
      <c r="J1742">
        <v>197.4</v>
      </c>
      <c r="K1742">
        <v>116</v>
      </c>
      <c r="L1742">
        <v>16.78</v>
      </c>
      <c r="M1742">
        <v>238.5</v>
      </c>
      <c r="N1742">
        <v>86</v>
      </c>
      <c r="O1742">
        <v>10.73</v>
      </c>
      <c r="P1742">
        <v>10.6</v>
      </c>
      <c r="Q1742">
        <v>2</v>
      </c>
      <c r="R1742">
        <v>2.86</v>
      </c>
      <c r="S1742">
        <v>0</v>
      </c>
      <c r="T1742" t="b">
        <v>0</v>
      </c>
    </row>
    <row r="1743" spans="1:20">
      <c r="A1743" t="s">
        <v>106</v>
      </c>
      <c r="B1743">
        <v>70</v>
      </c>
      <c r="C1743">
        <v>415</v>
      </c>
      <c r="D1743" t="s">
        <v>62</v>
      </c>
      <c r="E1743" t="s">
        <v>62</v>
      </c>
      <c r="F1743">
        <v>0</v>
      </c>
      <c r="G1743">
        <v>177.4</v>
      </c>
      <c r="H1743">
        <v>125</v>
      </c>
      <c r="I1743">
        <v>30.16</v>
      </c>
      <c r="J1743">
        <v>226.2</v>
      </c>
      <c r="K1743">
        <v>104</v>
      </c>
      <c r="L1743">
        <v>19.23</v>
      </c>
      <c r="M1743">
        <v>254.1</v>
      </c>
      <c r="N1743">
        <v>72</v>
      </c>
      <c r="O1743">
        <v>11.43</v>
      </c>
      <c r="P1743">
        <v>10.9</v>
      </c>
      <c r="Q1743">
        <v>4</v>
      </c>
      <c r="R1743">
        <v>2.94</v>
      </c>
      <c r="S1743">
        <v>0</v>
      </c>
      <c r="T1743" t="b">
        <v>0</v>
      </c>
    </row>
    <row r="1744" spans="1:20">
      <c r="A1744" t="s">
        <v>104</v>
      </c>
      <c r="B1744">
        <v>41</v>
      </c>
      <c r="C1744">
        <v>510</v>
      </c>
      <c r="D1744" t="s">
        <v>62</v>
      </c>
      <c r="E1744" t="s">
        <v>62</v>
      </c>
      <c r="F1744">
        <v>0</v>
      </c>
      <c r="G1744">
        <v>182.1</v>
      </c>
      <c r="H1744">
        <v>89</v>
      </c>
      <c r="I1744">
        <v>30.96</v>
      </c>
      <c r="J1744">
        <v>211.5</v>
      </c>
      <c r="K1744">
        <v>104</v>
      </c>
      <c r="L1744">
        <v>17.98</v>
      </c>
      <c r="M1744">
        <v>207.4</v>
      </c>
      <c r="N1744">
        <v>124</v>
      </c>
      <c r="O1744">
        <v>9.33</v>
      </c>
      <c r="P1744">
        <v>6.8</v>
      </c>
      <c r="Q1744">
        <v>1</v>
      </c>
      <c r="R1744">
        <v>1.84</v>
      </c>
      <c r="S1744">
        <v>1</v>
      </c>
      <c r="T1744" t="b">
        <v>0</v>
      </c>
    </row>
    <row r="1745" spans="1:20">
      <c r="A1745" t="s">
        <v>67</v>
      </c>
      <c r="B1745">
        <v>132</v>
      </c>
      <c r="C1745">
        <v>408</v>
      </c>
      <c r="D1745" t="s">
        <v>62</v>
      </c>
      <c r="E1745" t="s">
        <v>62</v>
      </c>
      <c r="F1745">
        <v>0</v>
      </c>
      <c r="G1745">
        <v>222.4</v>
      </c>
      <c r="H1745">
        <v>85</v>
      </c>
      <c r="I1745">
        <v>37.81</v>
      </c>
      <c r="J1745">
        <v>165.4</v>
      </c>
      <c r="K1745">
        <v>76</v>
      </c>
      <c r="L1745">
        <v>14.06</v>
      </c>
      <c r="M1745">
        <v>208.4</v>
      </c>
      <c r="N1745">
        <v>97</v>
      </c>
      <c r="O1745">
        <v>9.38</v>
      </c>
      <c r="P1745">
        <v>11.2</v>
      </c>
      <c r="Q1745">
        <v>4</v>
      </c>
      <c r="R1745">
        <v>3.02</v>
      </c>
      <c r="S1745">
        <v>0</v>
      </c>
      <c r="T1745" t="b">
        <v>0</v>
      </c>
    </row>
    <row r="1746" spans="1:20">
      <c r="A1746" t="s">
        <v>61</v>
      </c>
      <c r="B1746">
        <v>47</v>
      </c>
      <c r="C1746">
        <v>510</v>
      </c>
      <c r="D1746" t="s">
        <v>63</v>
      </c>
      <c r="E1746" t="s">
        <v>62</v>
      </c>
      <c r="F1746">
        <v>0</v>
      </c>
      <c r="G1746">
        <v>47.8</v>
      </c>
      <c r="H1746">
        <v>120</v>
      </c>
      <c r="I1746">
        <v>8.13</v>
      </c>
      <c r="J1746">
        <v>178.9</v>
      </c>
      <c r="K1746">
        <v>123</v>
      </c>
      <c r="L1746">
        <v>15.21</v>
      </c>
      <c r="M1746">
        <v>152.6</v>
      </c>
      <c r="N1746">
        <v>96</v>
      </c>
      <c r="O1746">
        <v>6.87</v>
      </c>
      <c r="P1746">
        <v>13.3</v>
      </c>
      <c r="Q1746">
        <v>7</v>
      </c>
      <c r="R1746">
        <v>3.59</v>
      </c>
      <c r="S1746">
        <v>0</v>
      </c>
      <c r="T1746" t="b">
        <v>1</v>
      </c>
    </row>
    <row r="1747" spans="1:20">
      <c r="A1747" t="s">
        <v>115</v>
      </c>
      <c r="B1747">
        <v>160</v>
      </c>
      <c r="C1747">
        <v>510</v>
      </c>
      <c r="D1747" t="s">
        <v>62</v>
      </c>
      <c r="E1747" t="s">
        <v>62</v>
      </c>
      <c r="F1747">
        <v>0</v>
      </c>
      <c r="G1747">
        <v>121.8</v>
      </c>
      <c r="H1747">
        <v>97</v>
      </c>
      <c r="I1747">
        <v>20.71</v>
      </c>
      <c r="J1747">
        <v>89.3</v>
      </c>
      <c r="K1747">
        <v>97</v>
      </c>
      <c r="L1747">
        <v>7.59</v>
      </c>
      <c r="M1747">
        <v>150.7</v>
      </c>
      <c r="N1747">
        <v>92</v>
      </c>
      <c r="O1747">
        <v>6.78</v>
      </c>
      <c r="P1747">
        <v>10.3</v>
      </c>
      <c r="Q1747">
        <v>5</v>
      </c>
      <c r="R1747">
        <v>2.78</v>
      </c>
      <c r="S1747">
        <v>1</v>
      </c>
      <c r="T1747" t="b">
        <v>0</v>
      </c>
    </row>
    <row r="1748" spans="1:20">
      <c r="A1748" t="s">
        <v>66</v>
      </c>
      <c r="B1748">
        <v>180</v>
      </c>
      <c r="C1748">
        <v>415</v>
      </c>
      <c r="D1748" t="s">
        <v>62</v>
      </c>
      <c r="E1748" t="s">
        <v>62</v>
      </c>
      <c r="F1748">
        <v>0</v>
      </c>
      <c r="G1748">
        <v>143.5</v>
      </c>
      <c r="H1748">
        <v>121</v>
      </c>
      <c r="I1748">
        <v>24.4</v>
      </c>
      <c r="J1748">
        <v>189.3</v>
      </c>
      <c r="K1748">
        <v>111</v>
      </c>
      <c r="L1748">
        <v>16.09</v>
      </c>
      <c r="M1748">
        <v>174.9</v>
      </c>
      <c r="N1748">
        <v>82</v>
      </c>
      <c r="O1748">
        <v>7.87</v>
      </c>
      <c r="P1748">
        <v>8.8</v>
      </c>
      <c r="Q1748">
        <v>5</v>
      </c>
      <c r="R1748">
        <v>2.38</v>
      </c>
      <c r="S1748">
        <v>3</v>
      </c>
      <c r="T1748" t="b">
        <v>0</v>
      </c>
    </row>
    <row r="1749" spans="1:20">
      <c r="A1749" t="s">
        <v>97</v>
      </c>
      <c r="B1749">
        <v>93</v>
      </c>
      <c r="C1749">
        <v>415</v>
      </c>
      <c r="D1749" t="s">
        <v>62</v>
      </c>
      <c r="E1749" t="s">
        <v>62</v>
      </c>
      <c r="F1749">
        <v>0</v>
      </c>
      <c r="G1749">
        <v>164.9</v>
      </c>
      <c r="H1749">
        <v>68</v>
      </c>
      <c r="I1749">
        <v>28.03</v>
      </c>
      <c r="J1749">
        <v>210.4</v>
      </c>
      <c r="K1749">
        <v>86</v>
      </c>
      <c r="L1749">
        <v>17.88</v>
      </c>
      <c r="M1749">
        <v>229.4</v>
      </c>
      <c r="N1749">
        <v>104</v>
      </c>
      <c r="O1749">
        <v>10.32</v>
      </c>
      <c r="P1749">
        <v>7.8</v>
      </c>
      <c r="Q1749">
        <v>4</v>
      </c>
      <c r="R1749">
        <v>2.11</v>
      </c>
      <c r="S1749">
        <v>2</v>
      </c>
      <c r="T1749" t="b">
        <v>0</v>
      </c>
    </row>
    <row r="1750" spans="1:20">
      <c r="A1750" t="s">
        <v>64</v>
      </c>
      <c r="B1750">
        <v>109</v>
      </c>
      <c r="C1750">
        <v>415</v>
      </c>
      <c r="D1750" t="s">
        <v>62</v>
      </c>
      <c r="E1750" t="s">
        <v>62</v>
      </c>
      <c r="F1750">
        <v>0</v>
      </c>
      <c r="G1750">
        <v>193.6</v>
      </c>
      <c r="H1750">
        <v>58</v>
      </c>
      <c r="I1750">
        <v>32.91</v>
      </c>
      <c r="J1750">
        <v>148.7</v>
      </c>
      <c r="K1750">
        <v>115</v>
      </c>
      <c r="L1750">
        <v>12.64</v>
      </c>
      <c r="M1750">
        <v>282.5</v>
      </c>
      <c r="N1750">
        <v>105</v>
      </c>
      <c r="O1750">
        <v>12.71</v>
      </c>
      <c r="P1750">
        <v>13.1</v>
      </c>
      <c r="Q1750">
        <v>1</v>
      </c>
      <c r="R1750">
        <v>3.54</v>
      </c>
      <c r="S1750">
        <v>2</v>
      </c>
      <c r="T1750" t="b">
        <v>0</v>
      </c>
    </row>
    <row r="1751" spans="1:20">
      <c r="A1751" t="s">
        <v>85</v>
      </c>
      <c r="B1751">
        <v>80</v>
      </c>
      <c r="C1751">
        <v>510</v>
      </c>
      <c r="D1751" t="s">
        <v>62</v>
      </c>
      <c r="E1751" t="s">
        <v>62</v>
      </c>
      <c r="F1751">
        <v>0</v>
      </c>
      <c r="G1751">
        <v>101.1</v>
      </c>
      <c r="H1751">
        <v>121</v>
      </c>
      <c r="I1751">
        <v>17.19</v>
      </c>
      <c r="J1751">
        <v>263.2</v>
      </c>
      <c r="K1751">
        <v>110</v>
      </c>
      <c r="L1751">
        <v>22.37</v>
      </c>
      <c r="M1751">
        <v>137.7</v>
      </c>
      <c r="N1751">
        <v>74</v>
      </c>
      <c r="O1751">
        <v>6.2</v>
      </c>
      <c r="P1751">
        <v>7.3</v>
      </c>
      <c r="Q1751">
        <v>5</v>
      </c>
      <c r="R1751">
        <v>1.97</v>
      </c>
      <c r="S1751">
        <v>0</v>
      </c>
      <c r="T1751" t="b">
        <v>0</v>
      </c>
    </row>
    <row r="1752" spans="1:20">
      <c r="A1752" t="s">
        <v>103</v>
      </c>
      <c r="B1752">
        <v>54</v>
      </c>
      <c r="C1752">
        <v>415</v>
      </c>
      <c r="D1752" t="s">
        <v>62</v>
      </c>
      <c r="E1752" t="s">
        <v>63</v>
      </c>
      <c r="F1752">
        <v>24</v>
      </c>
      <c r="G1752">
        <v>92.3</v>
      </c>
      <c r="H1752">
        <v>88</v>
      </c>
      <c r="I1752">
        <v>15.69</v>
      </c>
      <c r="J1752">
        <v>193.1</v>
      </c>
      <c r="K1752">
        <v>98</v>
      </c>
      <c r="L1752">
        <v>16.41</v>
      </c>
      <c r="M1752">
        <v>99.3</v>
      </c>
      <c r="N1752">
        <v>119</v>
      </c>
      <c r="O1752">
        <v>4.47</v>
      </c>
      <c r="P1752">
        <v>11.6</v>
      </c>
      <c r="Q1752">
        <v>3</v>
      </c>
      <c r="R1752">
        <v>3.13</v>
      </c>
      <c r="S1752">
        <v>2</v>
      </c>
      <c r="T1752" t="b">
        <v>0</v>
      </c>
    </row>
    <row r="1753" spans="1:20">
      <c r="A1753" t="s">
        <v>67</v>
      </c>
      <c r="B1753">
        <v>121</v>
      </c>
      <c r="C1753">
        <v>415</v>
      </c>
      <c r="D1753" t="s">
        <v>62</v>
      </c>
      <c r="E1753" t="s">
        <v>62</v>
      </c>
      <c r="F1753">
        <v>0</v>
      </c>
      <c r="G1753">
        <v>168.9</v>
      </c>
      <c r="H1753">
        <v>128</v>
      </c>
      <c r="I1753">
        <v>28.71</v>
      </c>
      <c r="J1753">
        <v>123.9</v>
      </c>
      <c r="K1753">
        <v>99</v>
      </c>
      <c r="L1753">
        <v>10.53</v>
      </c>
      <c r="M1753">
        <v>266.3</v>
      </c>
      <c r="N1753">
        <v>105</v>
      </c>
      <c r="O1753">
        <v>11.98</v>
      </c>
      <c r="P1753">
        <v>2.9</v>
      </c>
      <c r="Q1753">
        <v>7</v>
      </c>
      <c r="R1753">
        <v>0.78</v>
      </c>
      <c r="S1753">
        <v>2</v>
      </c>
      <c r="T1753" t="b">
        <v>0</v>
      </c>
    </row>
    <row r="1754" spans="1:20">
      <c r="A1754" t="s">
        <v>105</v>
      </c>
      <c r="B1754">
        <v>157</v>
      </c>
      <c r="C1754">
        <v>510</v>
      </c>
      <c r="D1754" t="s">
        <v>62</v>
      </c>
      <c r="E1754" t="s">
        <v>63</v>
      </c>
      <c r="F1754">
        <v>29</v>
      </c>
      <c r="G1754">
        <v>219.2</v>
      </c>
      <c r="H1754">
        <v>102</v>
      </c>
      <c r="I1754">
        <v>37.26</v>
      </c>
      <c r="J1754">
        <v>206</v>
      </c>
      <c r="K1754">
        <v>109</v>
      </c>
      <c r="L1754">
        <v>17.51</v>
      </c>
      <c r="M1754">
        <v>192.4</v>
      </c>
      <c r="N1754">
        <v>117</v>
      </c>
      <c r="O1754">
        <v>8.66</v>
      </c>
      <c r="P1754">
        <v>15</v>
      </c>
      <c r="Q1754">
        <v>5</v>
      </c>
      <c r="R1754">
        <v>4.05</v>
      </c>
      <c r="S1754">
        <v>1</v>
      </c>
      <c r="T1754" t="b">
        <v>0</v>
      </c>
    </row>
    <row r="1755" spans="1:20">
      <c r="A1755" t="s">
        <v>77</v>
      </c>
      <c r="B1755">
        <v>170</v>
      </c>
      <c r="C1755">
        <v>510</v>
      </c>
      <c r="D1755" t="s">
        <v>62</v>
      </c>
      <c r="E1755" t="s">
        <v>63</v>
      </c>
      <c r="F1755">
        <v>37</v>
      </c>
      <c r="G1755">
        <v>178.1</v>
      </c>
      <c r="H1755">
        <v>130</v>
      </c>
      <c r="I1755">
        <v>30.28</v>
      </c>
      <c r="J1755">
        <v>242.8</v>
      </c>
      <c r="K1755">
        <v>103</v>
      </c>
      <c r="L1755">
        <v>20.64</v>
      </c>
      <c r="M1755">
        <v>243</v>
      </c>
      <c r="N1755">
        <v>93</v>
      </c>
      <c r="O1755">
        <v>10.93</v>
      </c>
      <c r="P1755">
        <v>13</v>
      </c>
      <c r="Q1755">
        <v>4</v>
      </c>
      <c r="R1755">
        <v>3.51</v>
      </c>
      <c r="S1755">
        <v>0</v>
      </c>
      <c r="T1755" t="b">
        <v>0</v>
      </c>
    </row>
    <row r="1756" spans="1:20">
      <c r="A1756" t="s">
        <v>92</v>
      </c>
      <c r="B1756">
        <v>138</v>
      </c>
      <c r="C1756">
        <v>510</v>
      </c>
      <c r="D1756" t="s">
        <v>62</v>
      </c>
      <c r="E1756" t="s">
        <v>62</v>
      </c>
      <c r="F1756">
        <v>0</v>
      </c>
      <c r="G1756">
        <v>146.5</v>
      </c>
      <c r="H1756">
        <v>101</v>
      </c>
      <c r="I1756">
        <v>24.91</v>
      </c>
      <c r="J1756">
        <v>284.5</v>
      </c>
      <c r="K1756">
        <v>142</v>
      </c>
      <c r="L1756">
        <v>24.18</v>
      </c>
      <c r="M1756">
        <v>176</v>
      </c>
      <c r="N1756">
        <v>98</v>
      </c>
      <c r="O1756">
        <v>7.92</v>
      </c>
      <c r="P1756">
        <v>14</v>
      </c>
      <c r="Q1756">
        <v>6</v>
      </c>
      <c r="R1756">
        <v>3.78</v>
      </c>
      <c r="S1756">
        <v>3</v>
      </c>
      <c r="T1756" t="b">
        <v>0</v>
      </c>
    </row>
    <row r="1757" spans="1:20">
      <c r="A1757" t="s">
        <v>77</v>
      </c>
      <c r="B1757">
        <v>92</v>
      </c>
      <c r="C1757">
        <v>415</v>
      </c>
      <c r="D1757" t="s">
        <v>62</v>
      </c>
      <c r="E1757" t="s">
        <v>63</v>
      </c>
      <c r="F1757">
        <v>31</v>
      </c>
      <c r="G1757">
        <v>172.3</v>
      </c>
      <c r="H1757">
        <v>116</v>
      </c>
      <c r="I1757">
        <v>29.29</v>
      </c>
      <c r="J1757">
        <v>266.2</v>
      </c>
      <c r="K1757">
        <v>91</v>
      </c>
      <c r="L1757">
        <v>22.63</v>
      </c>
      <c r="M1757">
        <v>228.2</v>
      </c>
      <c r="N1757">
        <v>90</v>
      </c>
      <c r="O1757">
        <v>10.27</v>
      </c>
      <c r="P1757">
        <v>11.8</v>
      </c>
      <c r="Q1757">
        <v>5</v>
      </c>
      <c r="R1757">
        <v>3.19</v>
      </c>
      <c r="S1757">
        <v>1</v>
      </c>
      <c r="T1757" t="b">
        <v>0</v>
      </c>
    </row>
    <row r="1758" spans="1:20">
      <c r="A1758" t="s">
        <v>101</v>
      </c>
      <c r="B1758">
        <v>167</v>
      </c>
      <c r="C1758">
        <v>415</v>
      </c>
      <c r="D1758" t="s">
        <v>62</v>
      </c>
      <c r="E1758" t="s">
        <v>62</v>
      </c>
      <c r="F1758">
        <v>0</v>
      </c>
      <c r="G1758">
        <v>169.2</v>
      </c>
      <c r="H1758">
        <v>124</v>
      </c>
      <c r="I1758">
        <v>28.76</v>
      </c>
      <c r="J1758">
        <v>173.3</v>
      </c>
      <c r="K1758">
        <v>108</v>
      </c>
      <c r="L1758">
        <v>14.73</v>
      </c>
      <c r="M1758">
        <v>216.5</v>
      </c>
      <c r="N1758">
        <v>64</v>
      </c>
      <c r="O1758">
        <v>9.74</v>
      </c>
      <c r="P1758">
        <v>12.4</v>
      </c>
      <c r="Q1758">
        <v>4</v>
      </c>
      <c r="R1758">
        <v>3.35</v>
      </c>
      <c r="S1758">
        <v>4</v>
      </c>
      <c r="T1758" t="b">
        <v>1</v>
      </c>
    </row>
    <row r="1759" spans="1:20">
      <c r="A1759" t="s">
        <v>97</v>
      </c>
      <c r="B1759">
        <v>91</v>
      </c>
      <c r="C1759">
        <v>510</v>
      </c>
      <c r="D1759" t="s">
        <v>62</v>
      </c>
      <c r="E1759" t="s">
        <v>62</v>
      </c>
      <c r="F1759">
        <v>0</v>
      </c>
      <c r="G1759">
        <v>123.8</v>
      </c>
      <c r="H1759">
        <v>107</v>
      </c>
      <c r="I1759">
        <v>21.05</v>
      </c>
      <c r="J1759">
        <v>319</v>
      </c>
      <c r="K1759">
        <v>125</v>
      </c>
      <c r="L1759">
        <v>27.12</v>
      </c>
      <c r="M1759">
        <v>237.6</v>
      </c>
      <c r="N1759">
        <v>78</v>
      </c>
      <c r="O1759">
        <v>10.69</v>
      </c>
      <c r="P1759">
        <v>7.3</v>
      </c>
      <c r="Q1759">
        <v>4</v>
      </c>
      <c r="R1759">
        <v>1.97</v>
      </c>
      <c r="S1759">
        <v>2</v>
      </c>
      <c r="T1759" t="b">
        <v>0</v>
      </c>
    </row>
    <row r="1760" spans="1:20">
      <c r="A1760" t="s">
        <v>73</v>
      </c>
      <c r="B1760">
        <v>127</v>
      </c>
      <c r="C1760">
        <v>510</v>
      </c>
      <c r="D1760" t="s">
        <v>62</v>
      </c>
      <c r="E1760" t="s">
        <v>62</v>
      </c>
      <c r="F1760">
        <v>0</v>
      </c>
      <c r="G1760">
        <v>96</v>
      </c>
      <c r="H1760">
        <v>117</v>
      </c>
      <c r="I1760">
        <v>16.32</v>
      </c>
      <c r="J1760">
        <v>177</v>
      </c>
      <c r="K1760">
        <v>68</v>
      </c>
      <c r="L1760">
        <v>15.05</v>
      </c>
      <c r="M1760">
        <v>162.2</v>
      </c>
      <c r="N1760">
        <v>127</v>
      </c>
      <c r="O1760">
        <v>7.3</v>
      </c>
      <c r="P1760">
        <v>9.7</v>
      </c>
      <c r="Q1760">
        <v>4</v>
      </c>
      <c r="R1760">
        <v>2.62</v>
      </c>
      <c r="S1760">
        <v>3</v>
      </c>
      <c r="T1760" t="b">
        <v>0</v>
      </c>
    </row>
    <row r="1761" spans="1:20">
      <c r="A1761" t="s">
        <v>100</v>
      </c>
      <c r="B1761">
        <v>88</v>
      </c>
      <c r="C1761">
        <v>408</v>
      </c>
      <c r="D1761" t="s">
        <v>62</v>
      </c>
      <c r="E1761" t="s">
        <v>63</v>
      </c>
      <c r="F1761">
        <v>27</v>
      </c>
      <c r="G1761">
        <v>93.4</v>
      </c>
      <c r="H1761">
        <v>106</v>
      </c>
      <c r="I1761">
        <v>15.88</v>
      </c>
      <c r="J1761">
        <v>252</v>
      </c>
      <c r="K1761">
        <v>92</v>
      </c>
      <c r="L1761">
        <v>21.42</v>
      </c>
      <c r="M1761">
        <v>189</v>
      </c>
      <c r="N1761">
        <v>104</v>
      </c>
      <c r="O1761">
        <v>8.5</v>
      </c>
      <c r="P1761">
        <v>10.9</v>
      </c>
      <c r="Q1761">
        <v>1</v>
      </c>
      <c r="R1761">
        <v>2.94</v>
      </c>
      <c r="S1761">
        <v>1</v>
      </c>
      <c r="T1761" t="b">
        <v>0</v>
      </c>
    </row>
    <row r="1762" spans="1:20">
      <c r="A1762" t="s">
        <v>80</v>
      </c>
      <c r="B1762">
        <v>123</v>
      </c>
      <c r="C1762">
        <v>408</v>
      </c>
      <c r="D1762" t="s">
        <v>62</v>
      </c>
      <c r="E1762" t="s">
        <v>62</v>
      </c>
      <c r="F1762">
        <v>0</v>
      </c>
      <c r="G1762">
        <v>257.9</v>
      </c>
      <c r="H1762">
        <v>92</v>
      </c>
      <c r="I1762">
        <v>43.84</v>
      </c>
      <c r="J1762">
        <v>211.6</v>
      </c>
      <c r="K1762">
        <v>71</v>
      </c>
      <c r="L1762">
        <v>17.99</v>
      </c>
      <c r="M1762">
        <v>189.3</v>
      </c>
      <c r="N1762">
        <v>104</v>
      </c>
      <c r="O1762">
        <v>8.52</v>
      </c>
      <c r="P1762">
        <v>9.4</v>
      </c>
      <c r="Q1762">
        <v>2</v>
      </c>
      <c r="R1762">
        <v>2.54</v>
      </c>
      <c r="S1762">
        <v>2</v>
      </c>
      <c r="T1762" t="b">
        <v>0</v>
      </c>
    </row>
    <row r="1763" spans="1:20">
      <c r="A1763" t="s">
        <v>95</v>
      </c>
      <c r="B1763">
        <v>136</v>
      </c>
      <c r="C1763">
        <v>408</v>
      </c>
      <c r="D1763" t="s">
        <v>63</v>
      </c>
      <c r="E1763" t="s">
        <v>63</v>
      </c>
      <c r="F1763">
        <v>29</v>
      </c>
      <c r="G1763">
        <v>85.2</v>
      </c>
      <c r="H1763">
        <v>98</v>
      </c>
      <c r="I1763">
        <v>14.48</v>
      </c>
      <c r="J1763">
        <v>230.4</v>
      </c>
      <c r="K1763">
        <v>85</v>
      </c>
      <c r="L1763">
        <v>19.58</v>
      </c>
      <c r="M1763">
        <v>243.6</v>
      </c>
      <c r="N1763">
        <v>104</v>
      </c>
      <c r="O1763">
        <v>10.96</v>
      </c>
      <c r="P1763">
        <v>9</v>
      </c>
      <c r="Q1763">
        <v>3</v>
      </c>
      <c r="R1763">
        <v>2.43</v>
      </c>
      <c r="S1763">
        <v>2</v>
      </c>
      <c r="T1763" t="b">
        <v>0</v>
      </c>
    </row>
    <row r="1764" spans="1:20">
      <c r="A1764" t="s">
        <v>109</v>
      </c>
      <c r="B1764">
        <v>68</v>
      </c>
      <c r="C1764">
        <v>415</v>
      </c>
      <c r="D1764" t="s">
        <v>62</v>
      </c>
      <c r="E1764" t="s">
        <v>63</v>
      </c>
      <c r="F1764">
        <v>34</v>
      </c>
      <c r="G1764">
        <v>160</v>
      </c>
      <c r="H1764">
        <v>72</v>
      </c>
      <c r="I1764">
        <v>27.2</v>
      </c>
      <c r="J1764">
        <v>184.5</v>
      </c>
      <c r="K1764">
        <v>119</v>
      </c>
      <c r="L1764">
        <v>15.68</v>
      </c>
      <c r="M1764">
        <v>208.3</v>
      </c>
      <c r="N1764">
        <v>101</v>
      </c>
      <c r="O1764">
        <v>9.37</v>
      </c>
      <c r="P1764">
        <v>6.1</v>
      </c>
      <c r="Q1764">
        <v>10</v>
      </c>
      <c r="R1764">
        <v>1.65</v>
      </c>
      <c r="S1764">
        <v>1</v>
      </c>
      <c r="T1764" t="b">
        <v>0</v>
      </c>
    </row>
    <row r="1765" spans="1:20">
      <c r="A1765" t="s">
        <v>64</v>
      </c>
      <c r="B1765">
        <v>132</v>
      </c>
      <c r="C1765">
        <v>415</v>
      </c>
      <c r="D1765" t="s">
        <v>62</v>
      </c>
      <c r="E1765" t="s">
        <v>63</v>
      </c>
      <c r="F1765">
        <v>10</v>
      </c>
      <c r="G1765">
        <v>182.9</v>
      </c>
      <c r="H1765">
        <v>54</v>
      </c>
      <c r="I1765">
        <v>31.09</v>
      </c>
      <c r="J1765">
        <v>292.4</v>
      </c>
      <c r="K1765">
        <v>68</v>
      </c>
      <c r="L1765">
        <v>24.85</v>
      </c>
      <c r="M1765">
        <v>142.3</v>
      </c>
      <c r="N1765">
        <v>116</v>
      </c>
      <c r="O1765">
        <v>6.4</v>
      </c>
      <c r="P1765">
        <v>11.5</v>
      </c>
      <c r="Q1765">
        <v>4</v>
      </c>
      <c r="R1765">
        <v>3.11</v>
      </c>
      <c r="S1765">
        <v>0</v>
      </c>
      <c r="T1765" t="b">
        <v>0</v>
      </c>
    </row>
    <row r="1766" spans="1:20">
      <c r="A1766" t="s">
        <v>88</v>
      </c>
      <c r="B1766">
        <v>133</v>
      </c>
      <c r="C1766">
        <v>415</v>
      </c>
      <c r="D1766" t="s">
        <v>62</v>
      </c>
      <c r="E1766" t="s">
        <v>62</v>
      </c>
      <c r="F1766">
        <v>0</v>
      </c>
      <c r="G1766">
        <v>216.2</v>
      </c>
      <c r="H1766">
        <v>67</v>
      </c>
      <c r="I1766">
        <v>36.75</v>
      </c>
      <c r="J1766">
        <v>222.2</v>
      </c>
      <c r="K1766">
        <v>133</v>
      </c>
      <c r="L1766">
        <v>18.89</v>
      </c>
      <c r="M1766">
        <v>192</v>
      </c>
      <c r="N1766">
        <v>95</v>
      </c>
      <c r="O1766">
        <v>8.64</v>
      </c>
      <c r="P1766">
        <v>3.1</v>
      </c>
      <c r="Q1766">
        <v>1</v>
      </c>
      <c r="R1766">
        <v>0.84</v>
      </c>
      <c r="S1766">
        <v>2</v>
      </c>
      <c r="T1766" t="b">
        <v>0</v>
      </c>
    </row>
    <row r="1767" spans="1:20">
      <c r="A1767" t="s">
        <v>81</v>
      </c>
      <c r="B1767">
        <v>127</v>
      </c>
      <c r="C1767">
        <v>415</v>
      </c>
      <c r="D1767" t="s">
        <v>62</v>
      </c>
      <c r="E1767" t="s">
        <v>62</v>
      </c>
      <c r="F1767">
        <v>0</v>
      </c>
      <c r="G1767">
        <v>261.7</v>
      </c>
      <c r="H1767">
        <v>105</v>
      </c>
      <c r="I1767">
        <v>44.49</v>
      </c>
      <c r="J1767">
        <v>181.8</v>
      </c>
      <c r="K1767">
        <v>107</v>
      </c>
      <c r="L1767">
        <v>15.45</v>
      </c>
      <c r="M1767">
        <v>100.9</v>
      </c>
      <c r="N1767">
        <v>131</v>
      </c>
      <c r="O1767">
        <v>4.54</v>
      </c>
      <c r="P1767">
        <v>3.3</v>
      </c>
      <c r="Q1767">
        <v>5</v>
      </c>
      <c r="R1767">
        <v>0.89</v>
      </c>
      <c r="S1767">
        <v>0</v>
      </c>
      <c r="T1767" t="b">
        <v>0</v>
      </c>
    </row>
    <row r="1768" spans="1:20">
      <c r="A1768" t="s">
        <v>71</v>
      </c>
      <c r="B1768">
        <v>121</v>
      </c>
      <c r="C1768">
        <v>510</v>
      </c>
      <c r="D1768" t="s">
        <v>62</v>
      </c>
      <c r="E1768" t="s">
        <v>62</v>
      </c>
      <c r="F1768">
        <v>0</v>
      </c>
      <c r="G1768">
        <v>177.2</v>
      </c>
      <c r="H1768">
        <v>142</v>
      </c>
      <c r="I1768">
        <v>30.12</v>
      </c>
      <c r="J1768">
        <v>123.5</v>
      </c>
      <c r="K1768">
        <v>88</v>
      </c>
      <c r="L1768">
        <v>10.5</v>
      </c>
      <c r="M1768">
        <v>213.2</v>
      </c>
      <c r="N1768">
        <v>51</v>
      </c>
      <c r="O1768">
        <v>9.59</v>
      </c>
      <c r="P1768">
        <v>8.4</v>
      </c>
      <c r="Q1768">
        <v>6</v>
      </c>
      <c r="R1768">
        <v>2.27</v>
      </c>
      <c r="S1768">
        <v>1</v>
      </c>
      <c r="T1768" t="b">
        <v>0</v>
      </c>
    </row>
    <row r="1769" spans="1:20">
      <c r="A1769" t="s">
        <v>106</v>
      </c>
      <c r="B1769">
        <v>116</v>
      </c>
      <c r="C1769">
        <v>510</v>
      </c>
      <c r="D1769" t="s">
        <v>62</v>
      </c>
      <c r="E1769" t="s">
        <v>62</v>
      </c>
      <c r="F1769">
        <v>0</v>
      </c>
      <c r="G1769">
        <v>89.5</v>
      </c>
      <c r="H1769">
        <v>128</v>
      </c>
      <c r="I1769">
        <v>15.22</v>
      </c>
      <c r="J1769">
        <v>180.8</v>
      </c>
      <c r="K1769">
        <v>137</v>
      </c>
      <c r="L1769">
        <v>15.37</v>
      </c>
      <c r="M1769">
        <v>193.1</v>
      </c>
      <c r="N1769">
        <v>94</v>
      </c>
      <c r="O1769">
        <v>8.69</v>
      </c>
      <c r="P1769">
        <v>14</v>
      </c>
      <c r="Q1769">
        <v>3</v>
      </c>
      <c r="R1769">
        <v>3.78</v>
      </c>
      <c r="S1769">
        <v>2</v>
      </c>
      <c r="T1769" t="b">
        <v>0</v>
      </c>
    </row>
    <row r="1770" spans="1:20">
      <c r="A1770" t="s">
        <v>113</v>
      </c>
      <c r="B1770">
        <v>97</v>
      </c>
      <c r="C1770">
        <v>510</v>
      </c>
      <c r="D1770" t="s">
        <v>63</v>
      </c>
      <c r="E1770" t="s">
        <v>62</v>
      </c>
      <c r="F1770">
        <v>0</v>
      </c>
      <c r="G1770">
        <v>145</v>
      </c>
      <c r="H1770">
        <v>103</v>
      </c>
      <c r="I1770">
        <v>24.65</v>
      </c>
      <c r="J1770">
        <v>294.3</v>
      </c>
      <c r="K1770">
        <v>93</v>
      </c>
      <c r="L1770">
        <v>25.02</v>
      </c>
      <c r="M1770">
        <v>239.8</v>
      </c>
      <c r="N1770">
        <v>120</v>
      </c>
      <c r="O1770">
        <v>10.79</v>
      </c>
      <c r="P1770">
        <v>11</v>
      </c>
      <c r="Q1770">
        <v>2</v>
      </c>
      <c r="R1770">
        <v>2.97</v>
      </c>
      <c r="S1770">
        <v>4</v>
      </c>
      <c r="T1770" t="b">
        <v>1</v>
      </c>
    </row>
    <row r="1771" spans="1:20">
      <c r="A1771" t="s">
        <v>109</v>
      </c>
      <c r="B1771">
        <v>43</v>
      </c>
      <c r="C1771">
        <v>510</v>
      </c>
      <c r="D1771" t="s">
        <v>62</v>
      </c>
      <c r="E1771" t="s">
        <v>62</v>
      </c>
      <c r="F1771">
        <v>0</v>
      </c>
      <c r="G1771">
        <v>159.5</v>
      </c>
      <c r="H1771">
        <v>99</v>
      </c>
      <c r="I1771">
        <v>27.12</v>
      </c>
      <c r="J1771">
        <v>119.7</v>
      </c>
      <c r="K1771">
        <v>149</v>
      </c>
      <c r="L1771">
        <v>10.17</v>
      </c>
      <c r="M1771">
        <v>173.9</v>
      </c>
      <c r="N1771">
        <v>126</v>
      </c>
      <c r="O1771">
        <v>7.83</v>
      </c>
      <c r="P1771">
        <v>6.8</v>
      </c>
      <c r="Q1771">
        <v>3</v>
      </c>
      <c r="R1771">
        <v>1.84</v>
      </c>
      <c r="S1771">
        <v>2</v>
      </c>
      <c r="T1771" t="b">
        <v>0</v>
      </c>
    </row>
    <row r="1772" spans="1:20">
      <c r="A1772" t="s">
        <v>96</v>
      </c>
      <c r="B1772">
        <v>110</v>
      </c>
      <c r="C1772">
        <v>415</v>
      </c>
      <c r="D1772" t="s">
        <v>62</v>
      </c>
      <c r="E1772" t="s">
        <v>62</v>
      </c>
      <c r="F1772">
        <v>0</v>
      </c>
      <c r="G1772">
        <v>151.8</v>
      </c>
      <c r="H1772">
        <v>106</v>
      </c>
      <c r="I1772">
        <v>25.81</v>
      </c>
      <c r="J1772">
        <v>138</v>
      </c>
      <c r="K1772">
        <v>126</v>
      </c>
      <c r="L1772">
        <v>11.73</v>
      </c>
      <c r="M1772">
        <v>233.5</v>
      </c>
      <c r="N1772">
        <v>112</v>
      </c>
      <c r="O1772">
        <v>10.51</v>
      </c>
      <c r="P1772">
        <v>11.2</v>
      </c>
      <c r="Q1772">
        <v>8</v>
      </c>
      <c r="R1772">
        <v>3.02</v>
      </c>
      <c r="S1772">
        <v>3</v>
      </c>
      <c r="T1772" t="b">
        <v>0</v>
      </c>
    </row>
    <row r="1773" spans="1:20">
      <c r="A1773" t="s">
        <v>79</v>
      </c>
      <c r="B1773">
        <v>67</v>
      </c>
      <c r="C1773">
        <v>408</v>
      </c>
      <c r="D1773" t="s">
        <v>62</v>
      </c>
      <c r="E1773" t="s">
        <v>62</v>
      </c>
      <c r="F1773">
        <v>0</v>
      </c>
      <c r="G1773">
        <v>176.2</v>
      </c>
      <c r="H1773">
        <v>120</v>
      </c>
      <c r="I1773">
        <v>29.95</v>
      </c>
      <c r="J1773">
        <v>236</v>
      </c>
      <c r="K1773">
        <v>138</v>
      </c>
      <c r="L1773">
        <v>20.06</v>
      </c>
      <c r="M1773">
        <v>152.5</v>
      </c>
      <c r="N1773">
        <v>104</v>
      </c>
      <c r="O1773">
        <v>6.86</v>
      </c>
      <c r="P1773">
        <v>10.6</v>
      </c>
      <c r="Q1773">
        <v>4</v>
      </c>
      <c r="R1773">
        <v>2.86</v>
      </c>
      <c r="S1773">
        <v>1</v>
      </c>
      <c r="T1773" t="b">
        <v>0</v>
      </c>
    </row>
    <row r="1774" spans="1:20">
      <c r="A1774" t="s">
        <v>102</v>
      </c>
      <c r="B1774">
        <v>166</v>
      </c>
      <c r="C1774">
        <v>408</v>
      </c>
      <c r="D1774" t="s">
        <v>62</v>
      </c>
      <c r="E1774" t="s">
        <v>62</v>
      </c>
      <c r="F1774">
        <v>0</v>
      </c>
      <c r="G1774">
        <v>152.1</v>
      </c>
      <c r="H1774">
        <v>95</v>
      </c>
      <c r="I1774">
        <v>25.86</v>
      </c>
      <c r="J1774">
        <v>121</v>
      </c>
      <c r="K1774">
        <v>105</v>
      </c>
      <c r="L1774">
        <v>10.29</v>
      </c>
      <c r="M1774">
        <v>198</v>
      </c>
      <c r="N1774">
        <v>126</v>
      </c>
      <c r="O1774">
        <v>8.91</v>
      </c>
      <c r="P1774">
        <v>9.8</v>
      </c>
      <c r="Q1774">
        <v>5</v>
      </c>
      <c r="R1774">
        <v>2.65</v>
      </c>
      <c r="S1774">
        <v>0</v>
      </c>
      <c r="T1774" t="b">
        <v>0</v>
      </c>
    </row>
    <row r="1775" spans="1:20">
      <c r="A1775" t="s">
        <v>95</v>
      </c>
      <c r="B1775">
        <v>129</v>
      </c>
      <c r="C1775">
        <v>408</v>
      </c>
      <c r="D1775" t="s">
        <v>62</v>
      </c>
      <c r="E1775" t="s">
        <v>62</v>
      </c>
      <c r="F1775">
        <v>0</v>
      </c>
      <c r="G1775">
        <v>161.3</v>
      </c>
      <c r="H1775">
        <v>122</v>
      </c>
      <c r="I1775">
        <v>27.42</v>
      </c>
      <c r="J1775">
        <v>220.6</v>
      </c>
      <c r="K1775">
        <v>95</v>
      </c>
      <c r="L1775">
        <v>18.75</v>
      </c>
      <c r="M1775">
        <v>224.7</v>
      </c>
      <c r="N1775">
        <v>104</v>
      </c>
      <c r="O1775">
        <v>10.11</v>
      </c>
      <c r="P1775">
        <v>9.6</v>
      </c>
      <c r="Q1775">
        <v>3</v>
      </c>
      <c r="R1775">
        <v>2.59</v>
      </c>
      <c r="S1775">
        <v>1</v>
      </c>
      <c r="T1775" t="b">
        <v>0</v>
      </c>
    </row>
    <row r="1776" spans="1:20">
      <c r="A1776" t="s">
        <v>94</v>
      </c>
      <c r="B1776">
        <v>103</v>
      </c>
      <c r="C1776">
        <v>510</v>
      </c>
      <c r="D1776" t="s">
        <v>63</v>
      </c>
      <c r="E1776" t="s">
        <v>62</v>
      </c>
      <c r="F1776">
        <v>0</v>
      </c>
      <c r="G1776">
        <v>171.7</v>
      </c>
      <c r="H1776">
        <v>78</v>
      </c>
      <c r="I1776">
        <v>29.19</v>
      </c>
      <c r="J1776">
        <v>144.5</v>
      </c>
      <c r="K1776">
        <v>86</v>
      </c>
      <c r="L1776">
        <v>12.28</v>
      </c>
      <c r="M1776">
        <v>157.9</v>
      </c>
      <c r="N1776">
        <v>106</v>
      </c>
      <c r="O1776">
        <v>7.11</v>
      </c>
      <c r="P1776">
        <v>6.8</v>
      </c>
      <c r="Q1776">
        <v>3</v>
      </c>
      <c r="R1776">
        <v>1.84</v>
      </c>
      <c r="S1776">
        <v>3</v>
      </c>
      <c r="T1776" t="b">
        <v>0</v>
      </c>
    </row>
    <row r="1777" spans="1:20">
      <c r="A1777" t="s">
        <v>97</v>
      </c>
      <c r="B1777">
        <v>71</v>
      </c>
      <c r="C1777">
        <v>415</v>
      </c>
      <c r="D1777" t="s">
        <v>62</v>
      </c>
      <c r="E1777" t="s">
        <v>62</v>
      </c>
      <c r="F1777">
        <v>0</v>
      </c>
      <c r="G1777">
        <v>278.9</v>
      </c>
      <c r="H1777">
        <v>110</v>
      </c>
      <c r="I1777">
        <v>47.41</v>
      </c>
      <c r="J1777">
        <v>190.2</v>
      </c>
      <c r="K1777">
        <v>67</v>
      </c>
      <c r="L1777">
        <v>16.17</v>
      </c>
      <c r="M1777">
        <v>255.2</v>
      </c>
      <c r="N1777">
        <v>84</v>
      </c>
      <c r="O1777">
        <v>11.48</v>
      </c>
      <c r="P1777">
        <v>11.7</v>
      </c>
      <c r="Q1777">
        <v>7</v>
      </c>
      <c r="R1777">
        <v>3.16</v>
      </c>
      <c r="S1777">
        <v>0</v>
      </c>
      <c r="T1777" t="b">
        <v>1</v>
      </c>
    </row>
    <row r="1778" spans="1:20">
      <c r="A1778" t="s">
        <v>116</v>
      </c>
      <c r="B1778">
        <v>112</v>
      </c>
      <c r="C1778">
        <v>415</v>
      </c>
      <c r="D1778" t="s">
        <v>62</v>
      </c>
      <c r="E1778" t="s">
        <v>63</v>
      </c>
      <c r="F1778">
        <v>27</v>
      </c>
      <c r="G1778">
        <v>213</v>
      </c>
      <c r="H1778">
        <v>121</v>
      </c>
      <c r="I1778">
        <v>36.21</v>
      </c>
      <c r="J1778">
        <v>226.2</v>
      </c>
      <c r="K1778">
        <v>101</v>
      </c>
      <c r="L1778">
        <v>19.23</v>
      </c>
      <c r="M1778">
        <v>189.8</v>
      </c>
      <c r="N1778">
        <v>99</v>
      </c>
      <c r="O1778">
        <v>8.54</v>
      </c>
      <c r="P1778">
        <v>11.1</v>
      </c>
      <c r="Q1778">
        <v>3</v>
      </c>
      <c r="R1778">
        <v>3</v>
      </c>
      <c r="S1778">
        <v>4</v>
      </c>
      <c r="T1778" t="b">
        <v>0</v>
      </c>
    </row>
    <row r="1779" spans="1:20">
      <c r="A1779" t="s">
        <v>67</v>
      </c>
      <c r="B1779">
        <v>8</v>
      </c>
      <c r="C1779">
        <v>415</v>
      </c>
      <c r="D1779" t="s">
        <v>62</v>
      </c>
      <c r="E1779" t="s">
        <v>63</v>
      </c>
      <c r="F1779">
        <v>36</v>
      </c>
      <c r="G1779">
        <v>242.9</v>
      </c>
      <c r="H1779">
        <v>67</v>
      </c>
      <c r="I1779">
        <v>41.29</v>
      </c>
      <c r="J1779">
        <v>170.9</v>
      </c>
      <c r="K1779">
        <v>59</v>
      </c>
      <c r="L1779">
        <v>14.53</v>
      </c>
      <c r="M1779">
        <v>177.3</v>
      </c>
      <c r="N1779">
        <v>130</v>
      </c>
      <c r="O1779">
        <v>7.98</v>
      </c>
      <c r="P1779">
        <v>4.8</v>
      </c>
      <c r="Q1779">
        <v>12</v>
      </c>
      <c r="R1779">
        <v>1.3</v>
      </c>
      <c r="S1779">
        <v>1</v>
      </c>
      <c r="T1779" t="b">
        <v>0</v>
      </c>
    </row>
    <row r="1780" spans="1:20">
      <c r="A1780" t="s">
        <v>80</v>
      </c>
      <c r="B1780">
        <v>98</v>
      </c>
      <c r="C1780">
        <v>415</v>
      </c>
      <c r="D1780" t="s">
        <v>62</v>
      </c>
      <c r="E1780" t="s">
        <v>62</v>
      </c>
      <c r="F1780">
        <v>0</v>
      </c>
      <c r="G1780">
        <v>217.2</v>
      </c>
      <c r="H1780">
        <v>121</v>
      </c>
      <c r="I1780">
        <v>36.92</v>
      </c>
      <c r="J1780">
        <v>303.4</v>
      </c>
      <c r="K1780">
        <v>73</v>
      </c>
      <c r="L1780">
        <v>25.79</v>
      </c>
      <c r="M1780">
        <v>197.1</v>
      </c>
      <c r="N1780">
        <v>71</v>
      </c>
      <c r="O1780">
        <v>8.87</v>
      </c>
      <c r="P1780">
        <v>12.4</v>
      </c>
      <c r="Q1780">
        <v>2</v>
      </c>
      <c r="R1780">
        <v>3.35</v>
      </c>
      <c r="S1780">
        <v>0</v>
      </c>
      <c r="T1780" t="b">
        <v>1</v>
      </c>
    </row>
    <row r="1781" spans="1:20">
      <c r="A1781" t="s">
        <v>116</v>
      </c>
      <c r="B1781">
        <v>90</v>
      </c>
      <c r="C1781">
        <v>415</v>
      </c>
      <c r="D1781" t="s">
        <v>62</v>
      </c>
      <c r="E1781" t="s">
        <v>62</v>
      </c>
      <c r="F1781">
        <v>0</v>
      </c>
      <c r="G1781">
        <v>175.9</v>
      </c>
      <c r="H1781">
        <v>111</v>
      </c>
      <c r="I1781">
        <v>29.9</v>
      </c>
      <c r="J1781">
        <v>285.2</v>
      </c>
      <c r="K1781">
        <v>115</v>
      </c>
      <c r="L1781">
        <v>24.24</v>
      </c>
      <c r="M1781">
        <v>150.8</v>
      </c>
      <c r="N1781">
        <v>122</v>
      </c>
      <c r="O1781">
        <v>6.79</v>
      </c>
      <c r="P1781">
        <v>13</v>
      </c>
      <c r="Q1781">
        <v>7</v>
      </c>
      <c r="R1781">
        <v>3.51</v>
      </c>
      <c r="S1781">
        <v>1</v>
      </c>
      <c r="T1781" t="b">
        <v>0</v>
      </c>
    </row>
    <row r="1782" spans="1:20">
      <c r="A1782" t="s">
        <v>109</v>
      </c>
      <c r="B1782">
        <v>13</v>
      </c>
      <c r="C1782">
        <v>415</v>
      </c>
      <c r="D1782" t="s">
        <v>62</v>
      </c>
      <c r="E1782" t="s">
        <v>62</v>
      </c>
      <c r="F1782">
        <v>0</v>
      </c>
      <c r="G1782">
        <v>303.2</v>
      </c>
      <c r="H1782">
        <v>133</v>
      </c>
      <c r="I1782">
        <v>51.54</v>
      </c>
      <c r="J1782">
        <v>170.5</v>
      </c>
      <c r="K1782">
        <v>86</v>
      </c>
      <c r="L1782">
        <v>14.49</v>
      </c>
      <c r="M1782">
        <v>227.6</v>
      </c>
      <c r="N1782">
        <v>80</v>
      </c>
      <c r="O1782">
        <v>10.24</v>
      </c>
      <c r="P1782">
        <v>11.5</v>
      </c>
      <c r="Q1782">
        <v>3</v>
      </c>
      <c r="R1782">
        <v>3.11</v>
      </c>
      <c r="S1782">
        <v>0</v>
      </c>
      <c r="T1782" t="b">
        <v>1</v>
      </c>
    </row>
    <row r="1783" spans="1:20">
      <c r="A1783" t="s">
        <v>92</v>
      </c>
      <c r="B1783">
        <v>58</v>
      </c>
      <c r="C1783">
        <v>415</v>
      </c>
      <c r="D1783" t="s">
        <v>62</v>
      </c>
      <c r="E1783" t="s">
        <v>62</v>
      </c>
      <c r="F1783">
        <v>0</v>
      </c>
      <c r="G1783">
        <v>238.9</v>
      </c>
      <c r="H1783">
        <v>107</v>
      </c>
      <c r="I1783">
        <v>40.61</v>
      </c>
      <c r="J1783">
        <v>187.2</v>
      </c>
      <c r="K1783">
        <v>88</v>
      </c>
      <c r="L1783">
        <v>15.91</v>
      </c>
      <c r="M1783">
        <v>181.1</v>
      </c>
      <c r="N1783">
        <v>84</v>
      </c>
      <c r="O1783">
        <v>8.15</v>
      </c>
      <c r="P1783">
        <v>11.8</v>
      </c>
      <c r="Q1783">
        <v>3</v>
      </c>
      <c r="R1783">
        <v>3.19</v>
      </c>
      <c r="S1783">
        <v>2</v>
      </c>
      <c r="T1783" t="b">
        <v>0</v>
      </c>
    </row>
    <row r="1784" spans="1:20">
      <c r="A1784" t="s">
        <v>98</v>
      </c>
      <c r="B1784">
        <v>137</v>
      </c>
      <c r="C1784">
        <v>415</v>
      </c>
      <c r="D1784" t="s">
        <v>62</v>
      </c>
      <c r="E1784" t="s">
        <v>63</v>
      </c>
      <c r="F1784">
        <v>22</v>
      </c>
      <c r="G1784">
        <v>189.6</v>
      </c>
      <c r="H1784">
        <v>42</v>
      </c>
      <c r="I1784">
        <v>32.23</v>
      </c>
      <c r="J1784">
        <v>179</v>
      </c>
      <c r="K1784">
        <v>137</v>
      </c>
      <c r="L1784">
        <v>15.22</v>
      </c>
      <c r="M1784">
        <v>179.6</v>
      </c>
      <c r="N1784">
        <v>126</v>
      </c>
      <c r="O1784">
        <v>8.08</v>
      </c>
      <c r="P1784">
        <v>11.4</v>
      </c>
      <c r="Q1784">
        <v>5</v>
      </c>
      <c r="R1784">
        <v>3.08</v>
      </c>
      <c r="S1784">
        <v>2</v>
      </c>
      <c r="T1784" t="b">
        <v>0</v>
      </c>
    </row>
    <row r="1785" spans="1:20">
      <c r="A1785" t="s">
        <v>110</v>
      </c>
      <c r="B1785">
        <v>116</v>
      </c>
      <c r="C1785">
        <v>408</v>
      </c>
      <c r="D1785" t="s">
        <v>62</v>
      </c>
      <c r="E1785" t="s">
        <v>62</v>
      </c>
      <c r="F1785">
        <v>0</v>
      </c>
      <c r="G1785">
        <v>133.3</v>
      </c>
      <c r="H1785">
        <v>94</v>
      </c>
      <c r="I1785">
        <v>22.66</v>
      </c>
      <c r="J1785">
        <v>247.8</v>
      </c>
      <c r="K1785">
        <v>126</v>
      </c>
      <c r="L1785">
        <v>21.06</v>
      </c>
      <c r="M1785">
        <v>219</v>
      </c>
      <c r="N1785">
        <v>78</v>
      </c>
      <c r="O1785">
        <v>9.86</v>
      </c>
      <c r="P1785">
        <v>11.3</v>
      </c>
      <c r="Q1785">
        <v>5</v>
      </c>
      <c r="R1785">
        <v>3.05</v>
      </c>
      <c r="S1785">
        <v>5</v>
      </c>
      <c r="T1785" t="b">
        <v>1</v>
      </c>
    </row>
    <row r="1786" spans="1:20">
      <c r="A1786" t="s">
        <v>71</v>
      </c>
      <c r="B1786">
        <v>94</v>
      </c>
      <c r="C1786">
        <v>415</v>
      </c>
      <c r="D1786" t="s">
        <v>62</v>
      </c>
      <c r="E1786" t="s">
        <v>63</v>
      </c>
      <c r="F1786">
        <v>28</v>
      </c>
      <c r="G1786">
        <v>92.7</v>
      </c>
      <c r="H1786">
        <v>107</v>
      </c>
      <c r="I1786">
        <v>15.76</v>
      </c>
      <c r="J1786">
        <v>127.8</v>
      </c>
      <c r="K1786">
        <v>86</v>
      </c>
      <c r="L1786">
        <v>10.86</v>
      </c>
      <c r="M1786">
        <v>225.6</v>
      </c>
      <c r="N1786">
        <v>86</v>
      </c>
      <c r="O1786">
        <v>10.15</v>
      </c>
      <c r="P1786">
        <v>9.9</v>
      </c>
      <c r="Q1786">
        <v>4</v>
      </c>
      <c r="R1786">
        <v>2.67</v>
      </c>
      <c r="S1786">
        <v>3</v>
      </c>
      <c r="T1786" t="b">
        <v>0</v>
      </c>
    </row>
    <row r="1787" spans="1:20">
      <c r="A1787" t="s">
        <v>95</v>
      </c>
      <c r="B1787">
        <v>87</v>
      </c>
      <c r="C1787">
        <v>415</v>
      </c>
      <c r="D1787" t="s">
        <v>62</v>
      </c>
      <c r="E1787" t="s">
        <v>62</v>
      </c>
      <c r="F1787">
        <v>0</v>
      </c>
      <c r="G1787">
        <v>177.2</v>
      </c>
      <c r="H1787">
        <v>72</v>
      </c>
      <c r="I1787">
        <v>30.12</v>
      </c>
      <c r="J1787">
        <v>248.9</v>
      </c>
      <c r="K1787">
        <v>105</v>
      </c>
      <c r="L1787">
        <v>21.16</v>
      </c>
      <c r="M1787">
        <v>200.8</v>
      </c>
      <c r="N1787">
        <v>87</v>
      </c>
      <c r="O1787">
        <v>9.04</v>
      </c>
      <c r="P1787">
        <v>8.6</v>
      </c>
      <c r="Q1787">
        <v>7</v>
      </c>
      <c r="R1787">
        <v>2.32</v>
      </c>
      <c r="S1787">
        <v>3</v>
      </c>
      <c r="T1787" t="b">
        <v>0</v>
      </c>
    </row>
    <row r="1788" spans="1:20">
      <c r="A1788" t="s">
        <v>81</v>
      </c>
      <c r="B1788">
        <v>120</v>
      </c>
      <c r="C1788">
        <v>415</v>
      </c>
      <c r="D1788" t="s">
        <v>62</v>
      </c>
      <c r="E1788" t="s">
        <v>62</v>
      </c>
      <c r="F1788">
        <v>0</v>
      </c>
      <c r="G1788">
        <v>184.5</v>
      </c>
      <c r="H1788">
        <v>103</v>
      </c>
      <c r="I1788">
        <v>31.37</v>
      </c>
      <c r="J1788">
        <v>209</v>
      </c>
      <c r="K1788">
        <v>86</v>
      </c>
      <c r="L1788">
        <v>17.77</v>
      </c>
      <c r="M1788">
        <v>169.7</v>
      </c>
      <c r="N1788">
        <v>70</v>
      </c>
      <c r="O1788">
        <v>7.64</v>
      </c>
      <c r="P1788">
        <v>10.2</v>
      </c>
      <c r="Q1788">
        <v>6</v>
      </c>
      <c r="R1788">
        <v>2.75</v>
      </c>
      <c r="S1788">
        <v>2</v>
      </c>
      <c r="T1788" t="b">
        <v>0</v>
      </c>
    </row>
    <row r="1789" spans="1:20">
      <c r="A1789" t="s">
        <v>90</v>
      </c>
      <c r="B1789">
        <v>97</v>
      </c>
      <c r="C1789">
        <v>415</v>
      </c>
      <c r="D1789" t="s">
        <v>62</v>
      </c>
      <c r="E1789" t="s">
        <v>63</v>
      </c>
      <c r="F1789">
        <v>24</v>
      </c>
      <c r="G1789">
        <v>176.1</v>
      </c>
      <c r="H1789">
        <v>109</v>
      </c>
      <c r="I1789">
        <v>29.94</v>
      </c>
      <c r="J1789">
        <v>159.4</v>
      </c>
      <c r="K1789">
        <v>81</v>
      </c>
      <c r="L1789">
        <v>13.55</v>
      </c>
      <c r="M1789">
        <v>269.1</v>
      </c>
      <c r="N1789">
        <v>94</v>
      </c>
      <c r="O1789">
        <v>12.11</v>
      </c>
      <c r="P1789">
        <v>12.1</v>
      </c>
      <c r="Q1789">
        <v>9</v>
      </c>
      <c r="R1789">
        <v>3.27</v>
      </c>
      <c r="S1789">
        <v>0</v>
      </c>
      <c r="T1789" t="b">
        <v>0</v>
      </c>
    </row>
    <row r="1790" spans="1:20">
      <c r="A1790" t="s">
        <v>77</v>
      </c>
      <c r="B1790">
        <v>134</v>
      </c>
      <c r="C1790">
        <v>415</v>
      </c>
      <c r="D1790" t="s">
        <v>62</v>
      </c>
      <c r="E1790" t="s">
        <v>62</v>
      </c>
      <c r="F1790">
        <v>0</v>
      </c>
      <c r="G1790">
        <v>204.7</v>
      </c>
      <c r="H1790">
        <v>108</v>
      </c>
      <c r="I1790">
        <v>34.8</v>
      </c>
      <c r="J1790">
        <v>143.1</v>
      </c>
      <c r="K1790">
        <v>105</v>
      </c>
      <c r="L1790">
        <v>12.16</v>
      </c>
      <c r="M1790">
        <v>165.8</v>
      </c>
      <c r="N1790">
        <v>84</v>
      </c>
      <c r="O1790">
        <v>7.46</v>
      </c>
      <c r="P1790">
        <v>11</v>
      </c>
      <c r="Q1790">
        <v>4</v>
      </c>
      <c r="R1790">
        <v>2.97</v>
      </c>
      <c r="S1790">
        <v>6</v>
      </c>
      <c r="T1790" t="b">
        <v>0</v>
      </c>
    </row>
    <row r="1791" spans="1:20">
      <c r="A1791" t="s">
        <v>64</v>
      </c>
      <c r="B1791">
        <v>68</v>
      </c>
      <c r="C1791">
        <v>510</v>
      </c>
      <c r="D1791" t="s">
        <v>62</v>
      </c>
      <c r="E1791" t="s">
        <v>62</v>
      </c>
      <c r="F1791">
        <v>0</v>
      </c>
      <c r="G1791">
        <v>143.6</v>
      </c>
      <c r="H1791">
        <v>80</v>
      </c>
      <c r="I1791">
        <v>24.41</v>
      </c>
      <c r="J1791">
        <v>134.3</v>
      </c>
      <c r="K1791">
        <v>65</v>
      </c>
      <c r="L1791">
        <v>11.42</v>
      </c>
      <c r="M1791">
        <v>215.6</v>
      </c>
      <c r="N1791">
        <v>84</v>
      </c>
      <c r="O1791">
        <v>9.7</v>
      </c>
      <c r="P1791">
        <v>15.5</v>
      </c>
      <c r="Q1791">
        <v>5</v>
      </c>
      <c r="R1791">
        <v>4.19</v>
      </c>
      <c r="S1791">
        <v>2</v>
      </c>
      <c r="T1791" t="b">
        <v>0</v>
      </c>
    </row>
    <row r="1792" spans="1:20">
      <c r="A1792" t="s">
        <v>87</v>
      </c>
      <c r="B1792">
        <v>93</v>
      </c>
      <c r="C1792">
        <v>408</v>
      </c>
      <c r="D1792" t="s">
        <v>62</v>
      </c>
      <c r="E1792" t="s">
        <v>62</v>
      </c>
      <c r="F1792">
        <v>0</v>
      </c>
      <c r="G1792">
        <v>179.3</v>
      </c>
      <c r="H1792">
        <v>93</v>
      </c>
      <c r="I1792">
        <v>30.48</v>
      </c>
      <c r="J1792">
        <v>188.8</v>
      </c>
      <c r="K1792">
        <v>65</v>
      </c>
      <c r="L1792">
        <v>16.05</v>
      </c>
      <c r="M1792">
        <v>253.2</v>
      </c>
      <c r="N1792">
        <v>88</v>
      </c>
      <c r="O1792">
        <v>11.39</v>
      </c>
      <c r="P1792">
        <v>12.1</v>
      </c>
      <c r="Q1792">
        <v>5</v>
      </c>
      <c r="R1792">
        <v>3.27</v>
      </c>
      <c r="S1792">
        <v>1</v>
      </c>
      <c r="T1792" t="b">
        <v>0</v>
      </c>
    </row>
    <row r="1793" spans="1:20">
      <c r="A1793" t="s">
        <v>68</v>
      </c>
      <c r="B1793">
        <v>120</v>
      </c>
      <c r="C1793">
        <v>415</v>
      </c>
      <c r="D1793" t="s">
        <v>62</v>
      </c>
      <c r="E1793" t="s">
        <v>62</v>
      </c>
      <c r="F1793">
        <v>0</v>
      </c>
      <c r="G1793">
        <v>137.3</v>
      </c>
      <c r="H1793">
        <v>100</v>
      </c>
      <c r="I1793">
        <v>23.34</v>
      </c>
      <c r="J1793">
        <v>212.2</v>
      </c>
      <c r="K1793">
        <v>129</v>
      </c>
      <c r="L1793">
        <v>18.04</v>
      </c>
      <c r="M1793">
        <v>152.7</v>
      </c>
      <c r="N1793">
        <v>92</v>
      </c>
      <c r="O1793">
        <v>6.87</v>
      </c>
      <c r="P1793">
        <v>10.5</v>
      </c>
      <c r="Q1793">
        <v>2</v>
      </c>
      <c r="R1793">
        <v>2.84</v>
      </c>
      <c r="S1793">
        <v>1</v>
      </c>
      <c r="T1793" t="b">
        <v>0</v>
      </c>
    </row>
    <row r="1794" spans="1:20">
      <c r="A1794" t="s">
        <v>111</v>
      </c>
      <c r="B1794">
        <v>41</v>
      </c>
      <c r="C1794">
        <v>408</v>
      </c>
      <c r="D1794" t="s">
        <v>62</v>
      </c>
      <c r="E1794" t="s">
        <v>62</v>
      </c>
      <c r="F1794">
        <v>0</v>
      </c>
      <c r="G1794">
        <v>237.8</v>
      </c>
      <c r="H1794">
        <v>92</v>
      </c>
      <c r="I1794">
        <v>40.43</v>
      </c>
      <c r="J1794">
        <v>223.5</v>
      </c>
      <c r="K1794">
        <v>155</v>
      </c>
      <c r="L1794">
        <v>19</v>
      </c>
      <c r="M1794">
        <v>217.4</v>
      </c>
      <c r="N1794">
        <v>90</v>
      </c>
      <c r="O1794">
        <v>9.78</v>
      </c>
      <c r="P1794">
        <v>10.2</v>
      </c>
      <c r="Q1794">
        <v>6</v>
      </c>
      <c r="R1794">
        <v>2.75</v>
      </c>
      <c r="S1794">
        <v>2</v>
      </c>
      <c r="T1794" t="b">
        <v>0</v>
      </c>
    </row>
    <row r="1795" spans="1:20">
      <c r="A1795" t="s">
        <v>94</v>
      </c>
      <c r="B1795">
        <v>80</v>
      </c>
      <c r="C1795">
        <v>510</v>
      </c>
      <c r="D1795" t="s">
        <v>62</v>
      </c>
      <c r="E1795" t="s">
        <v>62</v>
      </c>
      <c r="F1795">
        <v>0</v>
      </c>
      <c r="G1795">
        <v>203.7</v>
      </c>
      <c r="H1795">
        <v>92</v>
      </c>
      <c r="I1795">
        <v>34.63</v>
      </c>
      <c r="J1795">
        <v>216.4</v>
      </c>
      <c r="K1795">
        <v>97</v>
      </c>
      <c r="L1795">
        <v>18.39</v>
      </c>
      <c r="M1795">
        <v>154.2</v>
      </c>
      <c r="N1795">
        <v>66</v>
      </c>
      <c r="O1795">
        <v>6.94</v>
      </c>
      <c r="P1795">
        <v>7.6</v>
      </c>
      <c r="Q1795">
        <v>5</v>
      </c>
      <c r="R1795">
        <v>2.05</v>
      </c>
      <c r="S1795">
        <v>2</v>
      </c>
      <c r="T1795" t="b">
        <v>0</v>
      </c>
    </row>
    <row r="1796" spans="1:20">
      <c r="A1796" t="s">
        <v>64</v>
      </c>
      <c r="B1796">
        <v>83</v>
      </c>
      <c r="C1796">
        <v>415</v>
      </c>
      <c r="D1796" t="s">
        <v>62</v>
      </c>
      <c r="E1796" t="s">
        <v>63</v>
      </c>
      <c r="F1796">
        <v>25</v>
      </c>
      <c r="G1796">
        <v>191.3</v>
      </c>
      <c r="H1796">
        <v>95</v>
      </c>
      <c r="I1796">
        <v>32.52</v>
      </c>
      <c r="J1796">
        <v>250.7</v>
      </c>
      <c r="K1796">
        <v>136</v>
      </c>
      <c r="L1796">
        <v>21.31</v>
      </c>
      <c r="M1796">
        <v>249.4</v>
      </c>
      <c r="N1796">
        <v>86</v>
      </c>
      <c r="O1796">
        <v>11.22</v>
      </c>
      <c r="P1796">
        <v>17.6</v>
      </c>
      <c r="Q1796">
        <v>5</v>
      </c>
      <c r="R1796">
        <v>4.75</v>
      </c>
      <c r="S1796">
        <v>2</v>
      </c>
      <c r="T1796" t="b">
        <v>0</v>
      </c>
    </row>
    <row r="1797" spans="1:20">
      <c r="A1797" t="s">
        <v>100</v>
      </c>
      <c r="B1797">
        <v>109</v>
      </c>
      <c r="C1797">
        <v>510</v>
      </c>
      <c r="D1797" t="s">
        <v>63</v>
      </c>
      <c r="E1797" t="s">
        <v>62</v>
      </c>
      <c r="F1797">
        <v>0</v>
      </c>
      <c r="G1797">
        <v>209.1</v>
      </c>
      <c r="H1797">
        <v>141</v>
      </c>
      <c r="I1797">
        <v>35.55</v>
      </c>
      <c r="J1797">
        <v>205</v>
      </c>
      <c r="K1797">
        <v>93</v>
      </c>
      <c r="L1797">
        <v>17.43</v>
      </c>
      <c r="M1797">
        <v>119.4</v>
      </c>
      <c r="N1797">
        <v>111</v>
      </c>
      <c r="O1797">
        <v>5.37</v>
      </c>
      <c r="P1797">
        <v>7.8</v>
      </c>
      <c r="Q1797">
        <v>3</v>
      </c>
      <c r="R1797">
        <v>2.11</v>
      </c>
      <c r="S1797">
        <v>2</v>
      </c>
      <c r="T1797" t="b">
        <v>0</v>
      </c>
    </row>
    <row r="1798" spans="1:20">
      <c r="A1798" t="s">
        <v>107</v>
      </c>
      <c r="B1798">
        <v>66</v>
      </c>
      <c r="C1798">
        <v>510</v>
      </c>
      <c r="D1798" t="s">
        <v>62</v>
      </c>
      <c r="E1798" t="s">
        <v>63</v>
      </c>
      <c r="F1798">
        <v>33</v>
      </c>
      <c r="G1798">
        <v>88.8</v>
      </c>
      <c r="H1798">
        <v>104</v>
      </c>
      <c r="I1798">
        <v>15.1</v>
      </c>
      <c r="J1798">
        <v>109.6</v>
      </c>
      <c r="K1798">
        <v>94</v>
      </c>
      <c r="L1798">
        <v>9.32</v>
      </c>
      <c r="M1798">
        <v>172.7</v>
      </c>
      <c r="N1798">
        <v>107</v>
      </c>
      <c r="O1798">
        <v>7.77</v>
      </c>
      <c r="P1798">
        <v>7.1</v>
      </c>
      <c r="Q1798">
        <v>9</v>
      </c>
      <c r="R1798">
        <v>1.92</v>
      </c>
      <c r="S1798">
        <v>3</v>
      </c>
      <c r="T1798" t="b">
        <v>0</v>
      </c>
    </row>
    <row r="1799" spans="1:20">
      <c r="A1799" t="s">
        <v>101</v>
      </c>
      <c r="B1799">
        <v>89</v>
      </c>
      <c r="C1799">
        <v>510</v>
      </c>
      <c r="D1799" t="s">
        <v>62</v>
      </c>
      <c r="E1799" t="s">
        <v>62</v>
      </c>
      <c r="F1799">
        <v>0</v>
      </c>
      <c r="G1799">
        <v>137.9</v>
      </c>
      <c r="H1799">
        <v>96</v>
      </c>
      <c r="I1799">
        <v>23.44</v>
      </c>
      <c r="J1799">
        <v>192.6</v>
      </c>
      <c r="K1799">
        <v>63</v>
      </c>
      <c r="L1799">
        <v>16.37</v>
      </c>
      <c r="M1799">
        <v>255.7</v>
      </c>
      <c r="N1799">
        <v>125</v>
      </c>
      <c r="O1799">
        <v>11.51</v>
      </c>
      <c r="P1799">
        <v>11</v>
      </c>
      <c r="Q1799">
        <v>5</v>
      </c>
      <c r="R1799">
        <v>2.97</v>
      </c>
      <c r="S1799">
        <v>1</v>
      </c>
      <c r="T1799" t="b">
        <v>0</v>
      </c>
    </row>
    <row r="1800" spans="1:20">
      <c r="A1800" t="s">
        <v>73</v>
      </c>
      <c r="B1800">
        <v>117</v>
      </c>
      <c r="C1800">
        <v>408</v>
      </c>
      <c r="D1800" t="s">
        <v>62</v>
      </c>
      <c r="E1800" t="s">
        <v>63</v>
      </c>
      <c r="F1800">
        <v>13</v>
      </c>
      <c r="G1800">
        <v>207.6</v>
      </c>
      <c r="H1800">
        <v>65</v>
      </c>
      <c r="I1800">
        <v>35.29</v>
      </c>
      <c r="J1800">
        <v>152.7</v>
      </c>
      <c r="K1800">
        <v>77</v>
      </c>
      <c r="L1800">
        <v>12.98</v>
      </c>
      <c r="M1800">
        <v>232.8</v>
      </c>
      <c r="N1800">
        <v>95</v>
      </c>
      <c r="O1800">
        <v>10.48</v>
      </c>
      <c r="P1800">
        <v>9.7</v>
      </c>
      <c r="Q1800">
        <v>3</v>
      </c>
      <c r="R1800">
        <v>2.62</v>
      </c>
      <c r="S1800">
        <v>1</v>
      </c>
      <c r="T1800" t="b">
        <v>0</v>
      </c>
    </row>
    <row r="1801" spans="1:20">
      <c r="A1801" t="s">
        <v>61</v>
      </c>
      <c r="B1801">
        <v>128</v>
      </c>
      <c r="C1801">
        <v>510</v>
      </c>
      <c r="D1801" t="s">
        <v>62</v>
      </c>
      <c r="E1801" t="s">
        <v>62</v>
      </c>
      <c r="F1801">
        <v>0</v>
      </c>
      <c r="G1801">
        <v>268.1</v>
      </c>
      <c r="H1801">
        <v>95</v>
      </c>
      <c r="I1801">
        <v>45.58</v>
      </c>
      <c r="J1801">
        <v>120.5</v>
      </c>
      <c r="K1801">
        <v>126</v>
      </c>
      <c r="L1801">
        <v>10.24</v>
      </c>
      <c r="M1801">
        <v>220.8</v>
      </c>
      <c r="N1801">
        <v>121</v>
      </c>
      <c r="O1801">
        <v>9.94</v>
      </c>
      <c r="P1801">
        <v>14.4</v>
      </c>
      <c r="Q1801">
        <v>6</v>
      </c>
      <c r="R1801">
        <v>3.89</v>
      </c>
      <c r="S1801">
        <v>2</v>
      </c>
      <c r="T1801" t="b">
        <v>0</v>
      </c>
    </row>
    <row r="1802" spans="1:20">
      <c r="A1802" t="s">
        <v>104</v>
      </c>
      <c r="B1802">
        <v>88</v>
      </c>
      <c r="C1802">
        <v>415</v>
      </c>
      <c r="D1802" t="s">
        <v>62</v>
      </c>
      <c r="E1802" t="s">
        <v>62</v>
      </c>
      <c r="F1802">
        <v>0</v>
      </c>
      <c r="G1802">
        <v>166.7</v>
      </c>
      <c r="H1802">
        <v>61</v>
      </c>
      <c r="I1802">
        <v>28.34</v>
      </c>
      <c r="J1802">
        <v>179.3</v>
      </c>
      <c r="K1802">
        <v>88</v>
      </c>
      <c r="L1802">
        <v>15.24</v>
      </c>
      <c r="M1802">
        <v>242.7</v>
      </c>
      <c r="N1802">
        <v>131</v>
      </c>
      <c r="O1802">
        <v>10.92</v>
      </c>
      <c r="P1802">
        <v>6.8</v>
      </c>
      <c r="Q1802">
        <v>7</v>
      </c>
      <c r="R1802">
        <v>1.84</v>
      </c>
      <c r="S1802">
        <v>4</v>
      </c>
      <c r="T1802" t="b">
        <v>1</v>
      </c>
    </row>
    <row r="1803" spans="1:20">
      <c r="A1803" t="s">
        <v>81</v>
      </c>
      <c r="B1803">
        <v>22</v>
      </c>
      <c r="C1803">
        <v>415</v>
      </c>
      <c r="D1803" t="s">
        <v>62</v>
      </c>
      <c r="E1803" t="s">
        <v>62</v>
      </c>
      <c r="F1803">
        <v>0</v>
      </c>
      <c r="G1803">
        <v>181.8</v>
      </c>
      <c r="H1803">
        <v>108</v>
      </c>
      <c r="I1803">
        <v>30.91</v>
      </c>
      <c r="J1803">
        <v>198.6</v>
      </c>
      <c r="K1803">
        <v>148</v>
      </c>
      <c r="L1803">
        <v>16.88</v>
      </c>
      <c r="M1803">
        <v>206.6</v>
      </c>
      <c r="N1803">
        <v>96</v>
      </c>
      <c r="O1803">
        <v>9.3</v>
      </c>
      <c r="P1803">
        <v>9.3</v>
      </c>
      <c r="Q1803">
        <v>3</v>
      </c>
      <c r="R1803">
        <v>2.51</v>
      </c>
      <c r="S1803">
        <v>2</v>
      </c>
      <c r="T1803" t="b">
        <v>0</v>
      </c>
    </row>
    <row r="1804" spans="1:20">
      <c r="A1804" t="s">
        <v>85</v>
      </c>
      <c r="B1804">
        <v>78</v>
      </c>
      <c r="C1804">
        <v>415</v>
      </c>
      <c r="D1804" t="s">
        <v>62</v>
      </c>
      <c r="E1804" t="s">
        <v>62</v>
      </c>
      <c r="F1804">
        <v>0</v>
      </c>
      <c r="G1804">
        <v>147.1</v>
      </c>
      <c r="H1804">
        <v>80</v>
      </c>
      <c r="I1804">
        <v>25.01</v>
      </c>
      <c r="J1804">
        <v>199.7</v>
      </c>
      <c r="K1804">
        <v>100</v>
      </c>
      <c r="L1804">
        <v>16.97</v>
      </c>
      <c r="M1804">
        <v>160.7</v>
      </c>
      <c r="N1804">
        <v>106</v>
      </c>
      <c r="O1804">
        <v>7.23</v>
      </c>
      <c r="P1804">
        <v>13.7</v>
      </c>
      <c r="Q1804">
        <v>7</v>
      </c>
      <c r="R1804">
        <v>3.7</v>
      </c>
      <c r="S1804">
        <v>0</v>
      </c>
      <c r="T1804" t="b">
        <v>0</v>
      </c>
    </row>
    <row r="1805" spans="1:20">
      <c r="A1805" t="s">
        <v>101</v>
      </c>
      <c r="B1805">
        <v>56</v>
      </c>
      <c r="C1805">
        <v>415</v>
      </c>
      <c r="D1805" t="s">
        <v>62</v>
      </c>
      <c r="E1805" t="s">
        <v>63</v>
      </c>
      <c r="F1805">
        <v>29</v>
      </c>
      <c r="G1805">
        <v>37.7</v>
      </c>
      <c r="H1805">
        <v>115</v>
      </c>
      <c r="I1805">
        <v>6.41</v>
      </c>
      <c r="J1805">
        <v>144.1</v>
      </c>
      <c r="K1805">
        <v>111</v>
      </c>
      <c r="L1805">
        <v>12.25</v>
      </c>
      <c r="M1805">
        <v>226.6</v>
      </c>
      <c r="N1805">
        <v>101</v>
      </c>
      <c r="O1805">
        <v>10.2</v>
      </c>
      <c r="P1805">
        <v>4.9</v>
      </c>
      <c r="Q1805">
        <v>3</v>
      </c>
      <c r="R1805">
        <v>1.32</v>
      </c>
      <c r="S1805">
        <v>1</v>
      </c>
      <c r="T1805" t="b">
        <v>0</v>
      </c>
    </row>
    <row r="1806" spans="1:20">
      <c r="A1806" t="s">
        <v>82</v>
      </c>
      <c r="B1806">
        <v>192</v>
      </c>
      <c r="C1806">
        <v>415</v>
      </c>
      <c r="D1806" t="s">
        <v>62</v>
      </c>
      <c r="E1806" t="s">
        <v>62</v>
      </c>
      <c r="F1806">
        <v>0</v>
      </c>
      <c r="G1806">
        <v>185</v>
      </c>
      <c r="H1806">
        <v>88</v>
      </c>
      <c r="I1806">
        <v>31.45</v>
      </c>
      <c r="J1806">
        <v>224.9</v>
      </c>
      <c r="K1806">
        <v>98</v>
      </c>
      <c r="L1806">
        <v>19.12</v>
      </c>
      <c r="M1806">
        <v>212.4</v>
      </c>
      <c r="N1806">
        <v>105</v>
      </c>
      <c r="O1806">
        <v>9.56</v>
      </c>
      <c r="P1806">
        <v>11.4</v>
      </c>
      <c r="Q1806">
        <v>3</v>
      </c>
      <c r="R1806">
        <v>3.08</v>
      </c>
      <c r="S1806">
        <v>2</v>
      </c>
      <c r="T1806" t="b">
        <v>0</v>
      </c>
    </row>
    <row r="1807" spans="1:20">
      <c r="A1807" t="s">
        <v>93</v>
      </c>
      <c r="B1807">
        <v>70</v>
      </c>
      <c r="C1807">
        <v>415</v>
      </c>
      <c r="D1807" t="s">
        <v>62</v>
      </c>
      <c r="E1807" t="s">
        <v>62</v>
      </c>
      <c r="F1807">
        <v>0</v>
      </c>
      <c r="G1807">
        <v>156.4</v>
      </c>
      <c r="H1807">
        <v>108</v>
      </c>
      <c r="I1807">
        <v>26.59</v>
      </c>
      <c r="J1807">
        <v>171</v>
      </c>
      <c r="K1807">
        <v>116</v>
      </c>
      <c r="L1807">
        <v>14.54</v>
      </c>
      <c r="M1807">
        <v>196.1</v>
      </c>
      <c r="N1807">
        <v>96</v>
      </c>
      <c r="O1807">
        <v>8.82</v>
      </c>
      <c r="P1807">
        <v>8.6</v>
      </c>
      <c r="Q1807">
        <v>4</v>
      </c>
      <c r="R1807">
        <v>2.32</v>
      </c>
      <c r="S1807">
        <v>2</v>
      </c>
      <c r="T1807" t="b">
        <v>0</v>
      </c>
    </row>
    <row r="1808" spans="1:20">
      <c r="A1808" t="s">
        <v>61</v>
      </c>
      <c r="B1808">
        <v>148</v>
      </c>
      <c r="C1808">
        <v>510</v>
      </c>
      <c r="D1808" t="s">
        <v>62</v>
      </c>
      <c r="E1808" t="s">
        <v>62</v>
      </c>
      <c r="F1808">
        <v>0</v>
      </c>
      <c r="G1808">
        <v>239.3</v>
      </c>
      <c r="H1808">
        <v>84</v>
      </c>
      <c r="I1808">
        <v>40.68</v>
      </c>
      <c r="J1808">
        <v>195.7</v>
      </c>
      <c r="K1808">
        <v>85</v>
      </c>
      <c r="L1808">
        <v>16.63</v>
      </c>
      <c r="M1808">
        <v>232.6</v>
      </c>
      <c r="N1808">
        <v>104</v>
      </c>
      <c r="O1808">
        <v>10.47</v>
      </c>
      <c r="P1808">
        <v>10.9</v>
      </c>
      <c r="Q1808">
        <v>3</v>
      </c>
      <c r="R1808">
        <v>2.94</v>
      </c>
      <c r="S1808">
        <v>1</v>
      </c>
      <c r="T1808" t="b">
        <v>0</v>
      </c>
    </row>
    <row r="1809" spans="1:20">
      <c r="A1809" t="s">
        <v>76</v>
      </c>
      <c r="B1809">
        <v>119</v>
      </c>
      <c r="C1809">
        <v>510</v>
      </c>
      <c r="D1809" t="s">
        <v>62</v>
      </c>
      <c r="E1809" t="s">
        <v>62</v>
      </c>
      <c r="F1809">
        <v>0</v>
      </c>
      <c r="G1809">
        <v>134.9</v>
      </c>
      <c r="H1809">
        <v>70</v>
      </c>
      <c r="I1809">
        <v>22.93</v>
      </c>
      <c r="J1809">
        <v>211.5</v>
      </c>
      <c r="K1809">
        <v>74</v>
      </c>
      <c r="L1809">
        <v>17.98</v>
      </c>
      <c r="M1809">
        <v>188.5</v>
      </c>
      <c r="N1809">
        <v>105</v>
      </c>
      <c r="O1809">
        <v>8.48</v>
      </c>
      <c r="P1809">
        <v>11.3</v>
      </c>
      <c r="Q1809">
        <v>6</v>
      </c>
      <c r="R1809">
        <v>3.05</v>
      </c>
      <c r="S1809">
        <v>1</v>
      </c>
      <c r="T1809" t="b">
        <v>0</v>
      </c>
    </row>
    <row r="1810" spans="1:20">
      <c r="A1810" t="s">
        <v>82</v>
      </c>
      <c r="B1810">
        <v>80</v>
      </c>
      <c r="C1810">
        <v>415</v>
      </c>
      <c r="D1810" t="s">
        <v>62</v>
      </c>
      <c r="E1810" t="s">
        <v>62</v>
      </c>
      <c r="F1810">
        <v>0</v>
      </c>
      <c r="G1810">
        <v>194.8</v>
      </c>
      <c r="H1810">
        <v>116</v>
      </c>
      <c r="I1810">
        <v>33.12</v>
      </c>
      <c r="J1810">
        <v>209.9</v>
      </c>
      <c r="K1810">
        <v>93</v>
      </c>
      <c r="L1810">
        <v>17.84</v>
      </c>
      <c r="M1810">
        <v>194.1</v>
      </c>
      <c r="N1810">
        <v>100</v>
      </c>
      <c r="O1810">
        <v>8.73</v>
      </c>
      <c r="P1810">
        <v>12.8</v>
      </c>
      <c r="Q1810">
        <v>3</v>
      </c>
      <c r="R1810">
        <v>3.46</v>
      </c>
      <c r="S1810">
        <v>0</v>
      </c>
      <c r="T1810" t="b">
        <v>0</v>
      </c>
    </row>
    <row r="1811" spans="1:20">
      <c r="A1811" t="s">
        <v>81</v>
      </c>
      <c r="B1811">
        <v>113</v>
      </c>
      <c r="C1811">
        <v>510</v>
      </c>
      <c r="D1811" t="s">
        <v>62</v>
      </c>
      <c r="E1811" t="s">
        <v>62</v>
      </c>
      <c r="F1811">
        <v>0</v>
      </c>
      <c r="G1811">
        <v>92.6</v>
      </c>
      <c r="H1811">
        <v>85</v>
      </c>
      <c r="I1811">
        <v>15.74</v>
      </c>
      <c r="J1811">
        <v>177.6</v>
      </c>
      <c r="K1811">
        <v>92</v>
      </c>
      <c r="L1811">
        <v>15.1</v>
      </c>
      <c r="M1811">
        <v>159.8</v>
      </c>
      <c r="N1811">
        <v>72</v>
      </c>
      <c r="O1811">
        <v>7.19</v>
      </c>
      <c r="P1811">
        <v>14.4</v>
      </c>
      <c r="Q1811">
        <v>4</v>
      </c>
      <c r="R1811">
        <v>3.89</v>
      </c>
      <c r="S1811">
        <v>3</v>
      </c>
      <c r="T1811" t="b">
        <v>0</v>
      </c>
    </row>
    <row r="1812" spans="1:20">
      <c r="A1812" t="s">
        <v>78</v>
      </c>
      <c r="B1812">
        <v>75</v>
      </c>
      <c r="C1812">
        <v>510</v>
      </c>
      <c r="D1812" t="s">
        <v>62</v>
      </c>
      <c r="E1812" t="s">
        <v>62</v>
      </c>
      <c r="F1812">
        <v>0</v>
      </c>
      <c r="G1812">
        <v>209.4</v>
      </c>
      <c r="H1812">
        <v>133</v>
      </c>
      <c r="I1812">
        <v>35.6</v>
      </c>
      <c r="J1812">
        <v>211.5</v>
      </c>
      <c r="K1812">
        <v>121</v>
      </c>
      <c r="L1812">
        <v>17.98</v>
      </c>
      <c r="M1812">
        <v>291.2</v>
      </c>
      <c r="N1812">
        <v>123</v>
      </c>
      <c r="O1812">
        <v>13.1</v>
      </c>
      <c r="P1812">
        <v>7.2</v>
      </c>
      <c r="Q1812">
        <v>4</v>
      </c>
      <c r="R1812">
        <v>1.94</v>
      </c>
      <c r="S1812">
        <v>1</v>
      </c>
      <c r="T1812" t="b">
        <v>0</v>
      </c>
    </row>
    <row r="1813" spans="1:20">
      <c r="A1813" t="s">
        <v>64</v>
      </c>
      <c r="B1813">
        <v>80</v>
      </c>
      <c r="C1813">
        <v>415</v>
      </c>
      <c r="D1813" t="s">
        <v>62</v>
      </c>
      <c r="E1813" t="s">
        <v>62</v>
      </c>
      <c r="F1813">
        <v>0</v>
      </c>
      <c r="G1813">
        <v>197.6</v>
      </c>
      <c r="H1813">
        <v>83</v>
      </c>
      <c r="I1813">
        <v>33.59</v>
      </c>
      <c r="J1813">
        <v>164.5</v>
      </c>
      <c r="K1813">
        <v>86</v>
      </c>
      <c r="L1813">
        <v>13.98</v>
      </c>
      <c r="M1813">
        <v>94</v>
      </c>
      <c r="N1813">
        <v>98</v>
      </c>
      <c r="O1813">
        <v>4.23</v>
      </c>
      <c r="P1813">
        <v>6.4</v>
      </c>
      <c r="Q1813">
        <v>6</v>
      </c>
      <c r="R1813">
        <v>1.73</v>
      </c>
      <c r="S1813">
        <v>1</v>
      </c>
      <c r="T1813" t="b">
        <v>0</v>
      </c>
    </row>
    <row r="1814" spans="1:20">
      <c r="A1814" t="s">
        <v>87</v>
      </c>
      <c r="B1814">
        <v>148</v>
      </c>
      <c r="C1814">
        <v>408</v>
      </c>
      <c r="D1814" t="s">
        <v>62</v>
      </c>
      <c r="E1814" t="s">
        <v>62</v>
      </c>
      <c r="F1814">
        <v>0</v>
      </c>
      <c r="G1814">
        <v>17.6</v>
      </c>
      <c r="H1814">
        <v>121</v>
      </c>
      <c r="I1814">
        <v>2.99</v>
      </c>
      <c r="J1814">
        <v>161.7</v>
      </c>
      <c r="K1814">
        <v>125</v>
      </c>
      <c r="L1814">
        <v>13.74</v>
      </c>
      <c r="M1814">
        <v>203.1</v>
      </c>
      <c r="N1814">
        <v>82</v>
      </c>
      <c r="O1814">
        <v>9.14</v>
      </c>
      <c r="P1814">
        <v>10.6</v>
      </c>
      <c r="Q1814">
        <v>6</v>
      </c>
      <c r="R1814">
        <v>2.86</v>
      </c>
      <c r="S1814">
        <v>1</v>
      </c>
      <c r="T1814" t="b">
        <v>0</v>
      </c>
    </row>
    <row r="1815" spans="1:20">
      <c r="A1815" t="s">
        <v>81</v>
      </c>
      <c r="B1815">
        <v>97</v>
      </c>
      <c r="C1815">
        <v>415</v>
      </c>
      <c r="D1815" t="s">
        <v>62</v>
      </c>
      <c r="E1815" t="s">
        <v>63</v>
      </c>
      <c r="F1815">
        <v>28</v>
      </c>
      <c r="G1815">
        <v>202.3</v>
      </c>
      <c r="H1815">
        <v>97</v>
      </c>
      <c r="I1815">
        <v>34.39</v>
      </c>
      <c r="J1815">
        <v>69.2</v>
      </c>
      <c r="K1815">
        <v>84</v>
      </c>
      <c r="L1815">
        <v>5.88</v>
      </c>
      <c r="M1815">
        <v>257.6</v>
      </c>
      <c r="N1815">
        <v>64</v>
      </c>
      <c r="O1815">
        <v>11.59</v>
      </c>
      <c r="P1815">
        <v>6.7</v>
      </c>
      <c r="Q1815">
        <v>3</v>
      </c>
      <c r="R1815">
        <v>1.81</v>
      </c>
      <c r="S1815">
        <v>1</v>
      </c>
      <c r="T1815" t="b">
        <v>0</v>
      </c>
    </row>
    <row r="1816" spans="1:20">
      <c r="A1816" t="s">
        <v>91</v>
      </c>
      <c r="B1816">
        <v>166</v>
      </c>
      <c r="C1816">
        <v>415</v>
      </c>
      <c r="D1816" t="s">
        <v>62</v>
      </c>
      <c r="E1816" t="s">
        <v>62</v>
      </c>
      <c r="F1816">
        <v>0</v>
      </c>
      <c r="G1816">
        <v>136.1</v>
      </c>
      <c r="H1816">
        <v>116</v>
      </c>
      <c r="I1816">
        <v>23.14</v>
      </c>
      <c r="J1816">
        <v>181.4</v>
      </c>
      <c r="K1816">
        <v>93</v>
      </c>
      <c r="L1816">
        <v>15.42</v>
      </c>
      <c r="M1816">
        <v>131.4</v>
      </c>
      <c r="N1816">
        <v>108</v>
      </c>
      <c r="O1816">
        <v>5.91</v>
      </c>
      <c r="P1816">
        <v>11.3</v>
      </c>
      <c r="Q1816">
        <v>4</v>
      </c>
      <c r="R1816">
        <v>3.05</v>
      </c>
      <c r="S1816">
        <v>0</v>
      </c>
      <c r="T1816" t="b">
        <v>0</v>
      </c>
    </row>
    <row r="1817" spans="1:20">
      <c r="A1817" t="s">
        <v>85</v>
      </c>
      <c r="B1817">
        <v>94</v>
      </c>
      <c r="C1817">
        <v>408</v>
      </c>
      <c r="D1817" t="s">
        <v>62</v>
      </c>
      <c r="E1817" t="s">
        <v>62</v>
      </c>
      <c r="F1817">
        <v>0</v>
      </c>
      <c r="G1817">
        <v>207</v>
      </c>
      <c r="H1817">
        <v>109</v>
      </c>
      <c r="I1817">
        <v>35.19</v>
      </c>
      <c r="J1817">
        <v>167.4</v>
      </c>
      <c r="K1817">
        <v>80</v>
      </c>
      <c r="L1817">
        <v>14.23</v>
      </c>
      <c r="M1817">
        <v>238.2</v>
      </c>
      <c r="N1817">
        <v>117</v>
      </c>
      <c r="O1817">
        <v>10.72</v>
      </c>
      <c r="P1817">
        <v>2.6</v>
      </c>
      <c r="Q1817">
        <v>6</v>
      </c>
      <c r="R1817">
        <v>0.7</v>
      </c>
      <c r="S1817">
        <v>1</v>
      </c>
      <c r="T1817" t="b">
        <v>0</v>
      </c>
    </row>
    <row r="1818" spans="1:20">
      <c r="A1818" t="s">
        <v>81</v>
      </c>
      <c r="B1818">
        <v>85</v>
      </c>
      <c r="C1818">
        <v>408</v>
      </c>
      <c r="D1818" t="s">
        <v>62</v>
      </c>
      <c r="E1818" t="s">
        <v>63</v>
      </c>
      <c r="F1818">
        <v>33</v>
      </c>
      <c r="G1818">
        <v>207.9</v>
      </c>
      <c r="H1818">
        <v>95</v>
      </c>
      <c r="I1818">
        <v>35.34</v>
      </c>
      <c r="J1818">
        <v>233.5</v>
      </c>
      <c r="K1818">
        <v>88</v>
      </c>
      <c r="L1818">
        <v>19.85</v>
      </c>
      <c r="M1818">
        <v>221.3</v>
      </c>
      <c r="N1818">
        <v>92</v>
      </c>
      <c r="O1818">
        <v>9.96</v>
      </c>
      <c r="P1818">
        <v>13.5</v>
      </c>
      <c r="Q1818">
        <v>3</v>
      </c>
      <c r="R1818">
        <v>3.65</v>
      </c>
      <c r="S1818">
        <v>1</v>
      </c>
      <c r="T1818" t="b">
        <v>0</v>
      </c>
    </row>
    <row r="1819" spans="1:20">
      <c r="A1819" t="s">
        <v>112</v>
      </c>
      <c r="B1819">
        <v>80</v>
      </c>
      <c r="C1819">
        <v>415</v>
      </c>
      <c r="D1819" t="s">
        <v>63</v>
      </c>
      <c r="E1819" t="s">
        <v>62</v>
      </c>
      <c r="F1819">
        <v>0</v>
      </c>
      <c r="G1819">
        <v>276.5</v>
      </c>
      <c r="H1819">
        <v>122</v>
      </c>
      <c r="I1819">
        <v>47.01</v>
      </c>
      <c r="J1819">
        <v>195.6</v>
      </c>
      <c r="K1819">
        <v>79</v>
      </c>
      <c r="L1819">
        <v>16.63</v>
      </c>
      <c r="M1819">
        <v>210.3</v>
      </c>
      <c r="N1819">
        <v>78</v>
      </c>
      <c r="O1819">
        <v>9.46</v>
      </c>
      <c r="P1819">
        <v>7.2</v>
      </c>
      <c r="Q1819">
        <v>3</v>
      </c>
      <c r="R1819">
        <v>1.94</v>
      </c>
      <c r="S1819">
        <v>1</v>
      </c>
      <c r="T1819" t="b">
        <v>1</v>
      </c>
    </row>
    <row r="1820" spans="1:20">
      <c r="A1820" t="s">
        <v>100</v>
      </c>
      <c r="B1820">
        <v>210</v>
      </c>
      <c r="C1820">
        <v>415</v>
      </c>
      <c r="D1820" t="s">
        <v>62</v>
      </c>
      <c r="E1820" t="s">
        <v>63</v>
      </c>
      <c r="F1820">
        <v>31</v>
      </c>
      <c r="G1820">
        <v>313.8</v>
      </c>
      <c r="H1820">
        <v>87</v>
      </c>
      <c r="I1820">
        <v>53.35</v>
      </c>
      <c r="J1820">
        <v>147.7</v>
      </c>
      <c r="K1820">
        <v>103</v>
      </c>
      <c r="L1820">
        <v>12.55</v>
      </c>
      <c r="M1820">
        <v>192.7</v>
      </c>
      <c r="N1820">
        <v>97</v>
      </c>
      <c r="O1820">
        <v>8.67</v>
      </c>
      <c r="P1820">
        <v>10.1</v>
      </c>
      <c r="Q1820">
        <v>7</v>
      </c>
      <c r="R1820">
        <v>2.73</v>
      </c>
      <c r="S1820">
        <v>3</v>
      </c>
      <c r="T1820" t="b">
        <v>0</v>
      </c>
    </row>
    <row r="1821" spans="1:20">
      <c r="A1821" t="s">
        <v>96</v>
      </c>
      <c r="B1821">
        <v>88</v>
      </c>
      <c r="C1821">
        <v>415</v>
      </c>
      <c r="D1821" t="s">
        <v>63</v>
      </c>
      <c r="E1821" t="s">
        <v>63</v>
      </c>
      <c r="F1821">
        <v>25</v>
      </c>
      <c r="G1821">
        <v>288.5</v>
      </c>
      <c r="H1821">
        <v>114</v>
      </c>
      <c r="I1821">
        <v>49.05</v>
      </c>
      <c r="J1821">
        <v>203.4</v>
      </c>
      <c r="K1821">
        <v>74</v>
      </c>
      <c r="L1821">
        <v>17.29</v>
      </c>
      <c r="M1821">
        <v>228.4</v>
      </c>
      <c r="N1821">
        <v>117</v>
      </c>
      <c r="O1821">
        <v>10.28</v>
      </c>
      <c r="P1821">
        <v>13</v>
      </c>
      <c r="Q1821">
        <v>5</v>
      </c>
      <c r="R1821">
        <v>3.51</v>
      </c>
      <c r="S1821">
        <v>1</v>
      </c>
      <c r="T1821" t="b">
        <v>0</v>
      </c>
    </row>
    <row r="1822" spans="1:20">
      <c r="A1822" t="s">
        <v>71</v>
      </c>
      <c r="B1822">
        <v>154</v>
      </c>
      <c r="C1822">
        <v>408</v>
      </c>
      <c r="D1822" t="s">
        <v>62</v>
      </c>
      <c r="E1822" t="s">
        <v>63</v>
      </c>
      <c r="F1822">
        <v>35</v>
      </c>
      <c r="G1822">
        <v>64.9</v>
      </c>
      <c r="H1822">
        <v>76</v>
      </c>
      <c r="I1822">
        <v>11.03</v>
      </c>
      <c r="J1822">
        <v>184.1</v>
      </c>
      <c r="K1822">
        <v>91</v>
      </c>
      <c r="L1822">
        <v>15.65</v>
      </c>
      <c r="M1822">
        <v>151.6</v>
      </c>
      <c r="N1822">
        <v>75</v>
      </c>
      <c r="O1822">
        <v>6.82</v>
      </c>
      <c r="P1822">
        <v>14.6</v>
      </c>
      <c r="Q1822">
        <v>1</v>
      </c>
      <c r="R1822">
        <v>3.94</v>
      </c>
      <c r="S1822">
        <v>1</v>
      </c>
      <c r="T1822" t="b">
        <v>0</v>
      </c>
    </row>
    <row r="1823" spans="1:20">
      <c r="A1823" t="s">
        <v>97</v>
      </c>
      <c r="B1823">
        <v>32</v>
      </c>
      <c r="C1823">
        <v>510</v>
      </c>
      <c r="D1823" t="s">
        <v>62</v>
      </c>
      <c r="E1823" t="s">
        <v>63</v>
      </c>
      <c r="F1823">
        <v>26</v>
      </c>
      <c r="G1823">
        <v>243.5</v>
      </c>
      <c r="H1823">
        <v>137</v>
      </c>
      <c r="I1823">
        <v>41.4</v>
      </c>
      <c r="J1823">
        <v>236.8</v>
      </c>
      <c r="K1823">
        <v>108</v>
      </c>
      <c r="L1823">
        <v>20.13</v>
      </c>
      <c r="M1823">
        <v>173.3</v>
      </c>
      <c r="N1823">
        <v>149</v>
      </c>
      <c r="O1823">
        <v>7.8</v>
      </c>
      <c r="P1823">
        <v>9</v>
      </c>
      <c r="Q1823">
        <v>9</v>
      </c>
      <c r="R1823">
        <v>2.43</v>
      </c>
      <c r="S1823">
        <v>1</v>
      </c>
      <c r="T1823" t="b">
        <v>0</v>
      </c>
    </row>
    <row r="1824" spans="1:20">
      <c r="A1824" t="s">
        <v>89</v>
      </c>
      <c r="B1824">
        <v>18</v>
      </c>
      <c r="C1824">
        <v>408</v>
      </c>
      <c r="D1824" t="s">
        <v>62</v>
      </c>
      <c r="E1824" t="s">
        <v>62</v>
      </c>
      <c r="F1824">
        <v>0</v>
      </c>
      <c r="G1824">
        <v>197</v>
      </c>
      <c r="H1824">
        <v>97</v>
      </c>
      <c r="I1824">
        <v>33.49</v>
      </c>
      <c r="J1824">
        <v>203.7</v>
      </c>
      <c r="K1824">
        <v>107</v>
      </c>
      <c r="L1824">
        <v>17.31</v>
      </c>
      <c r="M1824">
        <v>202</v>
      </c>
      <c r="N1824">
        <v>105</v>
      </c>
      <c r="O1824">
        <v>9.09</v>
      </c>
      <c r="P1824">
        <v>8.7</v>
      </c>
      <c r="Q1824">
        <v>3</v>
      </c>
      <c r="R1824">
        <v>2.35</v>
      </c>
      <c r="S1824">
        <v>3</v>
      </c>
      <c r="T1824" t="b">
        <v>0</v>
      </c>
    </row>
    <row r="1825" spans="1:20">
      <c r="A1825" t="s">
        <v>90</v>
      </c>
      <c r="B1825">
        <v>126</v>
      </c>
      <c r="C1825">
        <v>415</v>
      </c>
      <c r="D1825" t="s">
        <v>62</v>
      </c>
      <c r="E1825" t="s">
        <v>63</v>
      </c>
      <c r="F1825">
        <v>31</v>
      </c>
      <c r="G1825">
        <v>278</v>
      </c>
      <c r="H1825">
        <v>88</v>
      </c>
      <c r="I1825">
        <v>47.26</v>
      </c>
      <c r="J1825">
        <v>253.2</v>
      </c>
      <c r="K1825">
        <v>65</v>
      </c>
      <c r="L1825">
        <v>21.52</v>
      </c>
      <c r="M1825">
        <v>223.2</v>
      </c>
      <c r="N1825">
        <v>114</v>
      </c>
      <c r="O1825">
        <v>10.04</v>
      </c>
      <c r="P1825">
        <v>8.7</v>
      </c>
      <c r="Q1825">
        <v>4</v>
      </c>
      <c r="R1825">
        <v>2.35</v>
      </c>
      <c r="S1825">
        <v>0</v>
      </c>
      <c r="T1825" t="b">
        <v>0</v>
      </c>
    </row>
    <row r="1826" spans="1:20">
      <c r="A1826" t="s">
        <v>97</v>
      </c>
      <c r="B1826">
        <v>144</v>
      </c>
      <c r="C1826">
        <v>510</v>
      </c>
      <c r="D1826" t="s">
        <v>62</v>
      </c>
      <c r="E1826" t="s">
        <v>63</v>
      </c>
      <c r="F1826">
        <v>37</v>
      </c>
      <c r="G1826">
        <v>219.9</v>
      </c>
      <c r="H1826">
        <v>102</v>
      </c>
      <c r="I1826">
        <v>37.38</v>
      </c>
      <c r="J1826">
        <v>222.1</v>
      </c>
      <c r="K1826">
        <v>77</v>
      </c>
      <c r="L1826">
        <v>18.88</v>
      </c>
      <c r="M1826">
        <v>118.5</v>
      </c>
      <c r="N1826">
        <v>111</v>
      </c>
      <c r="O1826">
        <v>5.33</v>
      </c>
      <c r="P1826">
        <v>10</v>
      </c>
      <c r="Q1826">
        <v>4</v>
      </c>
      <c r="R1826">
        <v>2.7</v>
      </c>
      <c r="S1826">
        <v>1</v>
      </c>
      <c r="T1826" t="b">
        <v>0</v>
      </c>
    </row>
    <row r="1827" spans="1:20">
      <c r="A1827" t="s">
        <v>92</v>
      </c>
      <c r="B1827">
        <v>86</v>
      </c>
      <c r="C1827">
        <v>408</v>
      </c>
      <c r="D1827" t="s">
        <v>62</v>
      </c>
      <c r="E1827" t="s">
        <v>63</v>
      </c>
      <c r="F1827">
        <v>16</v>
      </c>
      <c r="G1827">
        <v>145.7</v>
      </c>
      <c r="H1827">
        <v>88</v>
      </c>
      <c r="I1827">
        <v>24.77</v>
      </c>
      <c r="J1827">
        <v>191</v>
      </c>
      <c r="K1827">
        <v>129</v>
      </c>
      <c r="L1827">
        <v>16.24</v>
      </c>
      <c r="M1827">
        <v>215.5</v>
      </c>
      <c r="N1827">
        <v>82</v>
      </c>
      <c r="O1827">
        <v>9.7</v>
      </c>
      <c r="P1827">
        <v>11.3</v>
      </c>
      <c r="Q1827">
        <v>7</v>
      </c>
      <c r="R1827">
        <v>3.05</v>
      </c>
      <c r="S1827">
        <v>0</v>
      </c>
      <c r="T1827" t="b">
        <v>0</v>
      </c>
    </row>
    <row r="1828" spans="1:20">
      <c r="A1828" t="s">
        <v>90</v>
      </c>
      <c r="B1828">
        <v>138</v>
      </c>
      <c r="C1828">
        <v>415</v>
      </c>
      <c r="D1828" t="s">
        <v>62</v>
      </c>
      <c r="E1828" t="s">
        <v>63</v>
      </c>
      <c r="F1828">
        <v>37</v>
      </c>
      <c r="G1828">
        <v>75.8</v>
      </c>
      <c r="H1828">
        <v>102</v>
      </c>
      <c r="I1828">
        <v>12.89</v>
      </c>
      <c r="J1828">
        <v>173.6</v>
      </c>
      <c r="K1828">
        <v>147</v>
      </c>
      <c r="L1828">
        <v>14.76</v>
      </c>
      <c r="M1828">
        <v>162.6</v>
      </c>
      <c r="N1828">
        <v>96</v>
      </c>
      <c r="O1828">
        <v>7.32</v>
      </c>
      <c r="P1828">
        <v>8.2</v>
      </c>
      <c r="Q1828">
        <v>13</v>
      </c>
      <c r="R1828">
        <v>2.21</v>
      </c>
      <c r="S1828">
        <v>0</v>
      </c>
      <c r="T1828" t="b">
        <v>0</v>
      </c>
    </row>
    <row r="1829" spans="1:20">
      <c r="A1829" t="s">
        <v>90</v>
      </c>
      <c r="B1829">
        <v>146</v>
      </c>
      <c r="C1829">
        <v>415</v>
      </c>
      <c r="D1829" t="s">
        <v>62</v>
      </c>
      <c r="E1829" t="s">
        <v>62</v>
      </c>
      <c r="F1829">
        <v>0</v>
      </c>
      <c r="G1829">
        <v>195.9</v>
      </c>
      <c r="H1829">
        <v>86</v>
      </c>
      <c r="I1829">
        <v>33.3</v>
      </c>
      <c r="J1829">
        <v>228.6</v>
      </c>
      <c r="K1829">
        <v>82</v>
      </c>
      <c r="L1829">
        <v>19.43</v>
      </c>
      <c r="M1829">
        <v>303.5</v>
      </c>
      <c r="N1829">
        <v>94</v>
      </c>
      <c r="O1829">
        <v>13.66</v>
      </c>
      <c r="P1829">
        <v>12.2</v>
      </c>
      <c r="Q1829">
        <v>4</v>
      </c>
      <c r="R1829">
        <v>3.29</v>
      </c>
      <c r="S1829">
        <v>3</v>
      </c>
      <c r="T1829" t="b">
        <v>0</v>
      </c>
    </row>
    <row r="1830" spans="1:20">
      <c r="A1830" t="s">
        <v>71</v>
      </c>
      <c r="B1830">
        <v>74</v>
      </c>
      <c r="C1830">
        <v>510</v>
      </c>
      <c r="D1830" t="s">
        <v>62</v>
      </c>
      <c r="E1830" t="s">
        <v>62</v>
      </c>
      <c r="F1830">
        <v>0</v>
      </c>
      <c r="G1830">
        <v>124</v>
      </c>
      <c r="H1830">
        <v>102</v>
      </c>
      <c r="I1830">
        <v>21.08</v>
      </c>
      <c r="J1830">
        <v>262.1</v>
      </c>
      <c r="K1830">
        <v>101</v>
      </c>
      <c r="L1830">
        <v>22.28</v>
      </c>
      <c r="M1830">
        <v>268.2</v>
      </c>
      <c r="N1830">
        <v>98</v>
      </c>
      <c r="O1830">
        <v>12.07</v>
      </c>
      <c r="P1830">
        <v>11.7</v>
      </c>
      <c r="Q1830">
        <v>2</v>
      </c>
      <c r="R1830">
        <v>3.16</v>
      </c>
      <c r="S1830">
        <v>2</v>
      </c>
      <c r="T1830" t="b">
        <v>0</v>
      </c>
    </row>
    <row r="1831" spans="1:20">
      <c r="A1831" t="s">
        <v>116</v>
      </c>
      <c r="B1831">
        <v>48</v>
      </c>
      <c r="C1831">
        <v>415</v>
      </c>
      <c r="D1831" t="s">
        <v>62</v>
      </c>
      <c r="E1831" t="s">
        <v>62</v>
      </c>
      <c r="F1831">
        <v>0</v>
      </c>
      <c r="G1831">
        <v>171.9</v>
      </c>
      <c r="H1831">
        <v>98</v>
      </c>
      <c r="I1831">
        <v>29.22</v>
      </c>
      <c r="J1831">
        <v>159</v>
      </c>
      <c r="K1831">
        <v>127</v>
      </c>
      <c r="L1831">
        <v>13.52</v>
      </c>
      <c r="M1831">
        <v>139.5</v>
      </c>
      <c r="N1831">
        <v>101</v>
      </c>
      <c r="O1831">
        <v>6.28</v>
      </c>
      <c r="P1831">
        <v>7.6</v>
      </c>
      <c r="Q1831">
        <v>3</v>
      </c>
      <c r="R1831">
        <v>2.05</v>
      </c>
      <c r="S1831">
        <v>2</v>
      </c>
      <c r="T1831" t="b">
        <v>0</v>
      </c>
    </row>
    <row r="1832" spans="1:20">
      <c r="A1832" t="s">
        <v>89</v>
      </c>
      <c r="B1832">
        <v>74</v>
      </c>
      <c r="C1832">
        <v>510</v>
      </c>
      <c r="D1832" t="s">
        <v>62</v>
      </c>
      <c r="E1832" t="s">
        <v>63</v>
      </c>
      <c r="F1832">
        <v>31</v>
      </c>
      <c r="G1832">
        <v>249.4</v>
      </c>
      <c r="H1832">
        <v>70</v>
      </c>
      <c r="I1832">
        <v>42.4</v>
      </c>
      <c r="J1832">
        <v>209.5</v>
      </c>
      <c r="K1832">
        <v>59</v>
      </c>
      <c r="L1832">
        <v>17.81</v>
      </c>
      <c r="M1832">
        <v>180.6</v>
      </c>
      <c r="N1832">
        <v>75</v>
      </c>
      <c r="O1832">
        <v>8.13</v>
      </c>
      <c r="P1832">
        <v>9.9</v>
      </c>
      <c r="Q1832">
        <v>2</v>
      </c>
      <c r="R1832">
        <v>2.67</v>
      </c>
      <c r="S1832">
        <v>4</v>
      </c>
      <c r="T1832" t="b">
        <v>0</v>
      </c>
    </row>
    <row r="1833" spans="1:20">
      <c r="A1833" t="s">
        <v>104</v>
      </c>
      <c r="B1833">
        <v>105</v>
      </c>
      <c r="C1833">
        <v>415</v>
      </c>
      <c r="D1833" t="s">
        <v>63</v>
      </c>
      <c r="E1833" t="s">
        <v>62</v>
      </c>
      <c r="F1833">
        <v>0</v>
      </c>
      <c r="G1833">
        <v>228.4</v>
      </c>
      <c r="H1833">
        <v>100</v>
      </c>
      <c r="I1833">
        <v>38.83</v>
      </c>
      <c r="J1833">
        <v>145.1</v>
      </c>
      <c r="K1833">
        <v>108</v>
      </c>
      <c r="L1833">
        <v>12.33</v>
      </c>
      <c r="M1833">
        <v>245.3</v>
      </c>
      <c r="N1833">
        <v>140</v>
      </c>
      <c r="O1833">
        <v>11.04</v>
      </c>
      <c r="P1833">
        <v>7.7</v>
      </c>
      <c r="Q1833">
        <v>7</v>
      </c>
      <c r="R1833">
        <v>2.08</v>
      </c>
      <c r="S1833">
        <v>0</v>
      </c>
      <c r="T1833" t="b">
        <v>0</v>
      </c>
    </row>
    <row r="1834" spans="1:20">
      <c r="A1834" t="s">
        <v>78</v>
      </c>
      <c r="B1834">
        <v>157</v>
      </c>
      <c r="C1834">
        <v>510</v>
      </c>
      <c r="D1834" t="s">
        <v>62</v>
      </c>
      <c r="E1834" t="s">
        <v>62</v>
      </c>
      <c r="F1834">
        <v>0</v>
      </c>
      <c r="G1834">
        <v>168.6</v>
      </c>
      <c r="H1834">
        <v>71</v>
      </c>
      <c r="I1834">
        <v>28.66</v>
      </c>
      <c r="J1834">
        <v>205.1</v>
      </c>
      <c r="K1834">
        <v>48</v>
      </c>
      <c r="L1834">
        <v>17.43</v>
      </c>
      <c r="M1834">
        <v>175.8</v>
      </c>
      <c r="N1834">
        <v>88</v>
      </c>
      <c r="O1834">
        <v>7.91</v>
      </c>
      <c r="P1834">
        <v>5.9</v>
      </c>
      <c r="Q1834">
        <v>2</v>
      </c>
      <c r="R1834">
        <v>1.59</v>
      </c>
      <c r="S1834">
        <v>3</v>
      </c>
      <c r="T1834" t="b">
        <v>0</v>
      </c>
    </row>
    <row r="1835" spans="1:20">
      <c r="A1835" t="s">
        <v>105</v>
      </c>
      <c r="B1835">
        <v>217</v>
      </c>
      <c r="C1835">
        <v>415</v>
      </c>
      <c r="D1835" t="s">
        <v>62</v>
      </c>
      <c r="E1835" t="s">
        <v>62</v>
      </c>
      <c r="F1835">
        <v>0</v>
      </c>
      <c r="G1835">
        <v>123.7</v>
      </c>
      <c r="H1835">
        <v>138</v>
      </c>
      <c r="I1835">
        <v>21.03</v>
      </c>
      <c r="J1835">
        <v>248.5</v>
      </c>
      <c r="K1835">
        <v>105</v>
      </c>
      <c r="L1835">
        <v>21.12</v>
      </c>
      <c r="M1835">
        <v>269.6</v>
      </c>
      <c r="N1835">
        <v>78</v>
      </c>
      <c r="O1835">
        <v>12.13</v>
      </c>
      <c r="P1835">
        <v>13.3</v>
      </c>
      <c r="Q1835">
        <v>4</v>
      </c>
      <c r="R1835">
        <v>3.59</v>
      </c>
      <c r="S1835">
        <v>0</v>
      </c>
      <c r="T1835" t="b">
        <v>0</v>
      </c>
    </row>
    <row r="1836" spans="1:20">
      <c r="A1836" t="s">
        <v>112</v>
      </c>
      <c r="B1836">
        <v>68</v>
      </c>
      <c r="C1836">
        <v>415</v>
      </c>
      <c r="D1836" t="s">
        <v>62</v>
      </c>
      <c r="E1836" t="s">
        <v>62</v>
      </c>
      <c r="F1836">
        <v>0</v>
      </c>
      <c r="G1836">
        <v>178.7</v>
      </c>
      <c r="H1836">
        <v>61</v>
      </c>
      <c r="I1836">
        <v>30.38</v>
      </c>
      <c r="J1836">
        <v>252.3</v>
      </c>
      <c r="K1836">
        <v>84</v>
      </c>
      <c r="L1836">
        <v>21.45</v>
      </c>
      <c r="M1836">
        <v>255.7</v>
      </c>
      <c r="N1836">
        <v>76</v>
      </c>
      <c r="O1836">
        <v>11.51</v>
      </c>
      <c r="P1836">
        <v>8.4</v>
      </c>
      <c r="Q1836">
        <v>4</v>
      </c>
      <c r="R1836">
        <v>2.27</v>
      </c>
      <c r="S1836">
        <v>1</v>
      </c>
      <c r="T1836" t="b">
        <v>0</v>
      </c>
    </row>
    <row r="1837" spans="1:20">
      <c r="A1837" t="s">
        <v>94</v>
      </c>
      <c r="B1837">
        <v>80</v>
      </c>
      <c r="C1837">
        <v>415</v>
      </c>
      <c r="D1837" t="s">
        <v>62</v>
      </c>
      <c r="E1837" t="s">
        <v>62</v>
      </c>
      <c r="F1837">
        <v>0</v>
      </c>
      <c r="G1837">
        <v>113.2</v>
      </c>
      <c r="H1837">
        <v>86</v>
      </c>
      <c r="I1837">
        <v>19.24</v>
      </c>
      <c r="J1837">
        <v>185.5</v>
      </c>
      <c r="K1837">
        <v>97</v>
      </c>
      <c r="L1837">
        <v>15.77</v>
      </c>
      <c r="M1837">
        <v>237.3</v>
      </c>
      <c r="N1837">
        <v>145</v>
      </c>
      <c r="O1837">
        <v>10.68</v>
      </c>
      <c r="P1837">
        <v>9.5</v>
      </c>
      <c r="Q1837">
        <v>5</v>
      </c>
      <c r="R1837">
        <v>2.57</v>
      </c>
      <c r="S1837">
        <v>1</v>
      </c>
      <c r="T1837" t="b">
        <v>0</v>
      </c>
    </row>
    <row r="1838" spans="1:20">
      <c r="A1838" t="s">
        <v>109</v>
      </c>
      <c r="B1838">
        <v>38</v>
      </c>
      <c r="C1838">
        <v>415</v>
      </c>
      <c r="D1838" t="s">
        <v>62</v>
      </c>
      <c r="E1838" t="s">
        <v>63</v>
      </c>
      <c r="F1838">
        <v>25</v>
      </c>
      <c r="G1838">
        <v>142.4</v>
      </c>
      <c r="H1838">
        <v>106</v>
      </c>
      <c r="I1838">
        <v>24.21</v>
      </c>
      <c r="J1838">
        <v>313.7</v>
      </c>
      <c r="K1838">
        <v>109</v>
      </c>
      <c r="L1838">
        <v>26.66</v>
      </c>
      <c r="M1838">
        <v>126.6</v>
      </c>
      <c r="N1838">
        <v>117</v>
      </c>
      <c r="O1838">
        <v>5.7</v>
      </c>
      <c r="P1838">
        <v>13.4</v>
      </c>
      <c r="Q1838">
        <v>6</v>
      </c>
      <c r="R1838">
        <v>3.62</v>
      </c>
      <c r="S1838">
        <v>2</v>
      </c>
      <c r="T1838" t="b">
        <v>0</v>
      </c>
    </row>
    <row r="1839" spans="1:20">
      <c r="A1839" t="s">
        <v>100</v>
      </c>
      <c r="B1839">
        <v>107</v>
      </c>
      <c r="C1839">
        <v>415</v>
      </c>
      <c r="D1839" t="s">
        <v>62</v>
      </c>
      <c r="E1839" t="s">
        <v>63</v>
      </c>
      <c r="F1839">
        <v>38</v>
      </c>
      <c r="G1839">
        <v>204.2</v>
      </c>
      <c r="H1839">
        <v>57</v>
      </c>
      <c r="I1839">
        <v>34.71</v>
      </c>
      <c r="J1839">
        <v>205.9</v>
      </c>
      <c r="K1839">
        <v>92</v>
      </c>
      <c r="L1839">
        <v>17.5</v>
      </c>
      <c r="M1839">
        <v>286.5</v>
      </c>
      <c r="N1839">
        <v>80</v>
      </c>
      <c r="O1839">
        <v>12.89</v>
      </c>
      <c r="P1839">
        <v>8.3</v>
      </c>
      <c r="Q1839">
        <v>4</v>
      </c>
      <c r="R1839">
        <v>2.24</v>
      </c>
      <c r="S1839">
        <v>0</v>
      </c>
      <c r="T1839" t="b">
        <v>0</v>
      </c>
    </row>
    <row r="1840" spans="1:20">
      <c r="A1840" t="s">
        <v>82</v>
      </c>
      <c r="B1840">
        <v>140</v>
      </c>
      <c r="C1840">
        <v>415</v>
      </c>
      <c r="D1840" t="s">
        <v>62</v>
      </c>
      <c r="E1840" t="s">
        <v>62</v>
      </c>
      <c r="F1840">
        <v>0</v>
      </c>
      <c r="G1840">
        <v>149.7</v>
      </c>
      <c r="H1840">
        <v>71</v>
      </c>
      <c r="I1840">
        <v>25.45</v>
      </c>
      <c r="J1840">
        <v>212.5</v>
      </c>
      <c r="K1840">
        <v>97</v>
      </c>
      <c r="L1840">
        <v>18.06</v>
      </c>
      <c r="M1840">
        <v>245.9</v>
      </c>
      <c r="N1840">
        <v>67</v>
      </c>
      <c r="O1840">
        <v>11.07</v>
      </c>
      <c r="P1840">
        <v>12.6</v>
      </c>
      <c r="Q1840">
        <v>4</v>
      </c>
      <c r="R1840">
        <v>3.4</v>
      </c>
      <c r="S1840">
        <v>3</v>
      </c>
      <c r="T1840" t="b">
        <v>0</v>
      </c>
    </row>
    <row r="1841" spans="1:20">
      <c r="A1841" t="s">
        <v>92</v>
      </c>
      <c r="B1841">
        <v>98</v>
      </c>
      <c r="C1841">
        <v>415</v>
      </c>
      <c r="D1841" t="s">
        <v>62</v>
      </c>
      <c r="E1841" t="s">
        <v>62</v>
      </c>
      <c r="F1841">
        <v>0</v>
      </c>
      <c r="G1841">
        <v>227.1</v>
      </c>
      <c r="H1841">
        <v>116</v>
      </c>
      <c r="I1841">
        <v>38.61</v>
      </c>
      <c r="J1841">
        <v>120.5</v>
      </c>
      <c r="K1841">
        <v>103</v>
      </c>
      <c r="L1841">
        <v>10.24</v>
      </c>
      <c r="M1841">
        <v>117</v>
      </c>
      <c r="N1841">
        <v>102</v>
      </c>
      <c r="O1841">
        <v>5.27</v>
      </c>
      <c r="P1841">
        <v>4.7</v>
      </c>
      <c r="Q1841">
        <v>4</v>
      </c>
      <c r="R1841">
        <v>1.27</v>
      </c>
      <c r="S1841">
        <v>5</v>
      </c>
      <c r="T1841" t="b">
        <v>1</v>
      </c>
    </row>
    <row r="1842" spans="1:20">
      <c r="A1842" t="s">
        <v>113</v>
      </c>
      <c r="B1842">
        <v>114</v>
      </c>
      <c r="C1842">
        <v>415</v>
      </c>
      <c r="D1842" t="s">
        <v>62</v>
      </c>
      <c r="E1842" t="s">
        <v>62</v>
      </c>
      <c r="F1842">
        <v>0</v>
      </c>
      <c r="G1842">
        <v>155.3</v>
      </c>
      <c r="H1842">
        <v>75</v>
      </c>
      <c r="I1842">
        <v>26.4</v>
      </c>
      <c r="J1842">
        <v>169.9</v>
      </c>
      <c r="K1842">
        <v>87</v>
      </c>
      <c r="L1842">
        <v>14.44</v>
      </c>
      <c r="M1842">
        <v>207</v>
      </c>
      <c r="N1842">
        <v>133</v>
      </c>
      <c r="O1842">
        <v>9.32</v>
      </c>
      <c r="P1842">
        <v>12.6</v>
      </c>
      <c r="Q1842">
        <v>5</v>
      </c>
      <c r="R1842">
        <v>3.4</v>
      </c>
      <c r="S1842">
        <v>2</v>
      </c>
      <c r="T1842" t="b">
        <v>0</v>
      </c>
    </row>
    <row r="1843" spans="1:20">
      <c r="A1843" t="s">
        <v>102</v>
      </c>
      <c r="B1843">
        <v>46</v>
      </c>
      <c r="C1843">
        <v>408</v>
      </c>
      <c r="D1843" t="s">
        <v>62</v>
      </c>
      <c r="E1843" t="s">
        <v>62</v>
      </c>
      <c r="F1843">
        <v>0</v>
      </c>
      <c r="G1843">
        <v>156.4</v>
      </c>
      <c r="H1843">
        <v>105</v>
      </c>
      <c r="I1843">
        <v>26.59</v>
      </c>
      <c r="J1843">
        <v>185.5</v>
      </c>
      <c r="K1843">
        <v>98</v>
      </c>
      <c r="L1843">
        <v>15.77</v>
      </c>
      <c r="M1843">
        <v>226.7</v>
      </c>
      <c r="N1843">
        <v>96</v>
      </c>
      <c r="O1843">
        <v>10.2</v>
      </c>
      <c r="P1843">
        <v>11.8</v>
      </c>
      <c r="Q1843">
        <v>3</v>
      </c>
      <c r="R1843">
        <v>3.19</v>
      </c>
      <c r="S1843">
        <v>1</v>
      </c>
      <c r="T1843" t="b">
        <v>0</v>
      </c>
    </row>
    <row r="1844" spans="1:20">
      <c r="A1844" t="s">
        <v>103</v>
      </c>
      <c r="B1844">
        <v>118</v>
      </c>
      <c r="C1844">
        <v>415</v>
      </c>
      <c r="D1844" t="s">
        <v>62</v>
      </c>
      <c r="E1844" t="s">
        <v>63</v>
      </c>
      <c r="F1844">
        <v>42</v>
      </c>
      <c r="G1844">
        <v>148.7</v>
      </c>
      <c r="H1844">
        <v>105</v>
      </c>
      <c r="I1844">
        <v>25.28</v>
      </c>
      <c r="J1844">
        <v>167.3</v>
      </c>
      <c r="K1844">
        <v>105</v>
      </c>
      <c r="L1844">
        <v>14.22</v>
      </c>
      <c r="M1844">
        <v>270.6</v>
      </c>
      <c r="N1844">
        <v>105</v>
      </c>
      <c r="O1844">
        <v>12.18</v>
      </c>
      <c r="P1844">
        <v>10.4</v>
      </c>
      <c r="Q1844">
        <v>7</v>
      </c>
      <c r="R1844">
        <v>2.81</v>
      </c>
      <c r="S1844">
        <v>0</v>
      </c>
      <c r="T1844" t="b">
        <v>0</v>
      </c>
    </row>
    <row r="1845" spans="1:20">
      <c r="A1845" t="s">
        <v>97</v>
      </c>
      <c r="B1845">
        <v>37</v>
      </c>
      <c r="C1845">
        <v>510</v>
      </c>
      <c r="D1845" t="s">
        <v>62</v>
      </c>
      <c r="E1845" t="s">
        <v>62</v>
      </c>
      <c r="F1845">
        <v>0</v>
      </c>
      <c r="G1845">
        <v>271.7</v>
      </c>
      <c r="H1845">
        <v>112</v>
      </c>
      <c r="I1845">
        <v>46.19</v>
      </c>
      <c r="J1845">
        <v>155.1</v>
      </c>
      <c r="K1845">
        <v>96</v>
      </c>
      <c r="L1845">
        <v>13.18</v>
      </c>
      <c r="M1845">
        <v>199.5</v>
      </c>
      <c r="N1845">
        <v>97</v>
      </c>
      <c r="O1845">
        <v>8.98</v>
      </c>
      <c r="P1845">
        <v>6.6</v>
      </c>
      <c r="Q1845">
        <v>4</v>
      </c>
      <c r="R1845">
        <v>1.78</v>
      </c>
      <c r="S1845">
        <v>3</v>
      </c>
      <c r="T1845" t="b">
        <v>0</v>
      </c>
    </row>
    <row r="1846" spans="1:20">
      <c r="A1846" t="s">
        <v>84</v>
      </c>
      <c r="B1846">
        <v>34</v>
      </c>
      <c r="C1846">
        <v>415</v>
      </c>
      <c r="D1846" t="s">
        <v>62</v>
      </c>
      <c r="E1846" t="s">
        <v>62</v>
      </c>
      <c r="F1846">
        <v>0</v>
      </c>
      <c r="G1846">
        <v>193.7</v>
      </c>
      <c r="H1846">
        <v>74</v>
      </c>
      <c r="I1846">
        <v>32.93</v>
      </c>
      <c r="J1846">
        <v>126.9</v>
      </c>
      <c r="K1846">
        <v>84</v>
      </c>
      <c r="L1846">
        <v>10.79</v>
      </c>
      <c r="M1846">
        <v>221.2</v>
      </c>
      <c r="N1846">
        <v>166</v>
      </c>
      <c r="O1846">
        <v>9.95</v>
      </c>
      <c r="P1846">
        <v>8.8</v>
      </c>
      <c r="Q1846">
        <v>4</v>
      </c>
      <c r="R1846">
        <v>2.38</v>
      </c>
      <c r="S1846">
        <v>0</v>
      </c>
      <c r="T1846" t="b">
        <v>0</v>
      </c>
    </row>
    <row r="1847" spans="1:20">
      <c r="A1847" t="s">
        <v>104</v>
      </c>
      <c r="B1847">
        <v>113</v>
      </c>
      <c r="C1847">
        <v>510</v>
      </c>
      <c r="D1847" t="s">
        <v>62</v>
      </c>
      <c r="E1847" t="s">
        <v>62</v>
      </c>
      <c r="F1847">
        <v>0</v>
      </c>
      <c r="G1847">
        <v>245.3</v>
      </c>
      <c r="H1847">
        <v>108</v>
      </c>
      <c r="I1847">
        <v>41.7</v>
      </c>
      <c r="J1847">
        <v>259.9</v>
      </c>
      <c r="K1847">
        <v>140</v>
      </c>
      <c r="L1847">
        <v>22.09</v>
      </c>
      <c r="M1847">
        <v>204.3</v>
      </c>
      <c r="N1847">
        <v>115</v>
      </c>
      <c r="O1847">
        <v>9.19</v>
      </c>
      <c r="P1847">
        <v>10.7</v>
      </c>
      <c r="Q1847">
        <v>2</v>
      </c>
      <c r="R1847">
        <v>2.89</v>
      </c>
      <c r="S1847">
        <v>3</v>
      </c>
      <c r="T1847" t="b">
        <v>1</v>
      </c>
    </row>
    <row r="1848" spans="1:20">
      <c r="A1848" t="s">
        <v>94</v>
      </c>
      <c r="B1848">
        <v>69</v>
      </c>
      <c r="C1848">
        <v>408</v>
      </c>
      <c r="D1848" t="s">
        <v>62</v>
      </c>
      <c r="E1848" t="s">
        <v>62</v>
      </c>
      <c r="F1848">
        <v>0</v>
      </c>
      <c r="G1848">
        <v>196.1</v>
      </c>
      <c r="H1848">
        <v>87</v>
      </c>
      <c r="I1848">
        <v>33.34</v>
      </c>
      <c r="J1848">
        <v>236.8</v>
      </c>
      <c r="K1848">
        <v>66</v>
      </c>
      <c r="L1848">
        <v>20.13</v>
      </c>
      <c r="M1848">
        <v>182.3</v>
      </c>
      <c r="N1848">
        <v>75</v>
      </c>
      <c r="O1848">
        <v>8.2</v>
      </c>
      <c r="P1848">
        <v>11.9</v>
      </c>
      <c r="Q1848">
        <v>1</v>
      </c>
      <c r="R1848">
        <v>3.21</v>
      </c>
      <c r="S1848">
        <v>0</v>
      </c>
      <c r="T1848" t="b">
        <v>0</v>
      </c>
    </row>
    <row r="1849" spans="1:20">
      <c r="A1849" t="s">
        <v>65</v>
      </c>
      <c r="B1849">
        <v>59</v>
      </c>
      <c r="C1849">
        <v>510</v>
      </c>
      <c r="D1849" t="s">
        <v>63</v>
      </c>
      <c r="E1849" t="s">
        <v>63</v>
      </c>
      <c r="F1849">
        <v>31</v>
      </c>
      <c r="G1849">
        <v>225</v>
      </c>
      <c r="H1849">
        <v>78</v>
      </c>
      <c r="I1849">
        <v>38.25</v>
      </c>
      <c r="J1849">
        <v>191.3</v>
      </c>
      <c r="K1849">
        <v>79</v>
      </c>
      <c r="L1849">
        <v>16.26</v>
      </c>
      <c r="M1849">
        <v>226.7</v>
      </c>
      <c r="N1849">
        <v>79</v>
      </c>
      <c r="O1849">
        <v>10.2</v>
      </c>
      <c r="P1849">
        <v>9.1</v>
      </c>
      <c r="Q1849">
        <v>3</v>
      </c>
      <c r="R1849">
        <v>2.46</v>
      </c>
      <c r="S1849">
        <v>1</v>
      </c>
      <c r="T1849" t="b">
        <v>0</v>
      </c>
    </row>
    <row r="1850" spans="1:20">
      <c r="A1850" t="s">
        <v>71</v>
      </c>
      <c r="B1850">
        <v>59</v>
      </c>
      <c r="C1850">
        <v>510</v>
      </c>
      <c r="D1850" t="s">
        <v>62</v>
      </c>
      <c r="E1850" t="s">
        <v>62</v>
      </c>
      <c r="F1850">
        <v>0</v>
      </c>
      <c r="G1850">
        <v>189.7</v>
      </c>
      <c r="H1850">
        <v>100</v>
      </c>
      <c r="I1850">
        <v>32.25</v>
      </c>
      <c r="J1850">
        <v>115.9</v>
      </c>
      <c r="K1850">
        <v>133</v>
      </c>
      <c r="L1850">
        <v>9.85</v>
      </c>
      <c r="M1850">
        <v>220.6</v>
      </c>
      <c r="N1850">
        <v>115</v>
      </c>
      <c r="O1850">
        <v>9.93</v>
      </c>
      <c r="P1850">
        <v>7.4</v>
      </c>
      <c r="Q1850">
        <v>4</v>
      </c>
      <c r="R1850">
        <v>2</v>
      </c>
      <c r="S1850">
        <v>0</v>
      </c>
      <c r="T1850" t="b">
        <v>0</v>
      </c>
    </row>
    <row r="1851" spans="1:20">
      <c r="A1851" t="s">
        <v>94</v>
      </c>
      <c r="B1851">
        <v>190</v>
      </c>
      <c r="C1851">
        <v>415</v>
      </c>
      <c r="D1851" t="s">
        <v>62</v>
      </c>
      <c r="E1851" t="s">
        <v>62</v>
      </c>
      <c r="F1851">
        <v>0</v>
      </c>
      <c r="G1851">
        <v>142.9</v>
      </c>
      <c r="H1851">
        <v>96</v>
      </c>
      <c r="I1851">
        <v>24.29</v>
      </c>
      <c r="J1851">
        <v>177.9</v>
      </c>
      <c r="K1851">
        <v>96</v>
      </c>
      <c r="L1851">
        <v>15.12</v>
      </c>
      <c r="M1851">
        <v>113.3</v>
      </c>
      <c r="N1851">
        <v>117</v>
      </c>
      <c r="O1851">
        <v>5.1</v>
      </c>
      <c r="P1851">
        <v>6.6</v>
      </c>
      <c r="Q1851">
        <v>4</v>
      </c>
      <c r="R1851">
        <v>1.78</v>
      </c>
      <c r="S1851">
        <v>0</v>
      </c>
      <c r="T1851" t="b">
        <v>0</v>
      </c>
    </row>
    <row r="1852" spans="1:20">
      <c r="A1852" t="s">
        <v>107</v>
      </c>
      <c r="B1852">
        <v>109</v>
      </c>
      <c r="C1852">
        <v>415</v>
      </c>
      <c r="D1852" t="s">
        <v>62</v>
      </c>
      <c r="E1852" t="s">
        <v>62</v>
      </c>
      <c r="F1852">
        <v>0</v>
      </c>
      <c r="G1852">
        <v>175.6</v>
      </c>
      <c r="H1852">
        <v>80</v>
      </c>
      <c r="I1852">
        <v>29.85</v>
      </c>
      <c r="J1852">
        <v>238</v>
      </c>
      <c r="K1852">
        <v>94</v>
      </c>
      <c r="L1852">
        <v>20.23</v>
      </c>
      <c r="M1852">
        <v>198.4</v>
      </c>
      <c r="N1852">
        <v>103</v>
      </c>
      <c r="O1852">
        <v>8.93</v>
      </c>
      <c r="P1852">
        <v>10.2</v>
      </c>
      <c r="Q1852">
        <v>6</v>
      </c>
      <c r="R1852">
        <v>2.75</v>
      </c>
      <c r="S1852">
        <v>1</v>
      </c>
      <c r="T1852" t="b">
        <v>0</v>
      </c>
    </row>
    <row r="1853" spans="1:20">
      <c r="A1853" t="s">
        <v>69</v>
      </c>
      <c r="B1853">
        <v>136</v>
      </c>
      <c r="C1853">
        <v>415</v>
      </c>
      <c r="D1853" t="s">
        <v>62</v>
      </c>
      <c r="E1853" t="s">
        <v>62</v>
      </c>
      <c r="F1853">
        <v>0</v>
      </c>
      <c r="G1853">
        <v>92.4</v>
      </c>
      <c r="H1853">
        <v>109</v>
      </c>
      <c r="I1853">
        <v>15.71</v>
      </c>
      <c r="J1853">
        <v>219</v>
      </c>
      <c r="K1853">
        <v>115</v>
      </c>
      <c r="L1853">
        <v>18.62</v>
      </c>
      <c r="M1853">
        <v>212.6</v>
      </c>
      <c r="N1853">
        <v>80</v>
      </c>
      <c r="O1853">
        <v>9.57</v>
      </c>
      <c r="P1853">
        <v>12.9</v>
      </c>
      <c r="Q1853">
        <v>4</v>
      </c>
      <c r="R1853">
        <v>3.48</v>
      </c>
      <c r="S1853">
        <v>2</v>
      </c>
      <c r="T1853" t="b">
        <v>0</v>
      </c>
    </row>
    <row r="1854" spans="1:20">
      <c r="A1854" t="s">
        <v>80</v>
      </c>
      <c r="B1854">
        <v>86</v>
      </c>
      <c r="C1854">
        <v>510</v>
      </c>
      <c r="D1854" t="s">
        <v>62</v>
      </c>
      <c r="E1854" t="s">
        <v>62</v>
      </c>
      <c r="F1854">
        <v>0</v>
      </c>
      <c r="G1854">
        <v>92.8</v>
      </c>
      <c r="H1854">
        <v>92</v>
      </c>
      <c r="I1854">
        <v>15.78</v>
      </c>
      <c r="J1854">
        <v>159.6</v>
      </c>
      <c r="K1854">
        <v>87</v>
      </c>
      <c r="L1854">
        <v>13.57</v>
      </c>
      <c r="M1854">
        <v>148.7</v>
      </c>
      <c r="N1854">
        <v>115</v>
      </c>
      <c r="O1854">
        <v>6.69</v>
      </c>
      <c r="P1854">
        <v>8.8</v>
      </c>
      <c r="Q1854">
        <v>5</v>
      </c>
      <c r="R1854">
        <v>2.38</v>
      </c>
      <c r="S1854">
        <v>1</v>
      </c>
      <c r="T1854" t="b">
        <v>0</v>
      </c>
    </row>
    <row r="1855" spans="1:20">
      <c r="A1855" t="s">
        <v>102</v>
      </c>
      <c r="B1855">
        <v>100</v>
      </c>
      <c r="C1855">
        <v>415</v>
      </c>
      <c r="D1855" t="s">
        <v>62</v>
      </c>
      <c r="E1855" t="s">
        <v>63</v>
      </c>
      <c r="F1855">
        <v>27</v>
      </c>
      <c r="G1855">
        <v>221.7</v>
      </c>
      <c r="H1855">
        <v>100</v>
      </c>
      <c r="I1855">
        <v>37.69</v>
      </c>
      <c r="J1855">
        <v>236.1</v>
      </c>
      <c r="K1855">
        <v>70</v>
      </c>
      <c r="L1855">
        <v>20.07</v>
      </c>
      <c r="M1855">
        <v>192.7</v>
      </c>
      <c r="N1855">
        <v>91</v>
      </c>
      <c r="O1855">
        <v>8.67</v>
      </c>
      <c r="P1855">
        <v>8</v>
      </c>
      <c r="Q1855">
        <v>4</v>
      </c>
      <c r="R1855">
        <v>2.16</v>
      </c>
      <c r="S1855">
        <v>0</v>
      </c>
      <c r="T1855" t="b">
        <v>0</v>
      </c>
    </row>
    <row r="1856" spans="1:20">
      <c r="A1856" t="s">
        <v>81</v>
      </c>
      <c r="B1856">
        <v>106</v>
      </c>
      <c r="C1856">
        <v>510</v>
      </c>
      <c r="D1856" t="s">
        <v>62</v>
      </c>
      <c r="E1856" t="s">
        <v>62</v>
      </c>
      <c r="F1856">
        <v>0</v>
      </c>
      <c r="G1856">
        <v>159.6</v>
      </c>
      <c r="H1856">
        <v>94</v>
      </c>
      <c r="I1856">
        <v>27.13</v>
      </c>
      <c r="J1856">
        <v>276.8</v>
      </c>
      <c r="K1856">
        <v>118</v>
      </c>
      <c r="L1856">
        <v>23.53</v>
      </c>
      <c r="M1856">
        <v>223.5</v>
      </c>
      <c r="N1856">
        <v>65</v>
      </c>
      <c r="O1856">
        <v>10.06</v>
      </c>
      <c r="P1856">
        <v>8.8</v>
      </c>
      <c r="Q1856">
        <v>3</v>
      </c>
      <c r="R1856">
        <v>2.38</v>
      </c>
      <c r="S1856">
        <v>0</v>
      </c>
      <c r="T1856" t="b">
        <v>0</v>
      </c>
    </row>
    <row r="1857" spans="1:20">
      <c r="A1857" t="s">
        <v>71</v>
      </c>
      <c r="B1857">
        <v>129</v>
      </c>
      <c r="C1857">
        <v>415</v>
      </c>
      <c r="D1857" t="s">
        <v>62</v>
      </c>
      <c r="E1857" t="s">
        <v>62</v>
      </c>
      <c r="F1857">
        <v>0</v>
      </c>
      <c r="G1857">
        <v>159.1</v>
      </c>
      <c r="H1857">
        <v>100</v>
      </c>
      <c r="I1857">
        <v>27.05</v>
      </c>
      <c r="J1857">
        <v>202.5</v>
      </c>
      <c r="K1857">
        <v>90</v>
      </c>
      <c r="L1857">
        <v>17.21</v>
      </c>
      <c r="M1857">
        <v>233.1</v>
      </c>
      <c r="N1857">
        <v>96</v>
      </c>
      <c r="O1857">
        <v>10.49</v>
      </c>
      <c r="P1857">
        <v>11.5</v>
      </c>
      <c r="Q1857">
        <v>6</v>
      </c>
      <c r="R1857">
        <v>3.11</v>
      </c>
      <c r="S1857">
        <v>2</v>
      </c>
      <c r="T1857" t="b">
        <v>0</v>
      </c>
    </row>
    <row r="1858" spans="1:20">
      <c r="A1858" t="s">
        <v>96</v>
      </c>
      <c r="B1858">
        <v>205</v>
      </c>
      <c r="C1858">
        <v>510</v>
      </c>
      <c r="D1858" t="s">
        <v>62</v>
      </c>
      <c r="E1858" t="s">
        <v>62</v>
      </c>
      <c r="F1858">
        <v>0</v>
      </c>
      <c r="G1858">
        <v>49.9</v>
      </c>
      <c r="H1858">
        <v>123</v>
      </c>
      <c r="I1858">
        <v>8.48</v>
      </c>
      <c r="J1858">
        <v>150.7</v>
      </c>
      <c r="K1858">
        <v>81</v>
      </c>
      <c r="L1858">
        <v>12.81</v>
      </c>
      <c r="M1858">
        <v>188.2</v>
      </c>
      <c r="N1858">
        <v>67</v>
      </c>
      <c r="O1858">
        <v>8.47</v>
      </c>
      <c r="P1858">
        <v>10.1</v>
      </c>
      <c r="Q1858">
        <v>4</v>
      </c>
      <c r="R1858">
        <v>2.73</v>
      </c>
      <c r="S1858">
        <v>2</v>
      </c>
      <c r="T1858" t="b">
        <v>0</v>
      </c>
    </row>
    <row r="1859" spans="1:20">
      <c r="A1859" t="s">
        <v>66</v>
      </c>
      <c r="B1859">
        <v>93</v>
      </c>
      <c r="C1859">
        <v>415</v>
      </c>
      <c r="D1859" t="s">
        <v>62</v>
      </c>
      <c r="E1859" t="s">
        <v>63</v>
      </c>
      <c r="F1859">
        <v>32</v>
      </c>
      <c r="G1859">
        <v>116.9</v>
      </c>
      <c r="H1859">
        <v>120</v>
      </c>
      <c r="I1859">
        <v>19.87</v>
      </c>
      <c r="J1859">
        <v>232.4</v>
      </c>
      <c r="K1859">
        <v>97</v>
      </c>
      <c r="L1859">
        <v>19.75</v>
      </c>
      <c r="M1859">
        <v>127.7</v>
      </c>
      <c r="N1859">
        <v>112</v>
      </c>
      <c r="O1859">
        <v>5.75</v>
      </c>
      <c r="P1859">
        <v>11</v>
      </c>
      <c r="Q1859">
        <v>9</v>
      </c>
      <c r="R1859">
        <v>2.97</v>
      </c>
      <c r="S1859">
        <v>0</v>
      </c>
      <c r="T1859" t="b">
        <v>0</v>
      </c>
    </row>
    <row r="1860" spans="1:20">
      <c r="A1860" t="s">
        <v>95</v>
      </c>
      <c r="B1860">
        <v>99</v>
      </c>
      <c r="C1860">
        <v>415</v>
      </c>
      <c r="D1860" t="s">
        <v>62</v>
      </c>
      <c r="E1860" t="s">
        <v>62</v>
      </c>
      <c r="F1860">
        <v>0</v>
      </c>
      <c r="G1860">
        <v>254.4</v>
      </c>
      <c r="H1860">
        <v>120</v>
      </c>
      <c r="I1860">
        <v>43.25</v>
      </c>
      <c r="J1860">
        <v>159.3</v>
      </c>
      <c r="K1860">
        <v>92</v>
      </c>
      <c r="L1860">
        <v>13.54</v>
      </c>
      <c r="M1860">
        <v>264.4</v>
      </c>
      <c r="N1860">
        <v>94</v>
      </c>
      <c r="O1860">
        <v>11.9</v>
      </c>
      <c r="P1860">
        <v>6</v>
      </c>
      <c r="Q1860">
        <v>5</v>
      </c>
      <c r="R1860">
        <v>1.62</v>
      </c>
      <c r="S1860">
        <v>1</v>
      </c>
      <c r="T1860" t="b">
        <v>0</v>
      </c>
    </row>
    <row r="1861" spans="1:20">
      <c r="A1861" t="s">
        <v>86</v>
      </c>
      <c r="B1861">
        <v>71</v>
      </c>
      <c r="C1861">
        <v>415</v>
      </c>
      <c r="D1861" t="s">
        <v>62</v>
      </c>
      <c r="E1861" t="s">
        <v>62</v>
      </c>
      <c r="F1861">
        <v>0</v>
      </c>
      <c r="G1861">
        <v>207</v>
      </c>
      <c r="H1861">
        <v>112</v>
      </c>
      <c r="I1861">
        <v>35.19</v>
      </c>
      <c r="J1861">
        <v>173.8</v>
      </c>
      <c r="K1861">
        <v>96</v>
      </c>
      <c r="L1861">
        <v>14.77</v>
      </c>
      <c r="M1861">
        <v>178.4</v>
      </c>
      <c r="N1861">
        <v>61</v>
      </c>
      <c r="O1861">
        <v>8.03</v>
      </c>
      <c r="P1861">
        <v>12.1</v>
      </c>
      <c r="Q1861">
        <v>3</v>
      </c>
      <c r="R1861">
        <v>3.27</v>
      </c>
      <c r="S1861">
        <v>1</v>
      </c>
      <c r="T1861" t="b">
        <v>0</v>
      </c>
    </row>
    <row r="1862" spans="1:20">
      <c r="A1862" t="s">
        <v>97</v>
      </c>
      <c r="B1862">
        <v>4</v>
      </c>
      <c r="C1862">
        <v>510</v>
      </c>
      <c r="D1862" t="s">
        <v>63</v>
      </c>
      <c r="E1862" t="s">
        <v>62</v>
      </c>
      <c r="F1862">
        <v>0</v>
      </c>
      <c r="G1862">
        <v>145.3</v>
      </c>
      <c r="H1862">
        <v>89</v>
      </c>
      <c r="I1862">
        <v>24.7</v>
      </c>
      <c r="J1862">
        <v>303.8</v>
      </c>
      <c r="K1862">
        <v>93</v>
      </c>
      <c r="L1862">
        <v>25.82</v>
      </c>
      <c r="M1862">
        <v>206.1</v>
      </c>
      <c r="N1862">
        <v>82</v>
      </c>
      <c r="O1862">
        <v>9.27</v>
      </c>
      <c r="P1862">
        <v>8.9</v>
      </c>
      <c r="Q1862">
        <v>4</v>
      </c>
      <c r="R1862">
        <v>2.4</v>
      </c>
      <c r="S1862">
        <v>0</v>
      </c>
      <c r="T1862" t="b">
        <v>0</v>
      </c>
    </row>
    <row r="1863" spans="1:20">
      <c r="A1863" t="s">
        <v>86</v>
      </c>
      <c r="B1863">
        <v>148</v>
      </c>
      <c r="C1863">
        <v>408</v>
      </c>
      <c r="D1863" t="s">
        <v>62</v>
      </c>
      <c r="E1863" t="s">
        <v>63</v>
      </c>
      <c r="F1863">
        <v>25</v>
      </c>
      <c r="G1863">
        <v>230.7</v>
      </c>
      <c r="H1863">
        <v>102</v>
      </c>
      <c r="I1863">
        <v>39.22</v>
      </c>
      <c r="J1863">
        <v>233.8</v>
      </c>
      <c r="K1863">
        <v>109</v>
      </c>
      <c r="L1863">
        <v>19.87</v>
      </c>
      <c r="M1863">
        <v>215.8</v>
      </c>
      <c r="N1863">
        <v>90</v>
      </c>
      <c r="O1863">
        <v>9.71</v>
      </c>
      <c r="P1863">
        <v>13.5</v>
      </c>
      <c r="Q1863">
        <v>2</v>
      </c>
      <c r="R1863">
        <v>3.65</v>
      </c>
      <c r="S1863">
        <v>3</v>
      </c>
      <c r="T1863" t="b">
        <v>0</v>
      </c>
    </row>
    <row r="1864" spans="1:20">
      <c r="A1864" t="s">
        <v>101</v>
      </c>
      <c r="B1864">
        <v>141</v>
      </c>
      <c r="C1864">
        <v>415</v>
      </c>
      <c r="D1864" t="s">
        <v>62</v>
      </c>
      <c r="E1864" t="s">
        <v>62</v>
      </c>
      <c r="F1864">
        <v>0</v>
      </c>
      <c r="G1864">
        <v>151.5</v>
      </c>
      <c r="H1864">
        <v>104</v>
      </c>
      <c r="I1864">
        <v>25.76</v>
      </c>
      <c r="J1864">
        <v>242.2</v>
      </c>
      <c r="K1864">
        <v>114</v>
      </c>
      <c r="L1864">
        <v>20.59</v>
      </c>
      <c r="M1864">
        <v>304.2</v>
      </c>
      <c r="N1864">
        <v>109</v>
      </c>
      <c r="O1864">
        <v>13.69</v>
      </c>
      <c r="P1864">
        <v>10.8</v>
      </c>
      <c r="Q1864">
        <v>2</v>
      </c>
      <c r="R1864">
        <v>2.92</v>
      </c>
      <c r="S1864">
        <v>1</v>
      </c>
      <c r="T1864" t="b">
        <v>0</v>
      </c>
    </row>
    <row r="1865" spans="1:20">
      <c r="A1865" t="s">
        <v>103</v>
      </c>
      <c r="B1865">
        <v>56</v>
      </c>
      <c r="C1865">
        <v>408</v>
      </c>
      <c r="D1865" t="s">
        <v>62</v>
      </c>
      <c r="E1865" t="s">
        <v>62</v>
      </c>
      <c r="F1865">
        <v>0</v>
      </c>
      <c r="G1865">
        <v>146.1</v>
      </c>
      <c r="H1865">
        <v>57</v>
      </c>
      <c r="I1865">
        <v>24.84</v>
      </c>
      <c r="J1865">
        <v>196.2</v>
      </c>
      <c r="K1865">
        <v>97</v>
      </c>
      <c r="L1865">
        <v>16.68</v>
      </c>
      <c r="M1865">
        <v>310.1</v>
      </c>
      <c r="N1865">
        <v>110</v>
      </c>
      <c r="O1865">
        <v>13.95</v>
      </c>
      <c r="P1865">
        <v>9.2</v>
      </c>
      <c r="Q1865">
        <v>3</v>
      </c>
      <c r="R1865">
        <v>2.48</v>
      </c>
      <c r="S1865">
        <v>0</v>
      </c>
      <c r="T1865" t="b">
        <v>0</v>
      </c>
    </row>
    <row r="1866" spans="1:20">
      <c r="A1866" t="s">
        <v>79</v>
      </c>
      <c r="B1866">
        <v>43</v>
      </c>
      <c r="C1866">
        <v>408</v>
      </c>
      <c r="D1866" t="s">
        <v>62</v>
      </c>
      <c r="E1866" t="s">
        <v>63</v>
      </c>
      <c r="F1866">
        <v>35</v>
      </c>
      <c r="G1866">
        <v>200.2</v>
      </c>
      <c r="H1866">
        <v>105</v>
      </c>
      <c r="I1866">
        <v>34.03</v>
      </c>
      <c r="J1866">
        <v>244.4</v>
      </c>
      <c r="K1866">
        <v>88</v>
      </c>
      <c r="L1866">
        <v>20.77</v>
      </c>
      <c r="M1866">
        <v>207.2</v>
      </c>
      <c r="N1866">
        <v>97</v>
      </c>
      <c r="O1866">
        <v>9.32</v>
      </c>
      <c r="P1866">
        <v>11.6</v>
      </c>
      <c r="Q1866">
        <v>4</v>
      </c>
      <c r="R1866">
        <v>3.13</v>
      </c>
      <c r="S1866">
        <v>3</v>
      </c>
      <c r="T1866" t="b">
        <v>0</v>
      </c>
    </row>
    <row r="1867" spans="1:20">
      <c r="A1867" t="s">
        <v>76</v>
      </c>
      <c r="B1867">
        <v>42</v>
      </c>
      <c r="C1867">
        <v>415</v>
      </c>
      <c r="D1867" t="s">
        <v>62</v>
      </c>
      <c r="E1867" t="s">
        <v>62</v>
      </c>
      <c r="F1867">
        <v>0</v>
      </c>
      <c r="G1867">
        <v>150.7</v>
      </c>
      <c r="H1867">
        <v>52</v>
      </c>
      <c r="I1867">
        <v>25.62</v>
      </c>
      <c r="J1867">
        <v>246.7</v>
      </c>
      <c r="K1867">
        <v>96</v>
      </c>
      <c r="L1867">
        <v>20.97</v>
      </c>
      <c r="M1867">
        <v>103.8</v>
      </c>
      <c r="N1867">
        <v>118</v>
      </c>
      <c r="O1867">
        <v>4.67</v>
      </c>
      <c r="P1867">
        <v>7</v>
      </c>
      <c r="Q1867">
        <v>4</v>
      </c>
      <c r="R1867">
        <v>1.89</v>
      </c>
      <c r="S1867">
        <v>2</v>
      </c>
      <c r="T1867" t="b">
        <v>0</v>
      </c>
    </row>
    <row r="1868" spans="1:20">
      <c r="A1868" t="s">
        <v>116</v>
      </c>
      <c r="B1868">
        <v>135</v>
      </c>
      <c r="C1868">
        <v>415</v>
      </c>
      <c r="D1868" t="s">
        <v>63</v>
      </c>
      <c r="E1868" t="s">
        <v>62</v>
      </c>
      <c r="F1868">
        <v>0</v>
      </c>
      <c r="G1868">
        <v>186</v>
      </c>
      <c r="H1868">
        <v>107</v>
      </c>
      <c r="I1868">
        <v>31.62</v>
      </c>
      <c r="J1868">
        <v>66</v>
      </c>
      <c r="K1868">
        <v>94</v>
      </c>
      <c r="L1868">
        <v>5.61</v>
      </c>
      <c r="M1868">
        <v>213.1</v>
      </c>
      <c r="N1868">
        <v>105</v>
      </c>
      <c r="O1868">
        <v>9.59</v>
      </c>
      <c r="P1868">
        <v>12.9</v>
      </c>
      <c r="Q1868">
        <v>4</v>
      </c>
      <c r="R1868">
        <v>3.48</v>
      </c>
      <c r="S1868">
        <v>1</v>
      </c>
      <c r="T1868" t="b">
        <v>0</v>
      </c>
    </row>
    <row r="1869" spans="1:20">
      <c r="A1869" t="s">
        <v>67</v>
      </c>
      <c r="B1869">
        <v>106</v>
      </c>
      <c r="C1869">
        <v>415</v>
      </c>
      <c r="D1869" t="s">
        <v>62</v>
      </c>
      <c r="E1869" t="s">
        <v>62</v>
      </c>
      <c r="F1869">
        <v>0</v>
      </c>
      <c r="G1869">
        <v>212.9</v>
      </c>
      <c r="H1869">
        <v>110</v>
      </c>
      <c r="I1869">
        <v>36.19</v>
      </c>
      <c r="J1869">
        <v>187</v>
      </c>
      <c r="K1869">
        <v>69</v>
      </c>
      <c r="L1869">
        <v>15.9</v>
      </c>
      <c r="M1869">
        <v>128.1</v>
      </c>
      <c r="N1869">
        <v>71</v>
      </c>
      <c r="O1869">
        <v>5.76</v>
      </c>
      <c r="P1869">
        <v>6.3</v>
      </c>
      <c r="Q1869">
        <v>3</v>
      </c>
      <c r="R1869">
        <v>1.7</v>
      </c>
      <c r="S1869">
        <v>3</v>
      </c>
      <c r="T1869" t="b">
        <v>0</v>
      </c>
    </row>
    <row r="1870" spans="1:20">
      <c r="A1870" t="s">
        <v>71</v>
      </c>
      <c r="B1870">
        <v>106</v>
      </c>
      <c r="C1870">
        <v>510</v>
      </c>
      <c r="D1870" t="s">
        <v>62</v>
      </c>
      <c r="E1870" t="s">
        <v>62</v>
      </c>
      <c r="F1870">
        <v>0</v>
      </c>
      <c r="G1870">
        <v>194.8</v>
      </c>
      <c r="H1870">
        <v>133</v>
      </c>
      <c r="I1870">
        <v>33.12</v>
      </c>
      <c r="J1870">
        <v>213.4</v>
      </c>
      <c r="K1870">
        <v>73</v>
      </c>
      <c r="L1870">
        <v>18.14</v>
      </c>
      <c r="M1870">
        <v>190.8</v>
      </c>
      <c r="N1870">
        <v>92</v>
      </c>
      <c r="O1870">
        <v>8.59</v>
      </c>
      <c r="P1870">
        <v>11.5</v>
      </c>
      <c r="Q1870">
        <v>7</v>
      </c>
      <c r="R1870">
        <v>3.11</v>
      </c>
      <c r="S1870">
        <v>0</v>
      </c>
      <c r="T1870" t="b">
        <v>0</v>
      </c>
    </row>
    <row r="1871" spans="1:20">
      <c r="A1871" t="s">
        <v>69</v>
      </c>
      <c r="B1871">
        <v>83</v>
      </c>
      <c r="C1871">
        <v>415</v>
      </c>
      <c r="D1871" t="s">
        <v>62</v>
      </c>
      <c r="E1871" t="s">
        <v>63</v>
      </c>
      <c r="F1871">
        <v>30</v>
      </c>
      <c r="G1871">
        <v>272.5</v>
      </c>
      <c r="H1871">
        <v>105</v>
      </c>
      <c r="I1871">
        <v>46.33</v>
      </c>
      <c r="J1871">
        <v>253</v>
      </c>
      <c r="K1871">
        <v>83</v>
      </c>
      <c r="L1871">
        <v>21.51</v>
      </c>
      <c r="M1871">
        <v>180.8</v>
      </c>
      <c r="N1871">
        <v>123</v>
      </c>
      <c r="O1871">
        <v>8.14</v>
      </c>
      <c r="P1871">
        <v>8.7</v>
      </c>
      <c r="Q1871">
        <v>6</v>
      </c>
      <c r="R1871">
        <v>2.35</v>
      </c>
      <c r="S1871">
        <v>3</v>
      </c>
      <c r="T1871" t="b">
        <v>0</v>
      </c>
    </row>
    <row r="1872" spans="1:20">
      <c r="A1872" t="s">
        <v>115</v>
      </c>
      <c r="B1872">
        <v>110</v>
      </c>
      <c r="C1872">
        <v>415</v>
      </c>
      <c r="D1872" t="s">
        <v>62</v>
      </c>
      <c r="E1872" t="s">
        <v>62</v>
      </c>
      <c r="F1872">
        <v>0</v>
      </c>
      <c r="G1872">
        <v>135.1</v>
      </c>
      <c r="H1872">
        <v>109</v>
      </c>
      <c r="I1872">
        <v>22.97</v>
      </c>
      <c r="J1872">
        <v>205.2</v>
      </c>
      <c r="K1872">
        <v>99</v>
      </c>
      <c r="L1872">
        <v>17.44</v>
      </c>
      <c r="M1872">
        <v>166.3</v>
      </c>
      <c r="N1872">
        <v>119</v>
      </c>
      <c r="O1872">
        <v>7.48</v>
      </c>
      <c r="P1872">
        <v>11.7</v>
      </c>
      <c r="Q1872">
        <v>4</v>
      </c>
      <c r="R1872">
        <v>3.16</v>
      </c>
      <c r="S1872">
        <v>1</v>
      </c>
      <c r="T1872" t="b">
        <v>0</v>
      </c>
    </row>
    <row r="1873" spans="1:20">
      <c r="A1873" t="s">
        <v>89</v>
      </c>
      <c r="B1873">
        <v>109</v>
      </c>
      <c r="C1873">
        <v>510</v>
      </c>
      <c r="D1873" t="s">
        <v>62</v>
      </c>
      <c r="E1873" t="s">
        <v>63</v>
      </c>
      <c r="F1873">
        <v>35</v>
      </c>
      <c r="G1873">
        <v>230.5</v>
      </c>
      <c r="H1873">
        <v>116</v>
      </c>
      <c r="I1873">
        <v>39.19</v>
      </c>
      <c r="J1873">
        <v>265.8</v>
      </c>
      <c r="K1873">
        <v>130</v>
      </c>
      <c r="L1873">
        <v>22.59</v>
      </c>
      <c r="M1873">
        <v>269.7</v>
      </c>
      <c r="N1873">
        <v>69</v>
      </c>
      <c r="O1873">
        <v>12.14</v>
      </c>
      <c r="P1873">
        <v>10.6</v>
      </c>
      <c r="Q1873">
        <v>6</v>
      </c>
      <c r="R1873">
        <v>2.86</v>
      </c>
      <c r="S1873">
        <v>5</v>
      </c>
      <c r="T1873" t="b">
        <v>0</v>
      </c>
    </row>
    <row r="1874" spans="1:20">
      <c r="A1874" t="s">
        <v>88</v>
      </c>
      <c r="B1874">
        <v>124</v>
      </c>
      <c r="C1874">
        <v>510</v>
      </c>
      <c r="D1874" t="s">
        <v>62</v>
      </c>
      <c r="E1874" t="s">
        <v>62</v>
      </c>
      <c r="F1874">
        <v>0</v>
      </c>
      <c r="G1874">
        <v>143.3</v>
      </c>
      <c r="H1874">
        <v>120</v>
      </c>
      <c r="I1874">
        <v>24.36</v>
      </c>
      <c r="J1874">
        <v>230.7</v>
      </c>
      <c r="K1874">
        <v>111</v>
      </c>
      <c r="L1874">
        <v>19.61</v>
      </c>
      <c r="M1874">
        <v>214.3</v>
      </c>
      <c r="N1874">
        <v>91</v>
      </c>
      <c r="O1874">
        <v>9.64</v>
      </c>
      <c r="P1874">
        <v>7.8</v>
      </c>
      <c r="Q1874">
        <v>2</v>
      </c>
      <c r="R1874">
        <v>2.11</v>
      </c>
      <c r="S1874">
        <v>4</v>
      </c>
      <c r="T1874" t="b">
        <v>1</v>
      </c>
    </row>
    <row r="1875" spans="1:20">
      <c r="A1875" t="s">
        <v>97</v>
      </c>
      <c r="B1875">
        <v>110</v>
      </c>
      <c r="C1875">
        <v>415</v>
      </c>
      <c r="D1875" t="s">
        <v>62</v>
      </c>
      <c r="E1875" t="s">
        <v>62</v>
      </c>
      <c r="F1875">
        <v>0</v>
      </c>
      <c r="G1875">
        <v>271.1</v>
      </c>
      <c r="H1875">
        <v>108</v>
      </c>
      <c r="I1875">
        <v>46.09</v>
      </c>
      <c r="J1875">
        <v>237</v>
      </c>
      <c r="K1875">
        <v>122</v>
      </c>
      <c r="L1875">
        <v>20.15</v>
      </c>
      <c r="M1875">
        <v>239.9</v>
      </c>
      <c r="N1875">
        <v>122</v>
      </c>
      <c r="O1875">
        <v>10.8</v>
      </c>
      <c r="P1875">
        <v>9.8</v>
      </c>
      <c r="Q1875">
        <v>5</v>
      </c>
      <c r="R1875">
        <v>2.65</v>
      </c>
      <c r="S1875">
        <v>2</v>
      </c>
      <c r="T1875" t="b">
        <v>1</v>
      </c>
    </row>
    <row r="1876" spans="1:20">
      <c r="A1876" t="s">
        <v>83</v>
      </c>
      <c r="B1876">
        <v>124</v>
      </c>
      <c r="C1876">
        <v>415</v>
      </c>
      <c r="D1876" t="s">
        <v>62</v>
      </c>
      <c r="E1876" t="s">
        <v>62</v>
      </c>
      <c r="F1876">
        <v>0</v>
      </c>
      <c r="G1876">
        <v>253.5</v>
      </c>
      <c r="H1876">
        <v>104</v>
      </c>
      <c r="I1876">
        <v>43.1</v>
      </c>
      <c r="J1876">
        <v>117.9</v>
      </c>
      <c r="K1876">
        <v>123</v>
      </c>
      <c r="L1876">
        <v>10.02</v>
      </c>
      <c r="M1876">
        <v>248.5</v>
      </c>
      <c r="N1876">
        <v>104</v>
      </c>
      <c r="O1876">
        <v>11.18</v>
      </c>
      <c r="P1876">
        <v>14</v>
      </c>
      <c r="Q1876">
        <v>2</v>
      </c>
      <c r="R1876">
        <v>3.78</v>
      </c>
      <c r="S1876">
        <v>0</v>
      </c>
      <c r="T1876" t="b">
        <v>0</v>
      </c>
    </row>
    <row r="1877" spans="1:20">
      <c r="A1877" t="s">
        <v>106</v>
      </c>
      <c r="B1877">
        <v>82</v>
      </c>
      <c r="C1877">
        <v>415</v>
      </c>
      <c r="D1877" t="s">
        <v>62</v>
      </c>
      <c r="E1877" t="s">
        <v>62</v>
      </c>
      <c r="F1877">
        <v>0</v>
      </c>
      <c r="G1877">
        <v>167.1</v>
      </c>
      <c r="H1877">
        <v>77</v>
      </c>
      <c r="I1877">
        <v>28.41</v>
      </c>
      <c r="J1877">
        <v>131.8</v>
      </c>
      <c r="K1877">
        <v>79</v>
      </c>
      <c r="L1877">
        <v>11.2</v>
      </c>
      <c r="M1877">
        <v>187.4</v>
      </c>
      <c r="N1877">
        <v>98</v>
      </c>
      <c r="O1877">
        <v>8.43</v>
      </c>
      <c r="P1877">
        <v>9.4</v>
      </c>
      <c r="Q1877">
        <v>1</v>
      </c>
      <c r="R1877">
        <v>2.54</v>
      </c>
      <c r="S1877">
        <v>6</v>
      </c>
      <c r="T1877" t="b">
        <v>1</v>
      </c>
    </row>
    <row r="1878" spans="1:20">
      <c r="A1878" t="s">
        <v>67</v>
      </c>
      <c r="B1878">
        <v>137</v>
      </c>
      <c r="C1878">
        <v>415</v>
      </c>
      <c r="D1878" t="s">
        <v>62</v>
      </c>
      <c r="E1878" t="s">
        <v>62</v>
      </c>
      <c r="F1878">
        <v>0</v>
      </c>
      <c r="G1878">
        <v>104.7</v>
      </c>
      <c r="H1878">
        <v>115</v>
      </c>
      <c r="I1878">
        <v>17.8</v>
      </c>
      <c r="J1878">
        <v>249.8</v>
      </c>
      <c r="K1878">
        <v>144</v>
      </c>
      <c r="L1878">
        <v>21.23</v>
      </c>
      <c r="M1878">
        <v>192.3</v>
      </c>
      <c r="N1878">
        <v>99</v>
      </c>
      <c r="O1878">
        <v>8.65</v>
      </c>
      <c r="P1878">
        <v>8.9</v>
      </c>
      <c r="Q1878">
        <v>2</v>
      </c>
      <c r="R1878">
        <v>2.4</v>
      </c>
      <c r="S1878">
        <v>1</v>
      </c>
      <c r="T1878" t="b">
        <v>0</v>
      </c>
    </row>
    <row r="1879" spans="1:20">
      <c r="A1879" t="s">
        <v>96</v>
      </c>
      <c r="B1879">
        <v>69</v>
      </c>
      <c r="C1879">
        <v>510</v>
      </c>
      <c r="D1879" t="s">
        <v>62</v>
      </c>
      <c r="E1879" t="s">
        <v>62</v>
      </c>
      <c r="F1879">
        <v>0</v>
      </c>
      <c r="G1879">
        <v>135.4</v>
      </c>
      <c r="H1879">
        <v>101</v>
      </c>
      <c r="I1879">
        <v>23.02</v>
      </c>
      <c r="J1879">
        <v>238.1</v>
      </c>
      <c r="K1879">
        <v>124</v>
      </c>
      <c r="L1879">
        <v>20.24</v>
      </c>
      <c r="M1879">
        <v>195.6</v>
      </c>
      <c r="N1879">
        <v>102</v>
      </c>
      <c r="O1879">
        <v>8.8</v>
      </c>
      <c r="P1879">
        <v>10.6</v>
      </c>
      <c r="Q1879">
        <v>2</v>
      </c>
      <c r="R1879">
        <v>2.86</v>
      </c>
      <c r="S1879">
        <v>1</v>
      </c>
      <c r="T1879" t="b">
        <v>0</v>
      </c>
    </row>
    <row r="1880" spans="1:20">
      <c r="A1880" t="s">
        <v>103</v>
      </c>
      <c r="B1880">
        <v>16</v>
      </c>
      <c r="C1880">
        <v>510</v>
      </c>
      <c r="D1880" t="s">
        <v>62</v>
      </c>
      <c r="E1880" t="s">
        <v>62</v>
      </c>
      <c r="F1880">
        <v>0</v>
      </c>
      <c r="G1880">
        <v>144.8</v>
      </c>
      <c r="H1880">
        <v>84</v>
      </c>
      <c r="I1880">
        <v>24.62</v>
      </c>
      <c r="J1880">
        <v>164.9</v>
      </c>
      <c r="K1880">
        <v>141</v>
      </c>
      <c r="L1880">
        <v>14.02</v>
      </c>
      <c r="M1880">
        <v>231.5</v>
      </c>
      <c r="N1880">
        <v>75</v>
      </c>
      <c r="O1880">
        <v>10.42</v>
      </c>
      <c r="P1880">
        <v>8.2</v>
      </c>
      <c r="Q1880">
        <v>4</v>
      </c>
      <c r="R1880">
        <v>2.21</v>
      </c>
      <c r="S1880">
        <v>2</v>
      </c>
      <c r="T1880" t="b">
        <v>0</v>
      </c>
    </row>
    <row r="1881" spans="1:20">
      <c r="A1881" t="s">
        <v>67</v>
      </c>
      <c r="B1881">
        <v>119</v>
      </c>
      <c r="C1881">
        <v>415</v>
      </c>
      <c r="D1881" t="s">
        <v>62</v>
      </c>
      <c r="E1881" t="s">
        <v>62</v>
      </c>
      <c r="F1881">
        <v>0</v>
      </c>
      <c r="G1881">
        <v>98.8</v>
      </c>
      <c r="H1881">
        <v>97</v>
      </c>
      <c r="I1881">
        <v>16.8</v>
      </c>
      <c r="J1881">
        <v>146.9</v>
      </c>
      <c r="K1881">
        <v>68</v>
      </c>
      <c r="L1881">
        <v>12.49</v>
      </c>
      <c r="M1881">
        <v>190.7</v>
      </c>
      <c r="N1881">
        <v>105</v>
      </c>
      <c r="O1881">
        <v>8.58</v>
      </c>
      <c r="P1881">
        <v>10</v>
      </c>
      <c r="Q1881">
        <v>4</v>
      </c>
      <c r="R1881">
        <v>2.7</v>
      </c>
      <c r="S1881">
        <v>3</v>
      </c>
      <c r="T1881" t="b">
        <v>0</v>
      </c>
    </row>
    <row r="1882" spans="1:20">
      <c r="A1882" t="s">
        <v>102</v>
      </c>
      <c r="B1882">
        <v>124</v>
      </c>
      <c r="C1882">
        <v>510</v>
      </c>
      <c r="D1882" t="s">
        <v>63</v>
      </c>
      <c r="E1882" t="s">
        <v>62</v>
      </c>
      <c r="F1882">
        <v>0</v>
      </c>
      <c r="G1882">
        <v>157.8</v>
      </c>
      <c r="H1882">
        <v>71</v>
      </c>
      <c r="I1882">
        <v>26.83</v>
      </c>
      <c r="J1882">
        <v>203.2</v>
      </c>
      <c r="K1882">
        <v>114</v>
      </c>
      <c r="L1882">
        <v>17.27</v>
      </c>
      <c r="M1882">
        <v>168.7</v>
      </c>
      <c r="N1882">
        <v>82</v>
      </c>
      <c r="O1882">
        <v>7.59</v>
      </c>
      <c r="P1882">
        <v>10</v>
      </c>
      <c r="Q1882">
        <v>2</v>
      </c>
      <c r="R1882">
        <v>2.7</v>
      </c>
      <c r="S1882">
        <v>3</v>
      </c>
      <c r="T1882" t="b">
        <v>1</v>
      </c>
    </row>
    <row r="1883" spans="1:20">
      <c r="A1883" t="s">
        <v>106</v>
      </c>
      <c r="B1883">
        <v>122</v>
      </c>
      <c r="C1883">
        <v>415</v>
      </c>
      <c r="D1883" t="s">
        <v>62</v>
      </c>
      <c r="E1883" t="s">
        <v>63</v>
      </c>
      <c r="F1883">
        <v>37</v>
      </c>
      <c r="G1883">
        <v>163</v>
      </c>
      <c r="H1883">
        <v>107</v>
      </c>
      <c r="I1883">
        <v>27.71</v>
      </c>
      <c r="J1883">
        <v>312.8</v>
      </c>
      <c r="K1883">
        <v>118</v>
      </c>
      <c r="L1883">
        <v>26.59</v>
      </c>
      <c r="M1883">
        <v>200</v>
      </c>
      <c r="N1883">
        <v>85</v>
      </c>
      <c r="O1883">
        <v>9</v>
      </c>
      <c r="P1883">
        <v>11.6</v>
      </c>
      <c r="Q1883">
        <v>5</v>
      </c>
      <c r="R1883">
        <v>3.13</v>
      </c>
      <c r="S1883">
        <v>1</v>
      </c>
      <c r="T1883" t="b">
        <v>0</v>
      </c>
    </row>
    <row r="1884" spans="1:20">
      <c r="A1884" t="s">
        <v>91</v>
      </c>
      <c r="B1884">
        <v>139</v>
      </c>
      <c r="C1884">
        <v>415</v>
      </c>
      <c r="D1884" t="s">
        <v>62</v>
      </c>
      <c r="E1884" t="s">
        <v>62</v>
      </c>
      <c r="F1884">
        <v>0</v>
      </c>
      <c r="G1884">
        <v>181.6</v>
      </c>
      <c r="H1884">
        <v>119</v>
      </c>
      <c r="I1884">
        <v>30.87</v>
      </c>
      <c r="J1884">
        <v>335.7</v>
      </c>
      <c r="K1884">
        <v>118</v>
      </c>
      <c r="L1884">
        <v>28.53</v>
      </c>
      <c r="M1884">
        <v>149.8</v>
      </c>
      <c r="N1884">
        <v>64</v>
      </c>
      <c r="O1884">
        <v>6.74</v>
      </c>
      <c r="P1884">
        <v>8.3</v>
      </c>
      <c r="Q1884">
        <v>6</v>
      </c>
      <c r="R1884">
        <v>2.24</v>
      </c>
      <c r="S1884">
        <v>4</v>
      </c>
      <c r="T1884" t="b">
        <v>0</v>
      </c>
    </row>
    <row r="1885" spans="1:20">
      <c r="A1885" t="s">
        <v>61</v>
      </c>
      <c r="B1885">
        <v>67</v>
      </c>
      <c r="C1885">
        <v>510</v>
      </c>
      <c r="D1885" t="s">
        <v>62</v>
      </c>
      <c r="E1885" t="s">
        <v>62</v>
      </c>
      <c r="F1885">
        <v>0</v>
      </c>
      <c r="G1885">
        <v>129</v>
      </c>
      <c r="H1885">
        <v>78</v>
      </c>
      <c r="I1885">
        <v>21.93</v>
      </c>
      <c r="J1885">
        <v>188</v>
      </c>
      <c r="K1885">
        <v>116</v>
      </c>
      <c r="L1885">
        <v>15.98</v>
      </c>
      <c r="M1885">
        <v>235</v>
      </c>
      <c r="N1885">
        <v>102</v>
      </c>
      <c r="O1885">
        <v>10.58</v>
      </c>
      <c r="P1885">
        <v>11.2</v>
      </c>
      <c r="Q1885">
        <v>3</v>
      </c>
      <c r="R1885">
        <v>3.02</v>
      </c>
      <c r="S1885">
        <v>2</v>
      </c>
      <c r="T1885" t="b">
        <v>0</v>
      </c>
    </row>
    <row r="1886" spans="1:20">
      <c r="A1886" t="s">
        <v>71</v>
      </c>
      <c r="B1886">
        <v>84</v>
      </c>
      <c r="C1886">
        <v>408</v>
      </c>
      <c r="D1886" t="s">
        <v>62</v>
      </c>
      <c r="E1886" t="s">
        <v>62</v>
      </c>
      <c r="F1886">
        <v>0</v>
      </c>
      <c r="G1886">
        <v>86</v>
      </c>
      <c r="H1886">
        <v>83</v>
      </c>
      <c r="I1886">
        <v>14.62</v>
      </c>
      <c r="J1886">
        <v>260.7</v>
      </c>
      <c r="K1886">
        <v>86</v>
      </c>
      <c r="L1886">
        <v>22.16</v>
      </c>
      <c r="M1886">
        <v>98.6</v>
      </c>
      <c r="N1886">
        <v>109</v>
      </c>
      <c r="O1886">
        <v>4.44</v>
      </c>
      <c r="P1886">
        <v>8.9</v>
      </c>
      <c r="Q1886">
        <v>4</v>
      </c>
      <c r="R1886">
        <v>2.4</v>
      </c>
      <c r="S1886">
        <v>1</v>
      </c>
      <c r="T1886" t="b">
        <v>0</v>
      </c>
    </row>
    <row r="1887" spans="1:20">
      <c r="A1887" t="s">
        <v>77</v>
      </c>
      <c r="B1887">
        <v>101</v>
      </c>
      <c r="C1887">
        <v>510</v>
      </c>
      <c r="D1887" t="s">
        <v>62</v>
      </c>
      <c r="E1887" t="s">
        <v>63</v>
      </c>
      <c r="F1887">
        <v>17</v>
      </c>
      <c r="G1887">
        <v>193.9</v>
      </c>
      <c r="H1887">
        <v>71</v>
      </c>
      <c r="I1887">
        <v>32.96</v>
      </c>
      <c r="J1887">
        <v>189.8</v>
      </c>
      <c r="K1887">
        <v>81</v>
      </c>
      <c r="L1887">
        <v>16.13</v>
      </c>
      <c r="M1887">
        <v>196.3</v>
      </c>
      <c r="N1887">
        <v>97</v>
      </c>
      <c r="O1887">
        <v>8.83</v>
      </c>
      <c r="P1887">
        <v>12.6</v>
      </c>
      <c r="Q1887">
        <v>7</v>
      </c>
      <c r="R1887">
        <v>3.4</v>
      </c>
      <c r="S1887">
        <v>0</v>
      </c>
      <c r="T1887" t="b">
        <v>0</v>
      </c>
    </row>
    <row r="1888" spans="1:20">
      <c r="A1888" t="s">
        <v>88</v>
      </c>
      <c r="B1888">
        <v>40</v>
      </c>
      <c r="C1888">
        <v>510</v>
      </c>
      <c r="D1888" t="s">
        <v>62</v>
      </c>
      <c r="E1888" t="s">
        <v>62</v>
      </c>
      <c r="F1888">
        <v>0</v>
      </c>
      <c r="G1888">
        <v>109.4</v>
      </c>
      <c r="H1888">
        <v>107</v>
      </c>
      <c r="I1888">
        <v>18.6</v>
      </c>
      <c r="J1888">
        <v>244.7</v>
      </c>
      <c r="K1888">
        <v>102</v>
      </c>
      <c r="L1888">
        <v>20.8</v>
      </c>
      <c r="M1888">
        <v>276.9</v>
      </c>
      <c r="N1888">
        <v>123</v>
      </c>
      <c r="O1888">
        <v>12.46</v>
      </c>
      <c r="P1888">
        <v>7.1</v>
      </c>
      <c r="Q1888">
        <v>7</v>
      </c>
      <c r="R1888">
        <v>1.92</v>
      </c>
      <c r="S1888">
        <v>0</v>
      </c>
      <c r="T1888" t="b">
        <v>0</v>
      </c>
    </row>
    <row r="1889" spans="1:20">
      <c r="A1889" t="s">
        <v>110</v>
      </c>
      <c r="B1889">
        <v>61</v>
      </c>
      <c r="C1889">
        <v>415</v>
      </c>
      <c r="D1889" t="s">
        <v>62</v>
      </c>
      <c r="E1889" t="s">
        <v>62</v>
      </c>
      <c r="F1889">
        <v>0</v>
      </c>
      <c r="G1889">
        <v>188.9</v>
      </c>
      <c r="H1889">
        <v>105</v>
      </c>
      <c r="I1889">
        <v>32.11</v>
      </c>
      <c r="J1889">
        <v>153.6</v>
      </c>
      <c r="K1889">
        <v>116</v>
      </c>
      <c r="L1889">
        <v>13.06</v>
      </c>
      <c r="M1889">
        <v>213.3</v>
      </c>
      <c r="N1889">
        <v>106</v>
      </c>
      <c r="O1889">
        <v>9.6</v>
      </c>
      <c r="P1889">
        <v>10.2</v>
      </c>
      <c r="Q1889">
        <v>2</v>
      </c>
      <c r="R1889">
        <v>2.75</v>
      </c>
      <c r="S1889">
        <v>2</v>
      </c>
      <c r="T1889" t="b">
        <v>0</v>
      </c>
    </row>
    <row r="1890" spans="1:20">
      <c r="A1890" t="s">
        <v>112</v>
      </c>
      <c r="B1890">
        <v>120</v>
      </c>
      <c r="C1890">
        <v>408</v>
      </c>
      <c r="D1890" t="s">
        <v>63</v>
      </c>
      <c r="E1890" t="s">
        <v>62</v>
      </c>
      <c r="F1890">
        <v>0</v>
      </c>
      <c r="G1890">
        <v>179.9</v>
      </c>
      <c r="H1890">
        <v>72</v>
      </c>
      <c r="I1890">
        <v>30.58</v>
      </c>
      <c r="J1890">
        <v>170</v>
      </c>
      <c r="K1890">
        <v>98</v>
      </c>
      <c r="L1890">
        <v>14.45</v>
      </c>
      <c r="M1890">
        <v>190.6</v>
      </c>
      <c r="N1890">
        <v>89</v>
      </c>
      <c r="O1890">
        <v>8.58</v>
      </c>
      <c r="P1890">
        <v>13.8</v>
      </c>
      <c r="Q1890">
        <v>2</v>
      </c>
      <c r="R1890">
        <v>3.73</v>
      </c>
      <c r="S1890">
        <v>1</v>
      </c>
      <c r="T1890" t="b">
        <v>1</v>
      </c>
    </row>
    <row r="1891" spans="1:20">
      <c r="A1891" t="s">
        <v>98</v>
      </c>
      <c r="B1891">
        <v>95</v>
      </c>
      <c r="C1891">
        <v>415</v>
      </c>
      <c r="D1891" t="s">
        <v>62</v>
      </c>
      <c r="E1891" t="s">
        <v>62</v>
      </c>
      <c r="F1891">
        <v>0</v>
      </c>
      <c r="G1891">
        <v>183.4</v>
      </c>
      <c r="H1891">
        <v>98</v>
      </c>
      <c r="I1891">
        <v>31.18</v>
      </c>
      <c r="J1891">
        <v>281.3</v>
      </c>
      <c r="K1891">
        <v>95</v>
      </c>
      <c r="L1891">
        <v>23.91</v>
      </c>
      <c r="M1891">
        <v>105.2</v>
      </c>
      <c r="N1891">
        <v>113</v>
      </c>
      <c r="O1891">
        <v>4.73</v>
      </c>
      <c r="P1891">
        <v>8.2</v>
      </c>
      <c r="Q1891">
        <v>8</v>
      </c>
      <c r="R1891">
        <v>2.21</v>
      </c>
      <c r="S1891">
        <v>1</v>
      </c>
      <c r="T1891" t="b">
        <v>0</v>
      </c>
    </row>
    <row r="1892" spans="1:20">
      <c r="A1892" t="s">
        <v>81</v>
      </c>
      <c r="B1892">
        <v>98</v>
      </c>
      <c r="C1892">
        <v>408</v>
      </c>
      <c r="D1892" t="s">
        <v>62</v>
      </c>
      <c r="E1892" t="s">
        <v>62</v>
      </c>
      <c r="F1892">
        <v>0</v>
      </c>
      <c r="G1892">
        <v>288.1</v>
      </c>
      <c r="H1892">
        <v>101</v>
      </c>
      <c r="I1892">
        <v>48.98</v>
      </c>
      <c r="J1892">
        <v>137.9</v>
      </c>
      <c r="K1892">
        <v>93</v>
      </c>
      <c r="L1892">
        <v>11.72</v>
      </c>
      <c r="M1892">
        <v>206.5</v>
      </c>
      <c r="N1892">
        <v>88</v>
      </c>
      <c r="O1892">
        <v>9.29</v>
      </c>
      <c r="P1892">
        <v>0</v>
      </c>
      <c r="Q1892">
        <v>0</v>
      </c>
      <c r="R1892">
        <v>0</v>
      </c>
      <c r="S1892">
        <v>0</v>
      </c>
      <c r="T1892" t="b">
        <v>0</v>
      </c>
    </row>
    <row r="1893" spans="1:20">
      <c r="A1893" t="s">
        <v>88</v>
      </c>
      <c r="B1893">
        <v>114</v>
      </c>
      <c r="C1893">
        <v>415</v>
      </c>
      <c r="D1893" t="s">
        <v>62</v>
      </c>
      <c r="E1893" t="s">
        <v>62</v>
      </c>
      <c r="F1893">
        <v>0</v>
      </c>
      <c r="G1893">
        <v>169.2</v>
      </c>
      <c r="H1893">
        <v>96</v>
      </c>
      <c r="I1893">
        <v>28.76</v>
      </c>
      <c r="J1893">
        <v>149.9</v>
      </c>
      <c r="K1893">
        <v>83</v>
      </c>
      <c r="L1893">
        <v>12.74</v>
      </c>
      <c r="M1893">
        <v>196.9</v>
      </c>
      <c r="N1893">
        <v>119</v>
      </c>
      <c r="O1893">
        <v>8.86</v>
      </c>
      <c r="P1893">
        <v>4.6</v>
      </c>
      <c r="Q1893">
        <v>4</v>
      </c>
      <c r="R1893">
        <v>1.24</v>
      </c>
      <c r="S1893">
        <v>2</v>
      </c>
      <c r="T1893" t="b">
        <v>0</v>
      </c>
    </row>
    <row r="1894" spans="1:20">
      <c r="A1894" t="s">
        <v>116</v>
      </c>
      <c r="B1894">
        <v>22</v>
      </c>
      <c r="C1894">
        <v>408</v>
      </c>
      <c r="D1894" t="s">
        <v>62</v>
      </c>
      <c r="E1894" t="s">
        <v>62</v>
      </c>
      <c r="F1894">
        <v>0</v>
      </c>
      <c r="G1894">
        <v>207.7</v>
      </c>
      <c r="H1894">
        <v>116</v>
      </c>
      <c r="I1894">
        <v>35.31</v>
      </c>
      <c r="J1894">
        <v>210.6</v>
      </c>
      <c r="K1894">
        <v>99</v>
      </c>
      <c r="L1894">
        <v>17.9</v>
      </c>
      <c r="M1894">
        <v>238.2</v>
      </c>
      <c r="N1894">
        <v>88</v>
      </c>
      <c r="O1894">
        <v>10.72</v>
      </c>
      <c r="P1894">
        <v>9.6</v>
      </c>
      <c r="Q1894">
        <v>5</v>
      </c>
      <c r="R1894">
        <v>2.59</v>
      </c>
      <c r="S1894">
        <v>0</v>
      </c>
      <c r="T1894" t="b">
        <v>0</v>
      </c>
    </row>
    <row r="1895" spans="1:20">
      <c r="A1895" t="s">
        <v>113</v>
      </c>
      <c r="B1895">
        <v>176</v>
      </c>
      <c r="C1895">
        <v>415</v>
      </c>
      <c r="D1895" t="s">
        <v>62</v>
      </c>
      <c r="E1895" t="s">
        <v>62</v>
      </c>
      <c r="F1895">
        <v>0</v>
      </c>
      <c r="G1895">
        <v>169.5</v>
      </c>
      <c r="H1895">
        <v>151</v>
      </c>
      <c r="I1895">
        <v>28.82</v>
      </c>
      <c r="J1895">
        <v>112.9</v>
      </c>
      <c r="K1895">
        <v>84</v>
      </c>
      <c r="L1895">
        <v>9.6</v>
      </c>
      <c r="M1895">
        <v>56.6</v>
      </c>
      <c r="N1895">
        <v>99</v>
      </c>
      <c r="O1895">
        <v>2.55</v>
      </c>
      <c r="P1895">
        <v>8.7</v>
      </c>
      <c r="Q1895">
        <v>4</v>
      </c>
      <c r="R1895">
        <v>2.35</v>
      </c>
      <c r="S1895">
        <v>0</v>
      </c>
      <c r="T1895" t="b">
        <v>0</v>
      </c>
    </row>
    <row r="1896" spans="1:20">
      <c r="A1896" t="s">
        <v>80</v>
      </c>
      <c r="B1896">
        <v>152</v>
      </c>
      <c r="C1896">
        <v>415</v>
      </c>
      <c r="D1896" t="s">
        <v>62</v>
      </c>
      <c r="E1896" t="s">
        <v>62</v>
      </c>
      <c r="F1896">
        <v>0</v>
      </c>
      <c r="G1896">
        <v>141.5</v>
      </c>
      <c r="H1896">
        <v>102</v>
      </c>
      <c r="I1896">
        <v>24.06</v>
      </c>
      <c r="J1896">
        <v>263</v>
      </c>
      <c r="K1896">
        <v>94</v>
      </c>
      <c r="L1896">
        <v>22.36</v>
      </c>
      <c r="M1896">
        <v>207.1</v>
      </c>
      <c r="N1896">
        <v>113</v>
      </c>
      <c r="O1896">
        <v>9.32</v>
      </c>
      <c r="P1896">
        <v>3.4</v>
      </c>
      <c r="Q1896">
        <v>4</v>
      </c>
      <c r="R1896">
        <v>0.92</v>
      </c>
      <c r="S1896">
        <v>2</v>
      </c>
      <c r="T1896" t="b">
        <v>0</v>
      </c>
    </row>
    <row r="1897" spans="1:20">
      <c r="A1897" t="s">
        <v>79</v>
      </c>
      <c r="B1897">
        <v>118</v>
      </c>
      <c r="C1897">
        <v>408</v>
      </c>
      <c r="D1897" t="s">
        <v>62</v>
      </c>
      <c r="E1897" t="s">
        <v>62</v>
      </c>
      <c r="F1897">
        <v>0</v>
      </c>
      <c r="G1897">
        <v>154.8</v>
      </c>
      <c r="H1897">
        <v>71</v>
      </c>
      <c r="I1897">
        <v>26.32</v>
      </c>
      <c r="J1897">
        <v>244</v>
      </c>
      <c r="K1897">
        <v>73</v>
      </c>
      <c r="L1897">
        <v>20.74</v>
      </c>
      <c r="M1897">
        <v>159.6</v>
      </c>
      <c r="N1897">
        <v>81</v>
      </c>
      <c r="O1897">
        <v>7.18</v>
      </c>
      <c r="P1897">
        <v>12.8</v>
      </c>
      <c r="Q1897">
        <v>4</v>
      </c>
      <c r="R1897">
        <v>3.46</v>
      </c>
      <c r="S1897">
        <v>0</v>
      </c>
      <c r="T1897" t="b">
        <v>0</v>
      </c>
    </row>
    <row r="1898" spans="1:20">
      <c r="A1898" t="s">
        <v>69</v>
      </c>
      <c r="B1898">
        <v>101</v>
      </c>
      <c r="C1898">
        <v>415</v>
      </c>
      <c r="D1898" t="s">
        <v>63</v>
      </c>
      <c r="E1898" t="s">
        <v>62</v>
      </c>
      <c r="F1898">
        <v>0</v>
      </c>
      <c r="G1898">
        <v>133.5</v>
      </c>
      <c r="H1898">
        <v>51</v>
      </c>
      <c r="I1898">
        <v>22.7</v>
      </c>
      <c r="J1898">
        <v>219.6</v>
      </c>
      <c r="K1898">
        <v>96</v>
      </c>
      <c r="L1898">
        <v>18.67</v>
      </c>
      <c r="M1898">
        <v>210</v>
      </c>
      <c r="N1898">
        <v>74</v>
      </c>
      <c r="O1898">
        <v>9.45</v>
      </c>
      <c r="P1898">
        <v>11.7</v>
      </c>
      <c r="Q1898">
        <v>4</v>
      </c>
      <c r="R1898">
        <v>3.16</v>
      </c>
      <c r="S1898">
        <v>1</v>
      </c>
      <c r="T1898" t="b">
        <v>0</v>
      </c>
    </row>
    <row r="1899" spans="1:20">
      <c r="A1899" t="s">
        <v>115</v>
      </c>
      <c r="B1899">
        <v>118</v>
      </c>
      <c r="C1899">
        <v>408</v>
      </c>
      <c r="D1899" t="s">
        <v>62</v>
      </c>
      <c r="E1899" t="s">
        <v>62</v>
      </c>
      <c r="F1899">
        <v>0</v>
      </c>
      <c r="G1899">
        <v>224.6</v>
      </c>
      <c r="H1899">
        <v>94</v>
      </c>
      <c r="I1899">
        <v>38.18</v>
      </c>
      <c r="J1899">
        <v>225.9</v>
      </c>
      <c r="K1899">
        <v>120</v>
      </c>
      <c r="L1899">
        <v>19.2</v>
      </c>
      <c r="M1899">
        <v>269</v>
      </c>
      <c r="N1899">
        <v>105</v>
      </c>
      <c r="O1899">
        <v>12.11</v>
      </c>
      <c r="P1899">
        <v>12.5</v>
      </c>
      <c r="Q1899">
        <v>8</v>
      </c>
      <c r="R1899">
        <v>3.38</v>
      </c>
      <c r="S1899">
        <v>2</v>
      </c>
      <c r="T1899" t="b">
        <v>0</v>
      </c>
    </row>
    <row r="1900" spans="1:20">
      <c r="A1900" t="s">
        <v>81</v>
      </c>
      <c r="B1900">
        <v>105</v>
      </c>
      <c r="C1900">
        <v>415</v>
      </c>
      <c r="D1900" t="s">
        <v>62</v>
      </c>
      <c r="E1900" t="s">
        <v>62</v>
      </c>
      <c r="F1900">
        <v>0</v>
      </c>
      <c r="G1900">
        <v>273.8</v>
      </c>
      <c r="H1900">
        <v>97</v>
      </c>
      <c r="I1900">
        <v>46.55</v>
      </c>
      <c r="J1900">
        <v>289.7</v>
      </c>
      <c r="K1900">
        <v>106</v>
      </c>
      <c r="L1900">
        <v>24.62</v>
      </c>
      <c r="M1900">
        <v>269.1</v>
      </c>
      <c r="N1900">
        <v>126</v>
      </c>
      <c r="O1900">
        <v>12.11</v>
      </c>
      <c r="P1900">
        <v>5.8</v>
      </c>
      <c r="Q1900">
        <v>3</v>
      </c>
      <c r="R1900">
        <v>1.57</v>
      </c>
      <c r="S1900">
        <v>2</v>
      </c>
      <c r="T1900" t="b">
        <v>1</v>
      </c>
    </row>
    <row r="1901" spans="1:20">
      <c r="A1901" t="s">
        <v>107</v>
      </c>
      <c r="B1901">
        <v>71</v>
      </c>
      <c r="C1901">
        <v>415</v>
      </c>
      <c r="D1901" t="s">
        <v>62</v>
      </c>
      <c r="E1901" t="s">
        <v>62</v>
      </c>
      <c r="F1901">
        <v>0</v>
      </c>
      <c r="G1901">
        <v>104</v>
      </c>
      <c r="H1901">
        <v>92</v>
      </c>
      <c r="I1901">
        <v>17.68</v>
      </c>
      <c r="J1901">
        <v>197</v>
      </c>
      <c r="K1901">
        <v>125</v>
      </c>
      <c r="L1901">
        <v>16.75</v>
      </c>
      <c r="M1901">
        <v>110.1</v>
      </c>
      <c r="N1901">
        <v>123</v>
      </c>
      <c r="O1901">
        <v>4.95</v>
      </c>
      <c r="P1901">
        <v>14.6</v>
      </c>
      <c r="Q1901">
        <v>8</v>
      </c>
      <c r="R1901">
        <v>3.94</v>
      </c>
      <c r="S1901">
        <v>0</v>
      </c>
      <c r="T1901" t="b">
        <v>0</v>
      </c>
    </row>
    <row r="1902" spans="1:20">
      <c r="A1902" t="s">
        <v>91</v>
      </c>
      <c r="B1902">
        <v>71</v>
      </c>
      <c r="C1902">
        <v>415</v>
      </c>
      <c r="D1902" t="s">
        <v>62</v>
      </c>
      <c r="E1902" t="s">
        <v>63</v>
      </c>
      <c r="F1902">
        <v>31</v>
      </c>
      <c r="G1902">
        <v>115.4</v>
      </c>
      <c r="H1902">
        <v>90</v>
      </c>
      <c r="I1902">
        <v>19.62</v>
      </c>
      <c r="J1902">
        <v>217.4</v>
      </c>
      <c r="K1902">
        <v>78</v>
      </c>
      <c r="L1902">
        <v>18.48</v>
      </c>
      <c r="M1902">
        <v>239.9</v>
      </c>
      <c r="N1902">
        <v>102</v>
      </c>
      <c r="O1902">
        <v>10.8</v>
      </c>
      <c r="P1902">
        <v>13.1</v>
      </c>
      <c r="Q1902">
        <v>4</v>
      </c>
      <c r="R1902">
        <v>3.54</v>
      </c>
      <c r="S1902">
        <v>1</v>
      </c>
      <c r="T1902" t="b">
        <v>0</v>
      </c>
    </row>
    <row r="1903" spans="1:20">
      <c r="A1903" t="s">
        <v>96</v>
      </c>
      <c r="B1903">
        <v>68</v>
      </c>
      <c r="C1903">
        <v>415</v>
      </c>
      <c r="D1903" t="s">
        <v>62</v>
      </c>
      <c r="E1903" t="s">
        <v>62</v>
      </c>
      <c r="F1903">
        <v>0</v>
      </c>
      <c r="G1903">
        <v>222.1</v>
      </c>
      <c r="H1903">
        <v>107</v>
      </c>
      <c r="I1903">
        <v>37.76</v>
      </c>
      <c r="J1903">
        <v>199.4</v>
      </c>
      <c r="K1903">
        <v>102</v>
      </c>
      <c r="L1903">
        <v>16.95</v>
      </c>
      <c r="M1903">
        <v>162.4</v>
      </c>
      <c r="N1903">
        <v>107</v>
      </c>
      <c r="O1903">
        <v>7.31</v>
      </c>
      <c r="P1903">
        <v>9.4</v>
      </c>
      <c r="Q1903">
        <v>3</v>
      </c>
      <c r="R1903">
        <v>2.54</v>
      </c>
      <c r="S1903">
        <v>2</v>
      </c>
      <c r="T1903" t="b">
        <v>0</v>
      </c>
    </row>
    <row r="1904" spans="1:20">
      <c r="A1904" t="s">
        <v>68</v>
      </c>
      <c r="B1904">
        <v>66</v>
      </c>
      <c r="C1904">
        <v>415</v>
      </c>
      <c r="D1904" t="s">
        <v>62</v>
      </c>
      <c r="E1904" t="s">
        <v>62</v>
      </c>
      <c r="F1904">
        <v>0</v>
      </c>
      <c r="G1904">
        <v>116.4</v>
      </c>
      <c r="H1904">
        <v>98</v>
      </c>
      <c r="I1904">
        <v>19.79</v>
      </c>
      <c r="J1904">
        <v>95.6</v>
      </c>
      <c r="K1904">
        <v>74</v>
      </c>
      <c r="L1904">
        <v>8.13</v>
      </c>
      <c r="M1904">
        <v>181.5</v>
      </c>
      <c r="N1904">
        <v>94</v>
      </c>
      <c r="O1904">
        <v>8.17</v>
      </c>
      <c r="P1904">
        <v>10.5</v>
      </c>
      <c r="Q1904">
        <v>3</v>
      </c>
      <c r="R1904">
        <v>2.84</v>
      </c>
      <c r="S1904">
        <v>3</v>
      </c>
      <c r="T1904" t="b">
        <v>0</v>
      </c>
    </row>
    <row r="1905" spans="1:20">
      <c r="A1905" t="s">
        <v>115</v>
      </c>
      <c r="B1905">
        <v>101</v>
      </c>
      <c r="C1905">
        <v>415</v>
      </c>
      <c r="D1905" t="s">
        <v>62</v>
      </c>
      <c r="E1905" t="s">
        <v>62</v>
      </c>
      <c r="F1905">
        <v>0</v>
      </c>
      <c r="G1905">
        <v>217.7</v>
      </c>
      <c r="H1905">
        <v>118</v>
      </c>
      <c r="I1905">
        <v>37.01</v>
      </c>
      <c r="J1905">
        <v>231.7</v>
      </c>
      <c r="K1905">
        <v>128</v>
      </c>
      <c r="L1905">
        <v>19.69</v>
      </c>
      <c r="M1905">
        <v>185.3</v>
      </c>
      <c r="N1905">
        <v>128</v>
      </c>
      <c r="O1905">
        <v>8.34</v>
      </c>
      <c r="P1905">
        <v>0</v>
      </c>
      <c r="Q1905">
        <v>0</v>
      </c>
      <c r="R1905">
        <v>0</v>
      </c>
      <c r="S1905">
        <v>3</v>
      </c>
      <c r="T1905" t="b">
        <v>0</v>
      </c>
    </row>
    <row r="1906" spans="1:20">
      <c r="A1906" t="s">
        <v>78</v>
      </c>
      <c r="B1906">
        <v>116</v>
      </c>
      <c r="C1906">
        <v>415</v>
      </c>
      <c r="D1906" t="s">
        <v>62</v>
      </c>
      <c r="E1906" t="s">
        <v>62</v>
      </c>
      <c r="F1906">
        <v>0</v>
      </c>
      <c r="G1906">
        <v>129.4</v>
      </c>
      <c r="H1906">
        <v>84</v>
      </c>
      <c r="I1906">
        <v>22</v>
      </c>
      <c r="J1906">
        <v>157.3</v>
      </c>
      <c r="K1906">
        <v>89</v>
      </c>
      <c r="L1906">
        <v>13.37</v>
      </c>
      <c r="M1906">
        <v>215.5</v>
      </c>
      <c r="N1906">
        <v>77</v>
      </c>
      <c r="O1906">
        <v>9.7</v>
      </c>
      <c r="P1906">
        <v>13.3</v>
      </c>
      <c r="Q1906">
        <v>3</v>
      </c>
      <c r="R1906">
        <v>3.59</v>
      </c>
      <c r="S1906">
        <v>0</v>
      </c>
      <c r="T1906" t="b">
        <v>0</v>
      </c>
    </row>
    <row r="1907" spans="1:20">
      <c r="A1907" t="s">
        <v>116</v>
      </c>
      <c r="B1907">
        <v>54</v>
      </c>
      <c r="C1907">
        <v>415</v>
      </c>
      <c r="D1907" t="s">
        <v>62</v>
      </c>
      <c r="E1907" t="s">
        <v>63</v>
      </c>
      <c r="F1907">
        <v>33</v>
      </c>
      <c r="G1907">
        <v>161.8</v>
      </c>
      <c r="H1907">
        <v>73</v>
      </c>
      <c r="I1907">
        <v>27.51</v>
      </c>
      <c r="J1907">
        <v>273</v>
      </c>
      <c r="K1907">
        <v>58</v>
      </c>
      <c r="L1907">
        <v>23.21</v>
      </c>
      <c r="M1907">
        <v>153.9</v>
      </c>
      <c r="N1907">
        <v>76</v>
      </c>
      <c r="O1907">
        <v>6.93</v>
      </c>
      <c r="P1907">
        <v>13.7</v>
      </c>
      <c r="Q1907">
        <v>4</v>
      </c>
      <c r="R1907">
        <v>3.7</v>
      </c>
      <c r="S1907">
        <v>0</v>
      </c>
      <c r="T1907" t="b">
        <v>0</v>
      </c>
    </row>
    <row r="1908" spans="1:20">
      <c r="A1908" t="s">
        <v>79</v>
      </c>
      <c r="B1908">
        <v>112</v>
      </c>
      <c r="C1908">
        <v>408</v>
      </c>
      <c r="D1908" t="s">
        <v>62</v>
      </c>
      <c r="E1908" t="s">
        <v>63</v>
      </c>
      <c r="F1908">
        <v>29</v>
      </c>
      <c r="G1908">
        <v>198.8</v>
      </c>
      <c r="H1908">
        <v>122</v>
      </c>
      <c r="I1908">
        <v>33.8</v>
      </c>
      <c r="J1908">
        <v>238.6</v>
      </c>
      <c r="K1908">
        <v>114</v>
      </c>
      <c r="L1908">
        <v>20.28</v>
      </c>
      <c r="M1908">
        <v>289.5</v>
      </c>
      <c r="N1908">
        <v>69</v>
      </c>
      <c r="O1908">
        <v>13.03</v>
      </c>
      <c r="P1908">
        <v>11.5</v>
      </c>
      <c r="Q1908">
        <v>5</v>
      </c>
      <c r="R1908">
        <v>3.11</v>
      </c>
      <c r="S1908">
        <v>1</v>
      </c>
      <c r="T1908" t="b">
        <v>0</v>
      </c>
    </row>
    <row r="1909" spans="1:20">
      <c r="A1909" t="s">
        <v>109</v>
      </c>
      <c r="B1909">
        <v>122</v>
      </c>
      <c r="C1909">
        <v>408</v>
      </c>
      <c r="D1909" t="s">
        <v>62</v>
      </c>
      <c r="E1909" t="s">
        <v>63</v>
      </c>
      <c r="F1909">
        <v>45</v>
      </c>
      <c r="G1909">
        <v>147.8</v>
      </c>
      <c r="H1909">
        <v>85</v>
      </c>
      <c r="I1909">
        <v>25.13</v>
      </c>
      <c r="J1909">
        <v>147.4</v>
      </c>
      <c r="K1909">
        <v>93</v>
      </c>
      <c r="L1909">
        <v>12.53</v>
      </c>
      <c r="M1909">
        <v>203.5</v>
      </c>
      <c r="N1909">
        <v>110</v>
      </c>
      <c r="O1909">
        <v>9.16</v>
      </c>
      <c r="P1909">
        <v>14</v>
      </c>
      <c r="Q1909">
        <v>5</v>
      </c>
      <c r="R1909">
        <v>3.78</v>
      </c>
      <c r="S1909">
        <v>1</v>
      </c>
      <c r="T1909" t="b">
        <v>0</v>
      </c>
    </row>
    <row r="1910" spans="1:20">
      <c r="A1910" t="s">
        <v>90</v>
      </c>
      <c r="B1910">
        <v>74</v>
      </c>
      <c r="C1910">
        <v>415</v>
      </c>
      <c r="D1910" t="s">
        <v>62</v>
      </c>
      <c r="E1910" t="s">
        <v>62</v>
      </c>
      <c r="F1910">
        <v>0</v>
      </c>
      <c r="G1910">
        <v>262.3</v>
      </c>
      <c r="H1910">
        <v>114</v>
      </c>
      <c r="I1910">
        <v>44.59</v>
      </c>
      <c r="J1910">
        <v>198.9</v>
      </c>
      <c r="K1910">
        <v>96</v>
      </c>
      <c r="L1910">
        <v>16.91</v>
      </c>
      <c r="M1910">
        <v>165.9</v>
      </c>
      <c r="N1910">
        <v>90</v>
      </c>
      <c r="O1910">
        <v>7.47</v>
      </c>
      <c r="P1910">
        <v>6.6</v>
      </c>
      <c r="Q1910">
        <v>5</v>
      </c>
      <c r="R1910">
        <v>1.78</v>
      </c>
      <c r="S1910">
        <v>3</v>
      </c>
      <c r="T1910" t="b">
        <v>0</v>
      </c>
    </row>
    <row r="1911" spans="1:20">
      <c r="A1911" t="s">
        <v>85</v>
      </c>
      <c r="B1911">
        <v>90</v>
      </c>
      <c r="C1911">
        <v>415</v>
      </c>
      <c r="D1911" t="s">
        <v>62</v>
      </c>
      <c r="E1911" t="s">
        <v>62</v>
      </c>
      <c r="F1911">
        <v>0</v>
      </c>
      <c r="G1911">
        <v>246.4</v>
      </c>
      <c r="H1911">
        <v>83</v>
      </c>
      <c r="I1911">
        <v>41.89</v>
      </c>
      <c r="J1911">
        <v>160.3</v>
      </c>
      <c r="K1911">
        <v>88</v>
      </c>
      <c r="L1911">
        <v>13.63</v>
      </c>
      <c r="M1911">
        <v>170.9</v>
      </c>
      <c r="N1911">
        <v>99</v>
      </c>
      <c r="O1911">
        <v>7.69</v>
      </c>
      <c r="P1911">
        <v>7.6</v>
      </c>
      <c r="Q1911">
        <v>7</v>
      </c>
      <c r="R1911">
        <v>2.05</v>
      </c>
      <c r="S1911">
        <v>1</v>
      </c>
      <c r="T1911" t="b">
        <v>0</v>
      </c>
    </row>
    <row r="1912" spans="1:20">
      <c r="A1912" t="s">
        <v>106</v>
      </c>
      <c r="B1912">
        <v>112</v>
      </c>
      <c r="C1912">
        <v>415</v>
      </c>
      <c r="D1912" t="s">
        <v>62</v>
      </c>
      <c r="E1912" t="s">
        <v>62</v>
      </c>
      <c r="F1912">
        <v>0</v>
      </c>
      <c r="G1912">
        <v>174.3</v>
      </c>
      <c r="H1912">
        <v>123</v>
      </c>
      <c r="I1912">
        <v>29.63</v>
      </c>
      <c r="J1912">
        <v>140.2</v>
      </c>
      <c r="K1912">
        <v>124</v>
      </c>
      <c r="L1912">
        <v>11.92</v>
      </c>
      <c r="M1912">
        <v>215.4</v>
      </c>
      <c r="N1912">
        <v>89</v>
      </c>
      <c r="O1912">
        <v>9.69</v>
      </c>
      <c r="P1912">
        <v>9</v>
      </c>
      <c r="Q1912">
        <v>6</v>
      </c>
      <c r="R1912">
        <v>2.43</v>
      </c>
      <c r="S1912">
        <v>4</v>
      </c>
      <c r="T1912" t="b">
        <v>1</v>
      </c>
    </row>
    <row r="1913" spans="1:20">
      <c r="A1913" t="s">
        <v>100</v>
      </c>
      <c r="B1913">
        <v>85</v>
      </c>
      <c r="C1913">
        <v>510</v>
      </c>
      <c r="D1913" t="s">
        <v>62</v>
      </c>
      <c r="E1913" t="s">
        <v>62</v>
      </c>
      <c r="F1913">
        <v>0</v>
      </c>
      <c r="G1913">
        <v>183.4</v>
      </c>
      <c r="H1913">
        <v>111</v>
      </c>
      <c r="I1913">
        <v>31.18</v>
      </c>
      <c r="J1913">
        <v>168.8</v>
      </c>
      <c r="K1913">
        <v>98</v>
      </c>
      <c r="L1913">
        <v>14.35</v>
      </c>
      <c r="M1913">
        <v>199.7</v>
      </c>
      <c r="N1913">
        <v>97</v>
      </c>
      <c r="O1913">
        <v>8.99</v>
      </c>
      <c r="P1913">
        <v>9.9</v>
      </c>
      <c r="Q1913">
        <v>4</v>
      </c>
      <c r="R1913">
        <v>2.67</v>
      </c>
      <c r="S1913">
        <v>4</v>
      </c>
      <c r="T1913" t="b">
        <v>0</v>
      </c>
    </row>
    <row r="1914" spans="1:20">
      <c r="A1914" t="s">
        <v>86</v>
      </c>
      <c r="B1914">
        <v>100</v>
      </c>
      <c r="C1914">
        <v>415</v>
      </c>
      <c r="D1914" t="s">
        <v>62</v>
      </c>
      <c r="E1914" t="s">
        <v>62</v>
      </c>
      <c r="F1914">
        <v>0</v>
      </c>
      <c r="G1914">
        <v>191.9</v>
      </c>
      <c r="H1914">
        <v>95</v>
      </c>
      <c r="I1914">
        <v>32.62</v>
      </c>
      <c r="J1914">
        <v>200.9</v>
      </c>
      <c r="K1914">
        <v>101</v>
      </c>
      <c r="L1914">
        <v>17.08</v>
      </c>
      <c r="M1914">
        <v>271.9</v>
      </c>
      <c r="N1914">
        <v>74</v>
      </c>
      <c r="O1914">
        <v>12.24</v>
      </c>
      <c r="P1914">
        <v>18.2</v>
      </c>
      <c r="Q1914">
        <v>3</v>
      </c>
      <c r="R1914">
        <v>4.91</v>
      </c>
      <c r="S1914">
        <v>1</v>
      </c>
      <c r="T1914" t="b">
        <v>0</v>
      </c>
    </row>
    <row r="1915" spans="1:20">
      <c r="A1915" t="s">
        <v>64</v>
      </c>
      <c r="B1915">
        <v>114</v>
      </c>
      <c r="C1915">
        <v>415</v>
      </c>
      <c r="D1915" t="s">
        <v>62</v>
      </c>
      <c r="E1915" t="s">
        <v>62</v>
      </c>
      <c r="F1915">
        <v>0</v>
      </c>
      <c r="G1915">
        <v>187.8</v>
      </c>
      <c r="H1915">
        <v>109</v>
      </c>
      <c r="I1915">
        <v>31.93</v>
      </c>
      <c r="J1915">
        <v>154.6</v>
      </c>
      <c r="K1915">
        <v>97</v>
      </c>
      <c r="L1915">
        <v>13.14</v>
      </c>
      <c r="M1915">
        <v>213.9</v>
      </c>
      <c r="N1915">
        <v>102</v>
      </c>
      <c r="O1915">
        <v>9.63</v>
      </c>
      <c r="P1915">
        <v>10.1</v>
      </c>
      <c r="Q1915">
        <v>3</v>
      </c>
      <c r="R1915">
        <v>2.73</v>
      </c>
      <c r="S1915">
        <v>2</v>
      </c>
      <c r="T1915" t="b">
        <v>0</v>
      </c>
    </row>
    <row r="1916" spans="1:20">
      <c r="A1916" t="s">
        <v>73</v>
      </c>
      <c r="B1916">
        <v>83</v>
      </c>
      <c r="C1916">
        <v>510</v>
      </c>
      <c r="D1916" t="s">
        <v>62</v>
      </c>
      <c r="E1916" t="s">
        <v>62</v>
      </c>
      <c r="F1916">
        <v>0</v>
      </c>
      <c r="G1916">
        <v>259.7</v>
      </c>
      <c r="H1916">
        <v>106</v>
      </c>
      <c r="I1916">
        <v>44.15</v>
      </c>
      <c r="J1916">
        <v>152.7</v>
      </c>
      <c r="K1916">
        <v>116</v>
      </c>
      <c r="L1916">
        <v>12.98</v>
      </c>
      <c r="M1916">
        <v>224.7</v>
      </c>
      <c r="N1916">
        <v>92</v>
      </c>
      <c r="O1916">
        <v>10.11</v>
      </c>
      <c r="P1916">
        <v>10.2</v>
      </c>
      <c r="Q1916">
        <v>2</v>
      </c>
      <c r="R1916">
        <v>2.75</v>
      </c>
      <c r="S1916">
        <v>0</v>
      </c>
      <c r="T1916" t="b">
        <v>0</v>
      </c>
    </row>
    <row r="1917" spans="1:20">
      <c r="A1917" t="s">
        <v>85</v>
      </c>
      <c r="B1917">
        <v>157</v>
      </c>
      <c r="C1917">
        <v>415</v>
      </c>
      <c r="D1917" t="s">
        <v>63</v>
      </c>
      <c r="E1917" t="s">
        <v>62</v>
      </c>
      <c r="F1917">
        <v>0</v>
      </c>
      <c r="G1917">
        <v>180.4</v>
      </c>
      <c r="H1917">
        <v>123</v>
      </c>
      <c r="I1917">
        <v>30.67</v>
      </c>
      <c r="J1917">
        <v>194</v>
      </c>
      <c r="K1917">
        <v>98</v>
      </c>
      <c r="L1917">
        <v>16.49</v>
      </c>
      <c r="M1917">
        <v>227.3</v>
      </c>
      <c r="N1917">
        <v>88</v>
      </c>
      <c r="O1917">
        <v>10.23</v>
      </c>
      <c r="P1917">
        <v>8.4</v>
      </c>
      <c r="Q1917">
        <v>5</v>
      </c>
      <c r="R1917">
        <v>2.27</v>
      </c>
      <c r="S1917">
        <v>0</v>
      </c>
      <c r="T1917" t="b">
        <v>0</v>
      </c>
    </row>
    <row r="1918" spans="1:20">
      <c r="A1918" t="s">
        <v>94</v>
      </c>
      <c r="B1918">
        <v>51</v>
      </c>
      <c r="C1918">
        <v>510</v>
      </c>
      <c r="D1918" t="s">
        <v>62</v>
      </c>
      <c r="E1918" t="s">
        <v>62</v>
      </c>
      <c r="F1918">
        <v>0</v>
      </c>
      <c r="G1918">
        <v>51.8</v>
      </c>
      <c r="H1918">
        <v>107</v>
      </c>
      <c r="I1918">
        <v>8.81</v>
      </c>
      <c r="J1918">
        <v>230.2</v>
      </c>
      <c r="K1918">
        <v>104</v>
      </c>
      <c r="L1918">
        <v>19.57</v>
      </c>
      <c r="M1918">
        <v>227.5</v>
      </c>
      <c r="N1918">
        <v>118</v>
      </c>
      <c r="O1918">
        <v>10.24</v>
      </c>
      <c r="P1918">
        <v>10.4</v>
      </c>
      <c r="Q1918">
        <v>4</v>
      </c>
      <c r="R1918">
        <v>2.81</v>
      </c>
      <c r="S1918">
        <v>2</v>
      </c>
      <c r="T1918" t="b">
        <v>0</v>
      </c>
    </row>
    <row r="1919" spans="1:20">
      <c r="A1919" t="s">
        <v>104</v>
      </c>
      <c r="B1919">
        <v>42</v>
      </c>
      <c r="C1919">
        <v>415</v>
      </c>
      <c r="D1919" t="s">
        <v>62</v>
      </c>
      <c r="E1919" t="s">
        <v>62</v>
      </c>
      <c r="F1919">
        <v>0</v>
      </c>
      <c r="G1919">
        <v>303.9</v>
      </c>
      <c r="H1919">
        <v>106</v>
      </c>
      <c r="I1919">
        <v>51.66</v>
      </c>
      <c r="J1919">
        <v>232.2</v>
      </c>
      <c r="K1919">
        <v>54</v>
      </c>
      <c r="L1919">
        <v>19.74</v>
      </c>
      <c r="M1919">
        <v>147.1</v>
      </c>
      <c r="N1919">
        <v>76</v>
      </c>
      <c r="O1919">
        <v>6.62</v>
      </c>
      <c r="P1919">
        <v>5.8</v>
      </c>
      <c r="Q1919">
        <v>3</v>
      </c>
      <c r="R1919">
        <v>1.57</v>
      </c>
      <c r="S1919">
        <v>1</v>
      </c>
      <c r="T1919" t="b">
        <v>1</v>
      </c>
    </row>
    <row r="1920" spans="1:20">
      <c r="A1920" t="s">
        <v>115</v>
      </c>
      <c r="B1920">
        <v>101</v>
      </c>
      <c r="C1920">
        <v>415</v>
      </c>
      <c r="D1920" t="s">
        <v>62</v>
      </c>
      <c r="E1920" t="s">
        <v>63</v>
      </c>
      <c r="F1920">
        <v>36</v>
      </c>
      <c r="G1920">
        <v>123.7</v>
      </c>
      <c r="H1920">
        <v>125</v>
      </c>
      <c r="I1920">
        <v>21.03</v>
      </c>
      <c r="J1920">
        <v>172.6</v>
      </c>
      <c r="K1920">
        <v>106</v>
      </c>
      <c r="L1920">
        <v>14.67</v>
      </c>
      <c r="M1920">
        <v>280.5</v>
      </c>
      <c r="N1920">
        <v>127</v>
      </c>
      <c r="O1920">
        <v>12.62</v>
      </c>
      <c r="P1920">
        <v>8.8</v>
      </c>
      <c r="Q1920">
        <v>4</v>
      </c>
      <c r="R1920">
        <v>2.38</v>
      </c>
      <c r="S1920">
        <v>1</v>
      </c>
      <c r="T1920" t="b">
        <v>1</v>
      </c>
    </row>
    <row r="1921" spans="1:20">
      <c r="A1921" t="s">
        <v>94</v>
      </c>
      <c r="B1921">
        <v>112</v>
      </c>
      <c r="C1921">
        <v>510</v>
      </c>
      <c r="D1921" t="s">
        <v>62</v>
      </c>
      <c r="E1921" t="s">
        <v>62</v>
      </c>
      <c r="F1921">
        <v>0</v>
      </c>
      <c r="G1921">
        <v>206.2</v>
      </c>
      <c r="H1921">
        <v>122</v>
      </c>
      <c r="I1921">
        <v>35.05</v>
      </c>
      <c r="J1921">
        <v>164.5</v>
      </c>
      <c r="K1921">
        <v>94</v>
      </c>
      <c r="L1921">
        <v>13.98</v>
      </c>
      <c r="M1921">
        <v>140.3</v>
      </c>
      <c r="N1921">
        <v>101</v>
      </c>
      <c r="O1921">
        <v>6.31</v>
      </c>
      <c r="P1921">
        <v>12.6</v>
      </c>
      <c r="Q1921">
        <v>7</v>
      </c>
      <c r="R1921">
        <v>3.4</v>
      </c>
      <c r="S1921">
        <v>3</v>
      </c>
      <c r="T1921" t="b">
        <v>0</v>
      </c>
    </row>
    <row r="1922" spans="1:20">
      <c r="A1922" t="s">
        <v>115</v>
      </c>
      <c r="B1922">
        <v>56</v>
      </c>
      <c r="C1922">
        <v>510</v>
      </c>
      <c r="D1922" t="s">
        <v>62</v>
      </c>
      <c r="E1922" t="s">
        <v>62</v>
      </c>
      <c r="F1922">
        <v>0</v>
      </c>
      <c r="G1922">
        <v>164.3</v>
      </c>
      <c r="H1922">
        <v>92</v>
      </c>
      <c r="I1922">
        <v>27.93</v>
      </c>
      <c r="J1922">
        <v>233.7</v>
      </c>
      <c r="K1922">
        <v>107</v>
      </c>
      <c r="L1922">
        <v>19.86</v>
      </c>
      <c r="M1922">
        <v>187.3</v>
      </c>
      <c r="N1922">
        <v>104</v>
      </c>
      <c r="O1922">
        <v>8.43</v>
      </c>
      <c r="P1922">
        <v>11.8</v>
      </c>
      <c r="Q1922">
        <v>1</v>
      </c>
      <c r="R1922">
        <v>3.19</v>
      </c>
      <c r="S1922">
        <v>2</v>
      </c>
      <c r="T1922" t="b">
        <v>0</v>
      </c>
    </row>
    <row r="1923" spans="1:20">
      <c r="A1923" t="s">
        <v>65</v>
      </c>
      <c r="B1923">
        <v>53</v>
      </c>
      <c r="C1923">
        <v>408</v>
      </c>
      <c r="D1923" t="s">
        <v>62</v>
      </c>
      <c r="E1923" t="s">
        <v>62</v>
      </c>
      <c r="F1923">
        <v>0</v>
      </c>
      <c r="G1923">
        <v>228.6</v>
      </c>
      <c r="H1923">
        <v>117</v>
      </c>
      <c r="I1923">
        <v>38.86</v>
      </c>
      <c r="J1923">
        <v>132.8</v>
      </c>
      <c r="K1923">
        <v>123</v>
      </c>
      <c r="L1923">
        <v>11.29</v>
      </c>
      <c r="M1923">
        <v>227.2</v>
      </c>
      <c r="N1923">
        <v>124</v>
      </c>
      <c r="O1923">
        <v>10.22</v>
      </c>
      <c r="P1923">
        <v>10.1</v>
      </c>
      <c r="Q1923">
        <v>2</v>
      </c>
      <c r="R1923">
        <v>2.73</v>
      </c>
      <c r="S1923">
        <v>9</v>
      </c>
      <c r="T1923" t="b">
        <v>1</v>
      </c>
    </row>
    <row r="1924" spans="1:20">
      <c r="A1924" t="s">
        <v>71</v>
      </c>
      <c r="B1924">
        <v>64</v>
      </c>
      <c r="C1924">
        <v>415</v>
      </c>
      <c r="D1924" t="s">
        <v>62</v>
      </c>
      <c r="E1924" t="s">
        <v>63</v>
      </c>
      <c r="F1924">
        <v>22</v>
      </c>
      <c r="G1924">
        <v>200.4</v>
      </c>
      <c r="H1924">
        <v>80</v>
      </c>
      <c r="I1924">
        <v>34.07</v>
      </c>
      <c r="J1924">
        <v>131.1</v>
      </c>
      <c r="K1924">
        <v>84</v>
      </c>
      <c r="L1924">
        <v>11.14</v>
      </c>
      <c r="M1924">
        <v>230.7</v>
      </c>
      <c r="N1924">
        <v>67</v>
      </c>
      <c r="O1924">
        <v>10.38</v>
      </c>
      <c r="P1924">
        <v>7.6</v>
      </c>
      <c r="Q1924">
        <v>5</v>
      </c>
      <c r="R1924">
        <v>2.05</v>
      </c>
      <c r="S1924">
        <v>1</v>
      </c>
      <c r="T1924" t="b">
        <v>0</v>
      </c>
    </row>
    <row r="1925" spans="1:20">
      <c r="A1925" t="s">
        <v>79</v>
      </c>
      <c r="B1925">
        <v>123</v>
      </c>
      <c r="C1925">
        <v>408</v>
      </c>
      <c r="D1925" t="s">
        <v>62</v>
      </c>
      <c r="E1925" t="s">
        <v>62</v>
      </c>
      <c r="F1925">
        <v>0</v>
      </c>
      <c r="G1925">
        <v>154.3</v>
      </c>
      <c r="H1925">
        <v>107</v>
      </c>
      <c r="I1925">
        <v>26.23</v>
      </c>
      <c r="J1925">
        <v>183</v>
      </c>
      <c r="K1925">
        <v>111</v>
      </c>
      <c r="L1925">
        <v>15.56</v>
      </c>
      <c r="M1925">
        <v>54</v>
      </c>
      <c r="N1925">
        <v>134</v>
      </c>
      <c r="O1925">
        <v>2.43</v>
      </c>
      <c r="P1925">
        <v>10.9</v>
      </c>
      <c r="Q1925">
        <v>8</v>
      </c>
      <c r="R1925">
        <v>2.94</v>
      </c>
      <c r="S1925">
        <v>0</v>
      </c>
      <c r="T1925" t="b">
        <v>0</v>
      </c>
    </row>
    <row r="1926" spans="1:20">
      <c r="A1926" t="s">
        <v>77</v>
      </c>
      <c r="B1926">
        <v>68</v>
      </c>
      <c r="C1926">
        <v>510</v>
      </c>
      <c r="D1926" t="s">
        <v>62</v>
      </c>
      <c r="E1926" t="s">
        <v>63</v>
      </c>
      <c r="F1926">
        <v>30</v>
      </c>
      <c r="G1926">
        <v>122.9</v>
      </c>
      <c r="H1926">
        <v>93</v>
      </c>
      <c r="I1926">
        <v>20.89</v>
      </c>
      <c r="J1926">
        <v>233.5</v>
      </c>
      <c r="K1926">
        <v>91</v>
      </c>
      <c r="L1926">
        <v>19.85</v>
      </c>
      <c r="M1926">
        <v>199.5</v>
      </c>
      <c r="N1926">
        <v>144</v>
      </c>
      <c r="O1926">
        <v>8.98</v>
      </c>
      <c r="P1926">
        <v>9.6</v>
      </c>
      <c r="Q1926">
        <v>2</v>
      </c>
      <c r="R1926">
        <v>2.59</v>
      </c>
      <c r="S1926">
        <v>2</v>
      </c>
      <c r="T1926" t="b">
        <v>0</v>
      </c>
    </row>
    <row r="1927" spans="1:20">
      <c r="A1927" t="s">
        <v>116</v>
      </c>
      <c r="B1927">
        <v>40</v>
      </c>
      <c r="C1927">
        <v>510</v>
      </c>
      <c r="D1927" t="s">
        <v>63</v>
      </c>
      <c r="E1927" t="s">
        <v>62</v>
      </c>
      <c r="F1927">
        <v>0</v>
      </c>
      <c r="G1927">
        <v>220.8</v>
      </c>
      <c r="H1927">
        <v>100</v>
      </c>
      <c r="I1927">
        <v>37.54</v>
      </c>
      <c r="J1927">
        <v>265.7</v>
      </c>
      <c r="K1927">
        <v>106</v>
      </c>
      <c r="L1927">
        <v>22.58</v>
      </c>
      <c r="M1927">
        <v>212.8</v>
      </c>
      <c r="N1927">
        <v>94</v>
      </c>
      <c r="O1927">
        <v>9.58</v>
      </c>
      <c r="P1927">
        <v>6.4</v>
      </c>
      <c r="Q1927">
        <v>3</v>
      </c>
      <c r="R1927">
        <v>1.73</v>
      </c>
      <c r="S1927">
        <v>0</v>
      </c>
      <c r="T1927" t="b">
        <v>0</v>
      </c>
    </row>
    <row r="1928" spans="1:20">
      <c r="A1928" t="s">
        <v>103</v>
      </c>
      <c r="B1928">
        <v>132</v>
      </c>
      <c r="C1928">
        <v>408</v>
      </c>
      <c r="D1928" t="s">
        <v>62</v>
      </c>
      <c r="E1928" t="s">
        <v>62</v>
      </c>
      <c r="F1928">
        <v>0</v>
      </c>
      <c r="G1928">
        <v>214.6</v>
      </c>
      <c r="H1928">
        <v>78</v>
      </c>
      <c r="I1928">
        <v>36.48</v>
      </c>
      <c r="J1928">
        <v>251.7</v>
      </c>
      <c r="K1928">
        <v>98</v>
      </c>
      <c r="L1928">
        <v>21.39</v>
      </c>
      <c r="M1928">
        <v>240.8</v>
      </c>
      <c r="N1928">
        <v>88</v>
      </c>
      <c r="O1928">
        <v>10.84</v>
      </c>
      <c r="P1928">
        <v>13.9</v>
      </c>
      <c r="Q1928">
        <v>2</v>
      </c>
      <c r="R1928">
        <v>3.75</v>
      </c>
      <c r="S1928">
        <v>0</v>
      </c>
      <c r="T1928" t="b">
        <v>0</v>
      </c>
    </row>
    <row r="1929" spans="1:20">
      <c r="A1929" t="s">
        <v>116</v>
      </c>
      <c r="B1929">
        <v>120</v>
      </c>
      <c r="C1929">
        <v>408</v>
      </c>
      <c r="D1929" t="s">
        <v>63</v>
      </c>
      <c r="E1929" t="s">
        <v>62</v>
      </c>
      <c r="F1929">
        <v>0</v>
      </c>
      <c r="G1929">
        <v>202</v>
      </c>
      <c r="H1929">
        <v>123</v>
      </c>
      <c r="I1929">
        <v>34.34</v>
      </c>
      <c r="J1929">
        <v>184.3</v>
      </c>
      <c r="K1929">
        <v>78</v>
      </c>
      <c r="L1929">
        <v>15.67</v>
      </c>
      <c r="M1929">
        <v>176</v>
      </c>
      <c r="N1929">
        <v>89</v>
      </c>
      <c r="O1929">
        <v>7.92</v>
      </c>
      <c r="P1929">
        <v>7.4</v>
      </c>
      <c r="Q1929">
        <v>2</v>
      </c>
      <c r="R1929">
        <v>2</v>
      </c>
      <c r="S1929">
        <v>2</v>
      </c>
      <c r="T1929" t="b">
        <v>1</v>
      </c>
    </row>
    <row r="1930" spans="1:20">
      <c r="A1930" t="s">
        <v>110</v>
      </c>
      <c r="B1930">
        <v>108</v>
      </c>
      <c r="C1930">
        <v>408</v>
      </c>
      <c r="D1930" t="s">
        <v>62</v>
      </c>
      <c r="E1930" t="s">
        <v>63</v>
      </c>
      <c r="F1930">
        <v>32</v>
      </c>
      <c r="G1930">
        <v>209.5</v>
      </c>
      <c r="H1930">
        <v>108</v>
      </c>
      <c r="I1930">
        <v>35.62</v>
      </c>
      <c r="J1930">
        <v>109.6</v>
      </c>
      <c r="K1930">
        <v>64</v>
      </c>
      <c r="L1930">
        <v>9.32</v>
      </c>
      <c r="M1930">
        <v>189.7</v>
      </c>
      <c r="N1930">
        <v>145</v>
      </c>
      <c r="O1930">
        <v>8.54</v>
      </c>
      <c r="P1930">
        <v>9.1</v>
      </c>
      <c r="Q1930">
        <v>6</v>
      </c>
      <c r="R1930">
        <v>2.46</v>
      </c>
      <c r="S1930">
        <v>6</v>
      </c>
      <c r="T1930" t="b">
        <v>1</v>
      </c>
    </row>
    <row r="1931" spans="1:20">
      <c r="A1931" t="s">
        <v>111</v>
      </c>
      <c r="B1931">
        <v>161</v>
      </c>
      <c r="C1931">
        <v>510</v>
      </c>
      <c r="D1931" t="s">
        <v>62</v>
      </c>
      <c r="E1931" t="s">
        <v>62</v>
      </c>
      <c r="F1931">
        <v>0</v>
      </c>
      <c r="G1931">
        <v>297.9</v>
      </c>
      <c r="H1931">
        <v>141</v>
      </c>
      <c r="I1931">
        <v>50.64</v>
      </c>
      <c r="J1931">
        <v>238.1</v>
      </c>
      <c r="K1931">
        <v>107</v>
      </c>
      <c r="L1931">
        <v>20.24</v>
      </c>
      <c r="M1931">
        <v>240.5</v>
      </c>
      <c r="N1931">
        <v>93</v>
      </c>
      <c r="O1931">
        <v>10.82</v>
      </c>
      <c r="P1931">
        <v>8.9</v>
      </c>
      <c r="Q1931">
        <v>5</v>
      </c>
      <c r="R1931">
        <v>2.4</v>
      </c>
      <c r="S1931">
        <v>1</v>
      </c>
      <c r="T1931" t="b">
        <v>1</v>
      </c>
    </row>
    <row r="1932" spans="1:20">
      <c r="A1932" t="s">
        <v>111</v>
      </c>
      <c r="B1932">
        <v>130</v>
      </c>
      <c r="C1932">
        <v>415</v>
      </c>
      <c r="D1932" t="s">
        <v>62</v>
      </c>
      <c r="E1932" t="s">
        <v>62</v>
      </c>
      <c r="F1932">
        <v>0</v>
      </c>
      <c r="G1932">
        <v>212.8</v>
      </c>
      <c r="H1932">
        <v>102</v>
      </c>
      <c r="I1932">
        <v>36.18</v>
      </c>
      <c r="J1932">
        <v>189.8</v>
      </c>
      <c r="K1932">
        <v>137</v>
      </c>
      <c r="L1932">
        <v>16.13</v>
      </c>
      <c r="M1932">
        <v>170.1</v>
      </c>
      <c r="N1932">
        <v>105</v>
      </c>
      <c r="O1932">
        <v>7.65</v>
      </c>
      <c r="P1932">
        <v>10.6</v>
      </c>
      <c r="Q1932">
        <v>4</v>
      </c>
      <c r="R1932">
        <v>2.86</v>
      </c>
      <c r="S1932">
        <v>0</v>
      </c>
      <c r="T1932" t="b">
        <v>1</v>
      </c>
    </row>
    <row r="1933" spans="1:20">
      <c r="A1933" t="s">
        <v>76</v>
      </c>
      <c r="B1933">
        <v>130</v>
      </c>
      <c r="C1933">
        <v>408</v>
      </c>
      <c r="D1933" t="s">
        <v>62</v>
      </c>
      <c r="E1933" t="s">
        <v>63</v>
      </c>
      <c r="F1933">
        <v>19</v>
      </c>
      <c r="G1933">
        <v>152.9</v>
      </c>
      <c r="H1933">
        <v>87</v>
      </c>
      <c r="I1933">
        <v>25.99</v>
      </c>
      <c r="J1933">
        <v>213.2</v>
      </c>
      <c r="K1933">
        <v>99</v>
      </c>
      <c r="L1933">
        <v>18.12</v>
      </c>
      <c r="M1933">
        <v>205.3</v>
      </c>
      <c r="N1933">
        <v>114</v>
      </c>
      <c r="O1933">
        <v>9.24</v>
      </c>
      <c r="P1933">
        <v>10.8</v>
      </c>
      <c r="Q1933">
        <v>6</v>
      </c>
      <c r="R1933">
        <v>2.92</v>
      </c>
      <c r="S1933">
        <v>2</v>
      </c>
      <c r="T1933" t="b">
        <v>0</v>
      </c>
    </row>
    <row r="1934" spans="1:20">
      <c r="A1934" t="s">
        <v>85</v>
      </c>
      <c r="B1934">
        <v>90</v>
      </c>
      <c r="C1934">
        <v>510</v>
      </c>
      <c r="D1934" t="s">
        <v>62</v>
      </c>
      <c r="E1934" t="s">
        <v>62</v>
      </c>
      <c r="F1934">
        <v>0</v>
      </c>
      <c r="G1934">
        <v>125.4</v>
      </c>
      <c r="H1934">
        <v>158</v>
      </c>
      <c r="I1934">
        <v>21.32</v>
      </c>
      <c r="J1934">
        <v>269.1</v>
      </c>
      <c r="K1934">
        <v>83</v>
      </c>
      <c r="L1934">
        <v>22.87</v>
      </c>
      <c r="M1934">
        <v>238.6</v>
      </c>
      <c r="N1934">
        <v>103</v>
      </c>
      <c r="O1934">
        <v>10.74</v>
      </c>
      <c r="P1934">
        <v>11</v>
      </c>
      <c r="Q1934">
        <v>7</v>
      </c>
      <c r="R1934">
        <v>2.97</v>
      </c>
      <c r="S1934">
        <v>1</v>
      </c>
      <c r="T1934" t="b">
        <v>0</v>
      </c>
    </row>
    <row r="1935" spans="1:20">
      <c r="A1935" t="s">
        <v>84</v>
      </c>
      <c r="B1935">
        <v>139</v>
      </c>
      <c r="C1935">
        <v>415</v>
      </c>
      <c r="D1935" t="s">
        <v>62</v>
      </c>
      <c r="E1935" t="s">
        <v>63</v>
      </c>
      <c r="F1935">
        <v>25</v>
      </c>
      <c r="G1935">
        <v>138.3</v>
      </c>
      <c r="H1935">
        <v>96</v>
      </c>
      <c r="I1935">
        <v>23.51</v>
      </c>
      <c r="J1935">
        <v>80.6</v>
      </c>
      <c r="K1935">
        <v>79</v>
      </c>
      <c r="L1935">
        <v>6.85</v>
      </c>
      <c r="M1935">
        <v>163.7</v>
      </c>
      <c r="N1935">
        <v>83</v>
      </c>
      <c r="O1935">
        <v>7.37</v>
      </c>
      <c r="P1935">
        <v>8.3</v>
      </c>
      <c r="Q1935">
        <v>8</v>
      </c>
      <c r="R1935">
        <v>2.24</v>
      </c>
      <c r="S1935">
        <v>0</v>
      </c>
      <c r="T1935" t="b">
        <v>0</v>
      </c>
    </row>
    <row r="1936" spans="1:20">
      <c r="A1936" t="s">
        <v>96</v>
      </c>
      <c r="B1936">
        <v>57</v>
      </c>
      <c r="C1936">
        <v>415</v>
      </c>
      <c r="D1936" t="s">
        <v>62</v>
      </c>
      <c r="E1936" t="s">
        <v>62</v>
      </c>
      <c r="F1936">
        <v>0</v>
      </c>
      <c r="G1936">
        <v>189.3</v>
      </c>
      <c r="H1936">
        <v>157</v>
      </c>
      <c r="I1936">
        <v>32.18</v>
      </c>
      <c r="J1936">
        <v>174.9</v>
      </c>
      <c r="K1936">
        <v>70</v>
      </c>
      <c r="L1936">
        <v>14.87</v>
      </c>
      <c r="M1936">
        <v>221.9</v>
      </c>
      <c r="N1936">
        <v>117</v>
      </c>
      <c r="O1936">
        <v>9.99</v>
      </c>
      <c r="P1936">
        <v>11.2</v>
      </c>
      <c r="Q1936">
        <v>5</v>
      </c>
      <c r="R1936">
        <v>3.02</v>
      </c>
      <c r="S1936">
        <v>3</v>
      </c>
      <c r="T1936" t="b">
        <v>0</v>
      </c>
    </row>
    <row r="1937" spans="1:20">
      <c r="A1937" t="s">
        <v>82</v>
      </c>
      <c r="B1937">
        <v>128</v>
      </c>
      <c r="C1937">
        <v>510</v>
      </c>
      <c r="D1937" t="s">
        <v>62</v>
      </c>
      <c r="E1937" t="s">
        <v>62</v>
      </c>
      <c r="F1937">
        <v>0</v>
      </c>
      <c r="G1937">
        <v>199.3</v>
      </c>
      <c r="H1937">
        <v>86</v>
      </c>
      <c r="I1937">
        <v>33.88</v>
      </c>
      <c r="J1937">
        <v>194.8</v>
      </c>
      <c r="K1937">
        <v>102</v>
      </c>
      <c r="L1937">
        <v>16.56</v>
      </c>
      <c r="M1937">
        <v>298.2</v>
      </c>
      <c r="N1937">
        <v>82</v>
      </c>
      <c r="O1937">
        <v>13.42</v>
      </c>
      <c r="P1937">
        <v>14.3</v>
      </c>
      <c r="Q1937">
        <v>2</v>
      </c>
      <c r="R1937">
        <v>3.86</v>
      </c>
      <c r="S1937">
        <v>4</v>
      </c>
      <c r="T1937" t="b">
        <v>0</v>
      </c>
    </row>
    <row r="1938" spans="1:20">
      <c r="A1938" t="s">
        <v>91</v>
      </c>
      <c r="B1938">
        <v>107</v>
      </c>
      <c r="C1938">
        <v>415</v>
      </c>
      <c r="D1938" t="s">
        <v>62</v>
      </c>
      <c r="E1938" t="s">
        <v>62</v>
      </c>
      <c r="F1938">
        <v>0</v>
      </c>
      <c r="G1938">
        <v>294.9</v>
      </c>
      <c r="H1938">
        <v>71</v>
      </c>
      <c r="I1938">
        <v>50.13</v>
      </c>
      <c r="J1938">
        <v>192.8</v>
      </c>
      <c r="K1938">
        <v>78</v>
      </c>
      <c r="L1938">
        <v>16.39</v>
      </c>
      <c r="M1938">
        <v>148.1</v>
      </c>
      <c r="N1938">
        <v>87</v>
      </c>
      <c r="O1938">
        <v>6.66</v>
      </c>
      <c r="P1938">
        <v>13.2</v>
      </c>
      <c r="Q1938">
        <v>5</v>
      </c>
      <c r="R1938">
        <v>3.56</v>
      </c>
      <c r="S1938">
        <v>1</v>
      </c>
      <c r="T1938" t="b">
        <v>1</v>
      </c>
    </row>
    <row r="1939" spans="1:20">
      <c r="A1939" t="s">
        <v>66</v>
      </c>
      <c r="B1939">
        <v>177</v>
      </c>
      <c r="C1939">
        <v>408</v>
      </c>
      <c r="D1939" t="s">
        <v>62</v>
      </c>
      <c r="E1939" t="s">
        <v>62</v>
      </c>
      <c r="F1939">
        <v>0</v>
      </c>
      <c r="G1939">
        <v>175.4</v>
      </c>
      <c r="H1939">
        <v>99</v>
      </c>
      <c r="I1939">
        <v>29.82</v>
      </c>
      <c r="J1939">
        <v>155.3</v>
      </c>
      <c r="K1939">
        <v>83</v>
      </c>
      <c r="L1939">
        <v>13.2</v>
      </c>
      <c r="M1939">
        <v>179.4</v>
      </c>
      <c r="N1939">
        <v>86</v>
      </c>
      <c r="O1939">
        <v>8.07</v>
      </c>
      <c r="P1939">
        <v>11.5</v>
      </c>
      <c r="Q1939">
        <v>3</v>
      </c>
      <c r="R1939">
        <v>3.11</v>
      </c>
      <c r="S1939">
        <v>1</v>
      </c>
      <c r="T1939" t="b">
        <v>0</v>
      </c>
    </row>
    <row r="1940" spans="1:20">
      <c r="A1940" t="s">
        <v>99</v>
      </c>
      <c r="B1940">
        <v>121</v>
      </c>
      <c r="C1940">
        <v>415</v>
      </c>
      <c r="D1940" t="s">
        <v>62</v>
      </c>
      <c r="E1940" t="s">
        <v>62</v>
      </c>
      <c r="F1940">
        <v>0</v>
      </c>
      <c r="G1940">
        <v>179.4</v>
      </c>
      <c r="H1940">
        <v>70</v>
      </c>
      <c r="I1940">
        <v>30.5</v>
      </c>
      <c r="J1940">
        <v>143</v>
      </c>
      <c r="K1940">
        <v>93</v>
      </c>
      <c r="L1940">
        <v>12.16</v>
      </c>
      <c r="M1940">
        <v>116.3</v>
      </c>
      <c r="N1940">
        <v>113</v>
      </c>
      <c r="O1940">
        <v>5.23</v>
      </c>
      <c r="P1940">
        <v>11.2</v>
      </c>
      <c r="Q1940">
        <v>5</v>
      </c>
      <c r="R1940">
        <v>3.02</v>
      </c>
      <c r="S1940">
        <v>1</v>
      </c>
      <c r="T1940" t="b">
        <v>0</v>
      </c>
    </row>
    <row r="1941" spans="1:20">
      <c r="A1941" t="s">
        <v>111</v>
      </c>
      <c r="B1941">
        <v>99</v>
      </c>
      <c r="C1941">
        <v>510</v>
      </c>
      <c r="D1941" t="s">
        <v>63</v>
      </c>
      <c r="E1941" t="s">
        <v>63</v>
      </c>
      <c r="F1941">
        <v>39</v>
      </c>
      <c r="G1941">
        <v>126.8</v>
      </c>
      <c r="H1941">
        <v>94</v>
      </c>
      <c r="I1941">
        <v>21.56</v>
      </c>
      <c r="J1941">
        <v>293.6</v>
      </c>
      <c r="K1941">
        <v>115</v>
      </c>
      <c r="L1941">
        <v>24.96</v>
      </c>
      <c r="M1941">
        <v>174.1</v>
      </c>
      <c r="N1941">
        <v>91</v>
      </c>
      <c r="O1941">
        <v>7.83</v>
      </c>
      <c r="P1941">
        <v>8.4</v>
      </c>
      <c r="Q1941">
        <v>4</v>
      </c>
      <c r="R1941">
        <v>2.27</v>
      </c>
      <c r="S1941">
        <v>0</v>
      </c>
      <c r="T1941" t="b">
        <v>0</v>
      </c>
    </row>
    <row r="1942" spans="1:20">
      <c r="A1942" t="s">
        <v>106</v>
      </c>
      <c r="B1942">
        <v>77</v>
      </c>
      <c r="C1942">
        <v>415</v>
      </c>
      <c r="D1942" t="s">
        <v>62</v>
      </c>
      <c r="E1942" t="s">
        <v>63</v>
      </c>
      <c r="F1942">
        <v>33</v>
      </c>
      <c r="G1942">
        <v>143</v>
      </c>
      <c r="H1942">
        <v>101</v>
      </c>
      <c r="I1942">
        <v>24.31</v>
      </c>
      <c r="J1942">
        <v>212.2</v>
      </c>
      <c r="K1942">
        <v>102</v>
      </c>
      <c r="L1942">
        <v>18.04</v>
      </c>
      <c r="M1942">
        <v>104.9</v>
      </c>
      <c r="N1942">
        <v>120</v>
      </c>
      <c r="O1942">
        <v>4.72</v>
      </c>
      <c r="P1942">
        <v>15.3</v>
      </c>
      <c r="Q1942">
        <v>4</v>
      </c>
      <c r="R1942">
        <v>4.13</v>
      </c>
      <c r="S1942">
        <v>5</v>
      </c>
      <c r="T1942" t="b">
        <v>1</v>
      </c>
    </row>
    <row r="1943" spans="1:20">
      <c r="A1943" t="s">
        <v>71</v>
      </c>
      <c r="B1943">
        <v>21</v>
      </c>
      <c r="C1943">
        <v>415</v>
      </c>
      <c r="D1943" t="s">
        <v>62</v>
      </c>
      <c r="E1943" t="s">
        <v>62</v>
      </c>
      <c r="F1943">
        <v>0</v>
      </c>
      <c r="G1943">
        <v>91.9</v>
      </c>
      <c r="H1943">
        <v>109</v>
      </c>
      <c r="I1943">
        <v>15.62</v>
      </c>
      <c r="J1943">
        <v>198.4</v>
      </c>
      <c r="K1943">
        <v>111</v>
      </c>
      <c r="L1943">
        <v>16.86</v>
      </c>
      <c r="M1943">
        <v>171.7</v>
      </c>
      <c r="N1943">
        <v>125</v>
      </c>
      <c r="O1943">
        <v>7.73</v>
      </c>
      <c r="P1943">
        <v>13</v>
      </c>
      <c r="Q1943">
        <v>7</v>
      </c>
      <c r="R1943">
        <v>3.51</v>
      </c>
      <c r="S1943">
        <v>2</v>
      </c>
      <c r="T1943" t="b">
        <v>0</v>
      </c>
    </row>
    <row r="1944" spans="1:20">
      <c r="A1944" t="s">
        <v>101</v>
      </c>
      <c r="B1944">
        <v>56</v>
      </c>
      <c r="C1944">
        <v>408</v>
      </c>
      <c r="D1944" t="s">
        <v>62</v>
      </c>
      <c r="E1944" t="s">
        <v>62</v>
      </c>
      <c r="F1944">
        <v>0</v>
      </c>
      <c r="G1944">
        <v>210.4</v>
      </c>
      <c r="H1944">
        <v>80</v>
      </c>
      <c r="I1944">
        <v>35.77</v>
      </c>
      <c r="J1944">
        <v>176.6</v>
      </c>
      <c r="K1944">
        <v>96</v>
      </c>
      <c r="L1944">
        <v>15.01</v>
      </c>
      <c r="M1944">
        <v>149.7</v>
      </c>
      <c r="N1944">
        <v>56</v>
      </c>
      <c r="O1944">
        <v>6.74</v>
      </c>
      <c r="P1944">
        <v>15.5</v>
      </c>
      <c r="Q1944">
        <v>4</v>
      </c>
      <c r="R1944">
        <v>4.19</v>
      </c>
      <c r="S1944">
        <v>1</v>
      </c>
      <c r="T1944" t="b">
        <v>0</v>
      </c>
    </row>
    <row r="1945" spans="1:20">
      <c r="A1945" t="s">
        <v>77</v>
      </c>
      <c r="B1945">
        <v>92</v>
      </c>
      <c r="C1945">
        <v>415</v>
      </c>
      <c r="D1945" t="s">
        <v>62</v>
      </c>
      <c r="E1945" t="s">
        <v>63</v>
      </c>
      <c r="F1945">
        <v>29</v>
      </c>
      <c r="G1945">
        <v>201.3</v>
      </c>
      <c r="H1945">
        <v>130</v>
      </c>
      <c r="I1945">
        <v>34.22</v>
      </c>
      <c r="J1945">
        <v>203.7</v>
      </c>
      <c r="K1945">
        <v>115</v>
      </c>
      <c r="L1945">
        <v>17.31</v>
      </c>
      <c r="M1945">
        <v>129.9</v>
      </c>
      <c r="N1945">
        <v>113</v>
      </c>
      <c r="O1945">
        <v>5.85</v>
      </c>
      <c r="P1945">
        <v>6.4</v>
      </c>
      <c r="Q1945">
        <v>6</v>
      </c>
      <c r="R1945">
        <v>1.73</v>
      </c>
      <c r="S1945">
        <v>1</v>
      </c>
      <c r="T1945" t="b">
        <v>1</v>
      </c>
    </row>
    <row r="1946" spans="1:20">
      <c r="A1946" t="s">
        <v>102</v>
      </c>
      <c r="B1946">
        <v>81</v>
      </c>
      <c r="C1946">
        <v>510</v>
      </c>
      <c r="D1946" t="s">
        <v>62</v>
      </c>
      <c r="E1946" t="s">
        <v>62</v>
      </c>
      <c r="F1946">
        <v>0</v>
      </c>
      <c r="G1946">
        <v>145.6</v>
      </c>
      <c r="H1946">
        <v>59</v>
      </c>
      <c r="I1946">
        <v>24.75</v>
      </c>
      <c r="J1946">
        <v>287.9</v>
      </c>
      <c r="K1946">
        <v>131</v>
      </c>
      <c r="L1946">
        <v>24.47</v>
      </c>
      <c r="M1946">
        <v>181.7</v>
      </c>
      <c r="N1946">
        <v>121</v>
      </c>
      <c r="O1946">
        <v>8.18</v>
      </c>
      <c r="P1946">
        <v>9.2</v>
      </c>
      <c r="Q1946">
        <v>4</v>
      </c>
      <c r="R1946">
        <v>2.48</v>
      </c>
      <c r="S1946">
        <v>2</v>
      </c>
      <c r="T1946" t="b">
        <v>0</v>
      </c>
    </row>
    <row r="1947" spans="1:20">
      <c r="A1947" t="s">
        <v>80</v>
      </c>
      <c r="B1947">
        <v>139</v>
      </c>
      <c r="C1947">
        <v>510</v>
      </c>
      <c r="D1947" t="s">
        <v>63</v>
      </c>
      <c r="E1947" t="s">
        <v>63</v>
      </c>
      <c r="F1947">
        <v>31</v>
      </c>
      <c r="G1947">
        <v>203.5</v>
      </c>
      <c r="H1947">
        <v>82</v>
      </c>
      <c r="I1947">
        <v>34.6</v>
      </c>
      <c r="J1947">
        <v>200.3</v>
      </c>
      <c r="K1947">
        <v>72</v>
      </c>
      <c r="L1947">
        <v>17.03</v>
      </c>
      <c r="M1947">
        <v>214</v>
      </c>
      <c r="N1947">
        <v>112</v>
      </c>
      <c r="O1947">
        <v>9.63</v>
      </c>
      <c r="P1947">
        <v>13.4</v>
      </c>
      <c r="Q1947">
        <v>6</v>
      </c>
      <c r="R1947">
        <v>3.62</v>
      </c>
      <c r="S1947">
        <v>1</v>
      </c>
      <c r="T1947" t="b">
        <v>1</v>
      </c>
    </row>
    <row r="1948" spans="1:20">
      <c r="A1948" t="s">
        <v>83</v>
      </c>
      <c r="B1948">
        <v>68</v>
      </c>
      <c r="C1948">
        <v>415</v>
      </c>
      <c r="D1948" t="s">
        <v>62</v>
      </c>
      <c r="E1948" t="s">
        <v>62</v>
      </c>
      <c r="F1948">
        <v>0</v>
      </c>
      <c r="G1948">
        <v>232.4</v>
      </c>
      <c r="H1948">
        <v>76</v>
      </c>
      <c r="I1948">
        <v>39.51</v>
      </c>
      <c r="J1948">
        <v>153.3</v>
      </c>
      <c r="K1948">
        <v>103</v>
      </c>
      <c r="L1948">
        <v>13.03</v>
      </c>
      <c r="M1948">
        <v>214.6</v>
      </c>
      <c r="N1948">
        <v>107</v>
      </c>
      <c r="O1948">
        <v>9.66</v>
      </c>
      <c r="P1948">
        <v>10.5</v>
      </c>
      <c r="Q1948">
        <v>2</v>
      </c>
      <c r="R1948">
        <v>2.84</v>
      </c>
      <c r="S1948">
        <v>1</v>
      </c>
      <c r="T1948" t="b">
        <v>0</v>
      </c>
    </row>
    <row r="1949" spans="1:20">
      <c r="A1949" t="s">
        <v>95</v>
      </c>
      <c r="B1949">
        <v>183</v>
      </c>
      <c r="C1949">
        <v>415</v>
      </c>
      <c r="D1949" t="s">
        <v>62</v>
      </c>
      <c r="E1949" t="s">
        <v>63</v>
      </c>
      <c r="F1949">
        <v>8</v>
      </c>
      <c r="G1949">
        <v>86.5</v>
      </c>
      <c r="H1949">
        <v>119</v>
      </c>
      <c r="I1949">
        <v>14.71</v>
      </c>
      <c r="J1949">
        <v>285.2</v>
      </c>
      <c r="K1949">
        <v>97</v>
      </c>
      <c r="L1949">
        <v>24.24</v>
      </c>
      <c r="M1949">
        <v>180.4</v>
      </c>
      <c r="N1949">
        <v>133</v>
      </c>
      <c r="O1949">
        <v>8.12</v>
      </c>
      <c r="P1949">
        <v>8.7</v>
      </c>
      <c r="Q1949">
        <v>2</v>
      </c>
      <c r="R1949">
        <v>2.35</v>
      </c>
      <c r="S1949">
        <v>2</v>
      </c>
      <c r="T1949" t="b">
        <v>0</v>
      </c>
    </row>
    <row r="1950" spans="1:20">
      <c r="A1950" t="s">
        <v>93</v>
      </c>
      <c r="B1950">
        <v>165</v>
      </c>
      <c r="C1950">
        <v>408</v>
      </c>
      <c r="D1950" t="s">
        <v>62</v>
      </c>
      <c r="E1950" t="s">
        <v>62</v>
      </c>
      <c r="F1950">
        <v>0</v>
      </c>
      <c r="G1950">
        <v>156</v>
      </c>
      <c r="H1950">
        <v>88</v>
      </c>
      <c r="I1950">
        <v>26.52</v>
      </c>
      <c r="J1950">
        <v>276.1</v>
      </c>
      <c r="K1950">
        <v>81</v>
      </c>
      <c r="L1950">
        <v>23.47</v>
      </c>
      <c r="M1950">
        <v>175.9</v>
      </c>
      <c r="N1950">
        <v>94</v>
      </c>
      <c r="O1950">
        <v>7.92</v>
      </c>
      <c r="P1950">
        <v>9.3</v>
      </c>
      <c r="Q1950">
        <v>5</v>
      </c>
      <c r="R1950">
        <v>2.51</v>
      </c>
      <c r="S1950">
        <v>1</v>
      </c>
      <c r="T1950" t="b">
        <v>0</v>
      </c>
    </row>
    <row r="1951" spans="1:20">
      <c r="A1951" t="s">
        <v>93</v>
      </c>
      <c r="B1951">
        <v>89</v>
      </c>
      <c r="C1951">
        <v>415</v>
      </c>
      <c r="D1951" t="s">
        <v>62</v>
      </c>
      <c r="E1951" t="s">
        <v>62</v>
      </c>
      <c r="F1951">
        <v>0</v>
      </c>
      <c r="G1951">
        <v>326.3</v>
      </c>
      <c r="H1951">
        <v>112</v>
      </c>
      <c r="I1951">
        <v>55.47</v>
      </c>
      <c r="J1951">
        <v>165.1</v>
      </c>
      <c r="K1951">
        <v>110</v>
      </c>
      <c r="L1951">
        <v>14.03</v>
      </c>
      <c r="M1951">
        <v>162.9</v>
      </c>
      <c r="N1951">
        <v>97</v>
      </c>
      <c r="O1951">
        <v>7.33</v>
      </c>
      <c r="P1951">
        <v>7.5</v>
      </c>
      <c r="Q1951">
        <v>1</v>
      </c>
      <c r="R1951">
        <v>2.03</v>
      </c>
      <c r="S1951">
        <v>1</v>
      </c>
      <c r="T1951" t="b">
        <v>1</v>
      </c>
    </row>
    <row r="1952" spans="1:20">
      <c r="A1952" t="s">
        <v>65</v>
      </c>
      <c r="B1952">
        <v>59</v>
      </c>
      <c r="C1952">
        <v>510</v>
      </c>
      <c r="D1952" t="s">
        <v>62</v>
      </c>
      <c r="E1952" t="s">
        <v>62</v>
      </c>
      <c r="F1952">
        <v>0</v>
      </c>
      <c r="G1952">
        <v>195</v>
      </c>
      <c r="H1952">
        <v>58</v>
      </c>
      <c r="I1952">
        <v>33.15</v>
      </c>
      <c r="J1952">
        <v>198.5</v>
      </c>
      <c r="K1952">
        <v>88</v>
      </c>
      <c r="L1952">
        <v>16.87</v>
      </c>
      <c r="M1952">
        <v>304.3</v>
      </c>
      <c r="N1952">
        <v>110</v>
      </c>
      <c r="O1952">
        <v>13.69</v>
      </c>
      <c r="P1952">
        <v>14.8</v>
      </c>
      <c r="Q1952">
        <v>9</v>
      </c>
      <c r="R1952">
        <v>4</v>
      </c>
      <c r="S1952">
        <v>0</v>
      </c>
      <c r="T1952" t="b">
        <v>0</v>
      </c>
    </row>
    <row r="1953" spans="1:20">
      <c r="A1953" t="s">
        <v>86</v>
      </c>
      <c r="B1953">
        <v>16</v>
      </c>
      <c r="C1953">
        <v>415</v>
      </c>
      <c r="D1953" t="s">
        <v>63</v>
      </c>
      <c r="E1953" t="s">
        <v>62</v>
      </c>
      <c r="F1953">
        <v>0</v>
      </c>
      <c r="G1953">
        <v>110</v>
      </c>
      <c r="H1953">
        <v>91</v>
      </c>
      <c r="I1953">
        <v>18.7</v>
      </c>
      <c r="J1953">
        <v>147.3</v>
      </c>
      <c r="K1953">
        <v>75</v>
      </c>
      <c r="L1953">
        <v>12.52</v>
      </c>
      <c r="M1953">
        <v>190.5</v>
      </c>
      <c r="N1953">
        <v>73</v>
      </c>
      <c r="O1953">
        <v>8.57</v>
      </c>
      <c r="P1953">
        <v>6.4</v>
      </c>
      <c r="Q1953">
        <v>7</v>
      </c>
      <c r="R1953">
        <v>1.73</v>
      </c>
      <c r="S1953">
        <v>0</v>
      </c>
      <c r="T1953" t="b">
        <v>0</v>
      </c>
    </row>
    <row r="1954" spans="1:20">
      <c r="A1954" t="s">
        <v>105</v>
      </c>
      <c r="B1954">
        <v>114</v>
      </c>
      <c r="C1954">
        <v>415</v>
      </c>
      <c r="D1954" t="s">
        <v>62</v>
      </c>
      <c r="E1954" t="s">
        <v>62</v>
      </c>
      <c r="F1954">
        <v>0</v>
      </c>
      <c r="G1954">
        <v>147.1</v>
      </c>
      <c r="H1954">
        <v>119</v>
      </c>
      <c r="I1954">
        <v>25.01</v>
      </c>
      <c r="J1954">
        <v>161</v>
      </c>
      <c r="K1954">
        <v>111</v>
      </c>
      <c r="L1954">
        <v>13.69</v>
      </c>
      <c r="M1954">
        <v>275.9</v>
      </c>
      <c r="N1954">
        <v>106</v>
      </c>
      <c r="O1954">
        <v>12.42</v>
      </c>
      <c r="P1954">
        <v>9</v>
      </c>
      <c r="Q1954">
        <v>3</v>
      </c>
      <c r="R1954">
        <v>2.43</v>
      </c>
      <c r="S1954">
        <v>5</v>
      </c>
      <c r="T1954" t="b">
        <v>1</v>
      </c>
    </row>
    <row r="1955" spans="1:20">
      <c r="A1955" t="s">
        <v>75</v>
      </c>
      <c r="B1955">
        <v>113</v>
      </c>
      <c r="C1955">
        <v>510</v>
      </c>
      <c r="D1955" t="s">
        <v>62</v>
      </c>
      <c r="E1955" t="s">
        <v>62</v>
      </c>
      <c r="F1955">
        <v>0</v>
      </c>
      <c r="G1955">
        <v>156</v>
      </c>
      <c r="H1955">
        <v>141</v>
      </c>
      <c r="I1955">
        <v>26.52</v>
      </c>
      <c r="J1955">
        <v>256.8</v>
      </c>
      <c r="K1955">
        <v>72</v>
      </c>
      <c r="L1955">
        <v>21.83</v>
      </c>
      <c r="M1955">
        <v>175.3</v>
      </c>
      <c r="N1955">
        <v>123</v>
      </c>
      <c r="O1955">
        <v>7.89</v>
      </c>
      <c r="P1955">
        <v>11.9</v>
      </c>
      <c r="Q1955">
        <v>5</v>
      </c>
      <c r="R1955">
        <v>3.21</v>
      </c>
      <c r="S1955">
        <v>2</v>
      </c>
      <c r="T1955" t="b">
        <v>0</v>
      </c>
    </row>
    <row r="1956" spans="1:20">
      <c r="A1956" t="s">
        <v>89</v>
      </c>
      <c r="B1956">
        <v>120</v>
      </c>
      <c r="C1956">
        <v>408</v>
      </c>
      <c r="D1956" t="s">
        <v>62</v>
      </c>
      <c r="E1956" t="s">
        <v>62</v>
      </c>
      <c r="F1956">
        <v>0</v>
      </c>
      <c r="G1956">
        <v>98.2</v>
      </c>
      <c r="H1956">
        <v>99</v>
      </c>
      <c r="I1956">
        <v>16.69</v>
      </c>
      <c r="J1956">
        <v>186.7</v>
      </c>
      <c r="K1956">
        <v>85</v>
      </c>
      <c r="L1956">
        <v>15.87</v>
      </c>
      <c r="M1956">
        <v>146.7</v>
      </c>
      <c r="N1956">
        <v>96</v>
      </c>
      <c r="O1956">
        <v>6.6</v>
      </c>
      <c r="P1956">
        <v>9.3</v>
      </c>
      <c r="Q1956">
        <v>4</v>
      </c>
      <c r="R1956">
        <v>2.51</v>
      </c>
      <c r="S1956">
        <v>2</v>
      </c>
      <c r="T1956" t="b">
        <v>0</v>
      </c>
    </row>
    <row r="1957" spans="1:20">
      <c r="A1957" t="s">
        <v>90</v>
      </c>
      <c r="B1957">
        <v>115</v>
      </c>
      <c r="C1957">
        <v>415</v>
      </c>
      <c r="D1957" t="s">
        <v>62</v>
      </c>
      <c r="E1957" t="s">
        <v>62</v>
      </c>
      <c r="F1957">
        <v>0</v>
      </c>
      <c r="G1957">
        <v>210.6</v>
      </c>
      <c r="H1957">
        <v>120</v>
      </c>
      <c r="I1957">
        <v>35.8</v>
      </c>
      <c r="J1957">
        <v>153.1</v>
      </c>
      <c r="K1957">
        <v>84</v>
      </c>
      <c r="L1957">
        <v>13.01</v>
      </c>
      <c r="M1957">
        <v>262.2</v>
      </c>
      <c r="N1957">
        <v>79</v>
      </c>
      <c r="O1957">
        <v>11.8</v>
      </c>
      <c r="P1957">
        <v>11</v>
      </c>
      <c r="Q1957">
        <v>5</v>
      </c>
      <c r="R1957">
        <v>2.97</v>
      </c>
      <c r="S1957">
        <v>0</v>
      </c>
      <c r="T1957" t="b">
        <v>0</v>
      </c>
    </row>
    <row r="1958" spans="1:20">
      <c r="A1958" t="s">
        <v>102</v>
      </c>
      <c r="B1958">
        <v>100</v>
      </c>
      <c r="C1958">
        <v>415</v>
      </c>
      <c r="D1958" t="s">
        <v>63</v>
      </c>
      <c r="E1958" t="s">
        <v>62</v>
      </c>
      <c r="F1958">
        <v>0</v>
      </c>
      <c r="G1958">
        <v>159.9</v>
      </c>
      <c r="H1958">
        <v>94</v>
      </c>
      <c r="I1958">
        <v>27.18</v>
      </c>
      <c r="J1958">
        <v>179.9</v>
      </c>
      <c r="K1958">
        <v>95</v>
      </c>
      <c r="L1958">
        <v>15.29</v>
      </c>
      <c r="M1958">
        <v>154.4</v>
      </c>
      <c r="N1958">
        <v>102</v>
      </c>
      <c r="O1958">
        <v>6.95</v>
      </c>
      <c r="P1958">
        <v>11.6</v>
      </c>
      <c r="Q1958">
        <v>2</v>
      </c>
      <c r="R1958">
        <v>3.13</v>
      </c>
      <c r="S1958">
        <v>2</v>
      </c>
      <c r="T1958" t="b">
        <v>1</v>
      </c>
    </row>
    <row r="1959" spans="1:20">
      <c r="A1959" t="s">
        <v>111</v>
      </c>
      <c r="B1959">
        <v>1</v>
      </c>
      <c r="C1959">
        <v>408</v>
      </c>
      <c r="D1959" t="s">
        <v>62</v>
      </c>
      <c r="E1959" t="s">
        <v>62</v>
      </c>
      <c r="F1959">
        <v>0</v>
      </c>
      <c r="G1959">
        <v>123.8</v>
      </c>
      <c r="H1959">
        <v>113</v>
      </c>
      <c r="I1959">
        <v>21.05</v>
      </c>
      <c r="J1959">
        <v>236.2</v>
      </c>
      <c r="K1959">
        <v>77</v>
      </c>
      <c r="L1959">
        <v>20.08</v>
      </c>
      <c r="M1959">
        <v>73.2</v>
      </c>
      <c r="N1959">
        <v>81</v>
      </c>
      <c r="O1959">
        <v>3.29</v>
      </c>
      <c r="P1959">
        <v>3.7</v>
      </c>
      <c r="Q1959">
        <v>2</v>
      </c>
      <c r="R1959">
        <v>1</v>
      </c>
      <c r="S1959">
        <v>0</v>
      </c>
      <c r="T1959" t="b">
        <v>0</v>
      </c>
    </row>
    <row r="1960" spans="1:20">
      <c r="A1960" t="s">
        <v>76</v>
      </c>
      <c r="B1960">
        <v>97</v>
      </c>
      <c r="C1960">
        <v>415</v>
      </c>
      <c r="D1960" t="s">
        <v>62</v>
      </c>
      <c r="E1960" t="s">
        <v>63</v>
      </c>
      <c r="F1960">
        <v>15</v>
      </c>
      <c r="G1960">
        <v>117.6</v>
      </c>
      <c r="H1960">
        <v>97</v>
      </c>
      <c r="I1960">
        <v>19.99</v>
      </c>
      <c r="J1960">
        <v>196.3</v>
      </c>
      <c r="K1960">
        <v>126</v>
      </c>
      <c r="L1960">
        <v>16.69</v>
      </c>
      <c r="M1960">
        <v>157.4</v>
      </c>
      <c r="N1960">
        <v>113</v>
      </c>
      <c r="O1960">
        <v>7.08</v>
      </c>
      <c r="P1960">
        <v>6.4</v>
      </c>
      <c r="Q1960">
        <v>3</v>
      </c>
      <c r="R1960">
        <v>1.73</v>
      </c>
      <c r="S1960">
        <v>1</v>
      </c>
      <c r="T1960" t="b">
        <v>0</v>
      </c>
    </row>
    <row r="1961" spans="1:20">
      <c r="A1961" t="s">
        <v>107</v>
      </c>
      <c r="B1961">
        <v>55</v>
      </c>
      <c r="C1961">
        <v>415</v>
      </c>
      <c r="D1961" t="s">
        <v>62</v>
      </c>
      <c r="E1961" t="s">
        <v>63</v>
      </c>
      <c r="F1961">
        <v>28</v>
      </c>
      <c r="G1961">
        <v>105.3</v>
      </c>
      <c r="H1961">
        <v>82</v>
      </c>
      <c r="I1961">
        <v>17.9</v>
      </c>
      <c r="J1961">
        <v>197.4</v>
      </c>
      <c r="K1961">
        <v>109</v>
      </c>
      <c r="L1961">
        <v>16.78</v>
      </c>
      <c r="M1961">
        <v>187.5</v>
      </c>
      <c r="N1961">
        <v>91</v>
      </c>
      <c r="O1961">
        <v>8.44</v>
      </c>
      <c r="P1961">
        <v>8.6</v>
      </c>
      <c r="Q1961">
        <v>6</v>
      </c>
      <c r="R1961">
        <v>2.32</v>
      </c>
      <c r="S1961">
        <v>2</v>
      </c>
      <c r="T1961" t="b">
        <v>0</v>
      </c>
    </row>
    <row r="1962" spans="1:20">
      <c r="A1962" t="s">
        <v>71</v>
      </c>
      <c r="B1962">
        <v>75</v>
      </c>
      <c r="C1962">
        <v>415</v>
      </c>
      <c r="D1962" t="s">
        <v>62</v>
      </c>
      <c r="E1962" t="s">
        <v>62</v>
      </c>
      <c r="F1962">
        <v>0</v>
      </c>
      <c r="G1962">
        <v>111.7</v>
      </c>
      <c r="H1962">
        <v>121</v>
      </c>
      <c r="I1962">
        <v>18.99</v>
      </c>
      <c r="J1962">
        <v>237.3</v>
      </c>
      <c r="K1962">
        <v>119</v>
      </c>
      <c r="L1962">
        <v>20.17</v>
      </c>
      <c r="M1962">
        <v>253.5</v>
      </c>
      <c r="N1962">
        <v>110</v>
      </c>
      <c r="O1962">
        <v>11.41</v>
      </c>
      <c r="P1962">
        <v>13.1</v>
      </c>
      <c r="Q1962">
        <v>6</v>
      </c>
      <c r="R1962">
        <v>3.54</v>
      </c>
      <c r="S1962">
        <v>1</v>
      </c>
      <c r="T1962" t="b">
        <v>0</v>
      </c>
    </row>
    <row r="1963" spans="1:20">
      <c r="A1963" t="s">
        <v>77</v>
      </c>
      <c r="B1963">
        <v>83</v>
      </c>
      <c r="C1963">
        <v>415</v>
      </c>
      <c r="D1963" t="s">
        <v>62</v>
      </c>
      <c r="E1963" t="s">
        <v>62</v>
      </c>
      <c r="F1963">
        <v>0</v>
      </c>
      <c r="G1963">
        <v>159.3</v>
      </c>
      <c r="H1963">
        <v>104</v>
      </c>
      <c r="I1963">
        <v>27.08</v>
      </c>
      <c r="J1963">
        <v>202.3</v>
      </c>
      <c r="K1963">
        <v>98</v>
      </c>
      <c r="L1963">
        <v>17.2</v>
      </c>
      <c r="M1963">
        <v>229</v>
      </c>
      <c r="N1963">
        <v>73</v>
      </c>
      <c r="O1963">
        <v>10.31</v>
      </c>
      <c r="P1963">
        <v>9.5</v>
      </c>
      <c r="Q1963">
        <v>3</v>
      </c>
      <c r="R1963">
        <v>2.57</v>
      </c>
      <c r="S1963">
        <v>2</v>
      </c>
      <c r="T1963" t="b">
        <v>0</v>
      </c>
    </row>
    <row r="1964" spans="1:20">
      <c r="A1964" t="s">
        <v>102</v>
      </c>
      <c r="B1964">
        <v>40</v>
      </c>
      <c r="C1964">
        <v>510</v>
      </c>
      <c r="D1964" t="s">
        <v>62</v>
      </c>
      <c r="E1964" t="s">
        <v>62</v>
      </c>
      <c r="F1964">
        <v>0</v>
      </c>
      <c r="G1964">
        <v>81.7</v>
      </c>
      <c r="H1964">
        <v>123</v>
      </c>
      <c r="I1964">
        <v>13.89</v>
      </c>
      <c r="J1964">
        <v>210.2</v>
      </c>
      <c r="K1964">
        <v>108</v>
      </c>
      <c r="L1964">
        <v>17.87</v>
      </c>
      <c r="M1964">
        <v>212</v>
      </c>
      <c r="N1964">
        <v>64</v>
      </c>
      <c r="O1964">
        <v>9.54</v>
      </c>
      <c r="P1964">
        <v>11.3</v>
      </c>
      <c r="Q1964">
        <v>3</v>
      </c>
      <c r="R1964">
        <v>3.05</v>
      </c>
      <c r="S1964">
        <v>6</v>
      </c>
      <c r="T1964" t="b">
        <v>1</v>
      </c>
    </row>
    <row r="1965" spans="1:20">
      <c r="A1965" t="s">
        <v>68</v>
      </c>
      <c r="B1965">
        <v>101</v>
      </c>
      <c r="C1965">
        <v>415</v>
      </c>
      <c r="D1965" t="s">
        <v>62</v>
      </c>
      <c r="E1965" t="s">
        <v>63</v>
      </c>
      <c r="F1965">
        <v>21</v>
      </c>
      <c r="G1965">
        <v>238</v>
      </c>
      <c r="H1965">
        <v>88</v>
      </c>
      <c r="I1965">
        <v>40.46</v>
      </c>
      <c r="J1965">
        <v>209.6</v>
      </c>
      <c r="K1965">
        <v>84</v>
      </c>
      <c r="L1965">
        <v>17.82</v>
      </c>
      <c r="M1965">
        <v>233</v>
      </c>
      <c r="N1965">
        <v>95</v>
      </c>
      <c r="O1965">
        <v>10.49</v>
      </c>
      <c r="P1965">
        <v>10</v>
      </c>
      <c r="Q1965">
        <v>5</v>
      </c>
      <c r="R1965">
        <v>2.7</v>
      </c>
      <c r="S1965">
        <v>2</v>
      </c>
      <c r="T1965" t="b">
        <v>0</v>
      </c>
    </row>
    <row r="1966" spans="1:20">
      <c r="A1966" t="s">
        <v>91</v>
      </c>
      <c r="B1966">
        <v>120</v>
      </c>
      <c r="C1966">
        <v>415</v>
      </c>
      <c r="D1966" t="s">
        <v>62</v>
      </c>
      <c r="E1966" t="s">
        <v>63</v>
      </c>
      <c r="F1966">
        <v>40</v>
      </c>
      <c r="G1966">
        <v>128.1</v>
      </c>
      <c r="H1966">
        <v>99</v>
      </c>
      <c r="I1966">
        <v>21.78</v>
      </c>
      <c r="J1966">
        <v>247.7</v>
      </c>
      <c r="K1966">
        <v>78</v>
      </c>
      <c r="L1966">
        <v>21.05</v>
      </c>
      <c r="M1966">
        <v>199.7</v>
      </c>
      <c r="N1966">
        <v>121</v>
      </c>
      <c r="O1966">
        <v>8.99</v>
      </c>
      <c r="P1966">
        <v>15.6</v>
      </c>
      <c r="Q1966">
        <v>3</v>
      </c>
      <c r="R1966">
        <v>4.21</v>
      </c>
      <c r="S1966">
        <v>0</v>
      </c>
      <c r="T1966" t="b">
        <v>0</v>
      </c>
    </row>
    <row r="1967" spans="1:20">
      <c r="A1967" t="s">
        <v>99</v>
      </c>
      <c r="B1967">
        <v>183</v>
      </c>
      <c r="C1967">
        <v>415</v>
      </c>
      <c r="D1967" t="s">
        <v>62</v>
      </c>
      <c r="E1967" t="s">
        <v>63</v>
      </c>
      <c r="F1967">
        <v>31</v>
      </c>
      <c r="G1967">
        <v>171.2</v>
      </c>
      <c r="H1967">
        <v>104</v>
      </c>
      <c r="I1967">
        <v>29.1</v>
      </c>
      <c r="J1967">
        <v>193.6</v>
      </c>
      <c r="K1967">
        <v>74</v>
      </c>
      <c r="L1967">
        <v>16.46</v>
      </c>
      <c r="M1967">
        <v>196.5</v>
      </c>
      <c r="N1967">
        <v>85</v>
      </c>
      <c r="O1967">
        <v>8.84</v>
      </c>
      <c r="P1967">
        <v>10.2</v>
      </c>
      <c r="Q1967">
        <v>4</v>
      </c>
      <c r="R1967">
        <v>2.75</v>
      </c>
      <c r="S1967">
        <v>1</v>
      </c>
      <c r="T1967" t="b">
        <v>0</v>
      </c>
    </row>
    <row r="1968" spans="1:20">
      <c r="A1968" t="s">
        <v>113</v>
      </c>
      <c r="B1968">
        <v>75</v>
      </c>
      <c r="C1968">
        <v>510</v>
      </c>
      <c r="D1968" t="s">
        <v>62</v>
      </c>
      <c r="E1968" t="s">
        <v>62</v>
      </c>
      <c r="F1968">
        <v>0</v>
      </c>
      <c r="G1968">
        <v>109</v>
      </c>
      <c r="H1968">
        <v>88</v>
      </c>
      <c r="I1968">
        <v>18.53</v>
      </c>
      <c r="J1968">
        <v>259.3</v>
      </c>
      <c r="K1968">
        <v>120</v>
      </c>
      <c r="L1968">
        <v>22.04</v>
      </c>
      <c r="M1968">
        <v>182.1</v>
      </c>
      <c r="N1968">
        <v>119</v>
      </c>
      <c r="O1968">
        <v>8.19</v>
      </c>
      <c r="P1968">
        <v>13.3</v>
      </c>
      <c r="Q1968">
        <v>3</v>
      </c>
      <c r="R1968">
        <v>3.59</v>
      </c>
      <c r="S1968">
        <v>4</v>
      </c>
      <c r="T1968" t="b">
        <v>1</v>
      </c>
    </row>
    <row r="1969" spans="1:20">
      <c r="A1969" t="s">
        <v>107</v>
      </c>
      <c r="B1969">
        <v>80</v>
      </c>
      <c r="C1969">
        <v>415</v>
      </c>
      <c r="D1969" t="s">
        <v>62</v>
      </c>
      <c r="E1969" t="s">
        <v>62</v>
      </c>
      <c r="F1969">
        <v>0</v>
      </c>
      <c r="G1969">
        <v>220</v>
      </c>
      <c r="H1969">
        <v>114</v>
      </c>
      <c r="I1969">
        <v>37.4</v>
      </c>
      <c r="J1969">
        <v>207.7</v>
      </c>
      <c r="K1969">
        <v>76</v>
      </c>
      <c r="L1969">
        <v>17.65</v>
      </c>
      <c r="M1969">
        <v>168.4</v>
      </c>
      <c r="N1969">
        <v>137</v>
      </c>
      <c r="O1969">
        <v>7.58</v>
      </c>
      <c r="P1969">
        <v>12.1</v>
      </c>
      <c r="Q1969">
        <v>3</v>
      </c>
      <c r="R1969">
        <v>3.27</v>
      </c>
      <c r="S1969">
        <v>2</v>
      </c>
      <c r="T1969" t="b">
        <v>0</v>
      </c>
    </row>
    <row r="1970" spans="1:20">
      <c r="A1970" t="s">
        <v>77</v>
      </c>
      <c r="B1970">
        <v>88</v>
      </c>
      <c r="C1970">
        <v>415</v>
      </c>
      <c r="D1970" t="s">
        <v>62</v>
      </c>
      <c r="E1970" t="s">
        <v>62</v>
      </c>
      <c r="F1970">
        <v>0</v>
      </c>
      <c r="G1970">
        <v>55.6</v>
      </c>
      <c r="H1970">
        <v>65</v>
      </c>
      <c r="I1970">
        <v>9.45</v>
      </c>
      <c r="J1970">
        <v>242.7</v>
      </c>
      <c r="K1970">
        <v>121</v>
      </c>
      <c r="L1970">
        <v>20.63</v>
      </c>
      <c r="M1970">
        <v>176.3</v>
      </c>
      <c r="N1970">
        <v>134</v>
      </c>
      <c r="O1970">
        <v>7.93</v>
      </c>
      <c r="P1970">
        <v>11.3</v>
      </c>
      <c r="Q1970">
        <v>4</v>
      </c>
      <c r="R1970">
        <v>3.05</v>
      </c>
      <c r="S1970">
        <v>0</v>
      </c>
      <c r="T1970" t="b">
        <v>0</v>
      </c>
    </row>
    <row r="1971" spans="1:20">
      <c r="A1971" t="s">
        <v>106</v>
      </c>
      <c r="B1971">
        <v>112</v>
      </c>
      <c r="C1971">
        <v>415</v>
      </c>
      <c r="D1971" t="s">
        <v>62</v>
      </c>
      <c r="E1971" t="s">
        <v>63</v>
      </c>
      <c r="F1971">
        <v>23</v>
      </c>
      <c r="G1971">
        <v>286.6</v>
      </c>
      <c r="H1971">
        <v>79</v>
      </c>
      <c r="I1971">
        <v>48.72</v>
      </c>
      <c r="J1971">
        <v>315.3</v>
      </c>
      <c r="K1971">
        <v>102</v>
      </c>
      <c r="L1971">
        <v>26.8</v>
      </c>
      <c r="M1971">
        <v>193.9</v>
      </c>
      <c r="N1971">
        <v>101</v>
      </c>
      <c r="O1971">
        <v>8.73</v>
      </c>
      <c r="P1971">
        <v>10.3</v>
      </c>
      <c r="Q1971">
        <v>6</v>
      </c>
      <c r="R1971">
        <v>2.78</v>
      </c>
      <c r="S1971">
        <v>1</v>
      </c>
      <c r="T1971" t="b">
        <v>0</v>
      </c>
    </row>
    <row r="1972" spans="1:20">
      <c r="A1972" t="s">
        <v>103</v>
      </c>
      <c r="B1972">
        <v>63</v>
      </c>
      <c r="C1972">
        <v>510</v>
      </c>
      <c r="D1972" t="s">
        <v>62</v>
      </c>
      <c r="E1972" t="s">
        <v>62</v>
      </c>
      <c r="F1972">
        <v>0</v>
      </c>
      <c r="G1972">
        <v>207.6</v>
      </c>
      <c r="H1972">
        <v>96</v>
      </c>
      <c r="I1972">
        <v>35.29</v>
      </c>
      <c r="J1972">
        <v>229</v>
      </c>
      <c r="K1972">
        <v>112</v>
      </c>
      <c r="L1972">
        <v>19.47</v>
      </c>
      <c r="M1972">
        <v>162.6</v>
      </c>
      <c r="N1972">
        <v>131</v>
      </c>
      <c r="O1972">
        <v>7.32</v>
      </c>
      <c r="P1972">
        <v>13.3</v>
      </c>
      <c r="Q1972">
        <v>2</v>
      </c>
      <c r="R1972">
        <v>3.59</v>
      </c>
      <c r="S1972">
        <v>1</v>
      </c>
      <c r="T1972" t="b">
        <v>0</v>
      </c>
    </row>
    <row r="1973" spans="1:20">
      <c r="A1973" t="s">
        <v>98</v>
      </c>
      <c r="B1973">
        <v>105</v>
      </c>
      <c r="C1973">
        <v>415</v>
      </c>
      <c r="D1973" t="s">
        <v>62</v>
      </c>
      <c r="E1973" t="s">
        <v>63</v>
      </c>
      <c r="F1973">
        <v>31</v>
      </c>
      <c r="G1973">
        <v>109.6</v>
      </c>
      <c r="H1973">
        <v>108</v>
      </c>
      <c r="I1973">
        <v>18.63</v>
      </c>
      <c r="J1973">
        <v>249.3</v>
      </c>
      <c r="K1973">
        <v>119</v>
      </c>
      <c r="L1973">
        <v>21.19</v>
      </c>
      <c r="M1973">
        <v>321.2</v>
      </c>
      <c r="N1973">
        <v>101</v>
      </c>
      <c r="O1973">
        <v>14.45</v>
      </c>
      <c r="P1973">
        <v>8.3</v>
      </c>
      <c r="Q1973">
        <v>4</v>
      </c>
      <c r="R1973">
        <v>2.24</v>
      </c>
      <c r="S1973">
        <v>4</v>
      </c>
      <c r="T1973" t="b">
        <v>1</v>
      </c>
    </row>
    <row r="1974" spans="1:20">
      <c r="A1974" t="s">
        <v>85</v>
      </c>
      <c r="B1974">
        <v>177</v>
      </c>
      <c r="C1974">
        <v>415</v>
      </c>
      <c r="D1974" t="s">
        <v>62</v>
      </c>
      <c r="E1974" t="s">
        <v>62</v>
      </c>
      <c r="F1974">
        <v>0</v>
      </c>
      <c r="G1974">
        <v>175.7</v>
      </c>
      <c r="H1974">
        <v>120</v>
      </c>
      <c r="I1974">
        <v>29.87</v>
      </c>
      <c r="J1974">
        <v>168.6</v>
      </c>
      <c r="K1974">
        <v>90</v>
      </c>
      <c r="L1974">
        <v>14.33</v>
      </c>
      <c r="M1974">
        <v>198.9</v>
      </c>
      <c r="N1974">
        <v>110</v>
      </c>
      <c r="O1974">
        <v>8.95</v>
      </c>
      <c r="P1974">
        <v>14.6</v>
      </c>
      <c r="Q1974">
        <v>4</v>
      </c>
      <c r="R1974">
        <v>3.94</v>
      </c>
      <c r="S1974">
        <v>1</v>
      </c>
      <c r="T1974" t="b">
        <v>0</v>
      </c>
    </row>
    <row r="1975" spans="1:20">
      <c r="A1975" t="s">
        <v>103</v>
      </c>
      <c r="B1975">
        <v>118</v>
      </c>
      <c r="C1975">
        <v>510</v>
      </c>
      <c r="D1975" t="s">
        <v>62</v>
      </c>
      <c r="E1975" t="s">
        <v>62</v>
      </c>
      <c r="F1975">
        <v>0</v>
      </c>
      <c r="G1975">
        <v>205.2</v>
      </c>
      <c r="H1975">
        <v>115</v>
      </c>
      <c r="I1975">
        <v>34.88</v>
      </c>
      <c r="J1975">
        <v>184.8</v>
      </c>
      <c r="K1975">
        <v>137</v>
      </c>
      <c r="L1975">
        <v>15.71</v>
      </c>
      <c r="M1975">
        <v>176.1</v>
      </c>
      <c r="N1975">
        <v>115</v>
      </c>
      <c r="O1975">
        <v>7.92</v>
      </c>
      <c r="P1975">
        <v>7</v>
      </c>
      <c r="Q1975">
        <v>6</v>
      </c>
      <c r="R1975">
        <v>1.89</v>
      </c>
      <c r="S1975">
        <v>0</v>
      </c>
      <c r="T1975" t="b">
        <v>0</v>
      </c>
    </row>
    <row r="1976" spans="1:20">
      <c r="A1976" t="s">
        <v>77</v>
      </c>
      <c r="B1976">
        <v>82</v>
      </c>
      <c r="C1976">
        <v>510</v>
      </c>
      <c r="D1976" t="s">
        <v>62</v>
      </c>
      <c r="E1976" t="s">
        <v>63</v>
      </c>
      <c r="F1976">
        <v>34</v>
      </c>
      <c r="G1976">
        <v>232.6</v>
      </c>
      <c r="H1976">
        <v>121</v>
      </c>
      <c r="I1976">
        <v>39.54</v>
      </c>
      <c r="J1976">
        <v>153.2</v>
      </c>
      <c r="K1976">
        <v>115</v>
      </c>
      <c r="L1976">
        <v>13.02</v>
      </c>
      <c r="M1976">
        <v>286.7</v>
      </c>
      <c r="N1976">
        <v>77</v>
      </c>
      <c r="O1976">
        <v>12.9</v>
      </c>
      <c r="P1976">
        <v>4.7</v>
      </c>
      <c r="Q1976">
        <v>3</v>
      </c>
      <c r="R1976">
        <v>1.27</v>
      </c>
      <c r="S1976">
        <v>3</v>
      </c>
      <c r="T1976" t="b">
        <v>0</v>
      </c>
    </row>
    <row r="1977" spans="1:20">
      <c r="A1977" t="s">
        <v>100</v>
      </c>
      <c r="B1977">
        <v>74</v>
      </c>
      <c r="C1977">
        <v>415</v>
      </c>
      <c r="D1977" t="s">
        <v>62</v>
      </c>
      <c r="E1977" t="s">
        <v>62</v>
      </c>
      <c r="F1977">
        <v>0</v>
      </c>
      <c r="G1977">
        <v>102.7</v>
      </c>
      <c r="H1977">
        <v>89</v>
      </c>
      <c r="I1977">
        <v>17.46</v>
      </c>
      <c r="J1977">
        <v>149.3</v>
      </c>
      <c r="K1977">
        <v>100</v>
      </c>
      <c r="L1977">
        <v>12.69</v>
      </c>
      <c r="M1977">
        <v>188.1</v>
      </c>
      <c r="N1977">
        <v>114</v>
      </c>
      <c r="O1977">
        <v>8.46</v>
      </c>
      <c r="P1977">
        <v>11</v>
      </c>
      <c r="Q1977">
        <v>5</v>
      </c>
      <c r="R1977">
        <v>2.97</v>
      </c>
      <c r="S1977">
        <v>0</v>
      </c>
      <c r="T1977" t="b">
        <v>0</v>
      </c>
    </row>
    <row r="1978" spans="1:20">
      <c r="A1978" t="s">
        <v>67</v>
      </c>
      <c r="B1978">
        <v>125</v>
      </c>
      <c r="C1978">
        <v>408</v>
      </c>
      <c r="D1978" t="s">
        <v>62</v>
      </c>
      <c r="E1978" t="s">
        <v>62</v>
      </c>
      <c r="F1978">
        <v>0</v>
      </c>
      <c r="G1978">
        <v>169.3</v>
      </c>
      <c r="H1978">
        <v>90</v>
      </c>
      <c r="I1978">
        <v>28.78</v>
      </c>
      <c r="J1978">
        <v>156</v>
      </c>
      <c r="K1978">
        <v>138</v>
      </c>
      <c r="L1978">
        <v>13.26</v>
      </c>
      <c r="M1978">
        <v>210.8</v>
      </c>
      <c r="N1978">
        <v>106</v>
      </c>
      <c r="O1978">
        <v>9.49</v>
      </c>
      <c r="P1978">
        <v>11.6</v>
      </c>
      <c r="Q1978">
        <v>6</v>
      </c>
      <c r="R1978">
        <v>3.13</v>
      </c>
      <c r="S1978">
        <v>2</v>
      </c>
      <c r="T1978" t="b">
        <v>0</v>
      </c>
    </row>
    <row r="1979" spans="1:20">
      <c r="A1979" t="s">
        <v>79</v>
      </c>
      <c r="B1979">
        <v>138</v>
      </c>
      <c r="C1979">
        <v>415</v>
      </c>
      <c r="D1979" t="s">
        <v>62</v>
      </c>
      <c r="E1979" t="s">
        <v>62</v>
      </c>
      <c r="F1979">
        <v>0</v>
      </c>
      <c r="G1979">
        <v>251</v>
      </c>
      <c r="H1979">
        <v>119</v>
      </c>
      <c r="I1979">
        <v>42.67</v>
      </c>
      <c r="J1979">
        <v>91.2</v>
      </c>
      <c r="K1979">
        <v>96</v>
      </c>
      <c r="L1979">
        <v>7.75</v>
      </c>
      <c r="M1979">
        <v>142.2</v>
      </c>
      <c r="N1979">
        <v>87</v>
      </c>
      <c r="O1979">
        <v>6.4</v>
      </c>
      <c r="P1979">
        <v>13.8</v>
      </c>
      <c r="Q1979">
        <v>3</v>
      </c>
      <c r="R1979">
        <v>3.73</v>
      </c>
      <c r="S1979">
        <v>3</v>
      </c>
      <c r="T1979" t="b">
        <v>0</v>
      </c>
    </row>
    <row r="1980" spans="1:20">
      <c r="A1980" t="s">
        <v>77</v>
      </c>
      <c r="B1980">
        <v>119</v>
      </c>
      <c r="C1980">
        <v>415</v>
      </c>
      <c r="D1980" t="s">
        <v>62</v>
      </c>
      <c r="E1980" t="s">
        <v>62</v>
      </c>
      <c r="F1980">
        <v>0</v>
      </c>
      <c r="G1980">
        <v>230.4</v>
      </c>
      <c r="H1980">
        <v>117</v>
      </c>
      <c r="I1980">
        <v>39.17</v>
      </c>
      <c r="J1980">
        <v>225</v>
      </c>
      <c r="K1980">
        <v>101</v>
      </c>
      <c r="L1980">
        <v>19.13</v>
      </c>
      <c r="M1980">
        <v>198.5</v>
      </c>
      <c r="N1980">
        <v>111</v>
      </c>
      <c r="O1980">
        <v>8.93</v>
      </c>
      <c r="P1980">
        <v>7.6</v>
      </c>
      <c r="Q1980">
        <v>6</v>
      </c>
      <c r="R1980">
        <v>2.05</v>
      </c>
      <c r="S1980">
        <v>3</v>
      </c>
      <c r="T1980" t="b">
        <v>0</v>
      </c>
    </row>
    <row r="1981" spans="1:20">
      <c r="A1981" t="s">
        <v>106</v>
      </c>
      <c r="B1981">
        <v>137</v>
      </c>
      <c r="C1981">
        <v>510</v>
      </c>
      <c r="D1981" t="s">
        <v>62</v>
      </c>
      <c r="E1981" t="s">
        <v>62</v>
      </c>
      <c r="F1981">
        <v>0</v>
      </c>
      <c r="G1981">
        <v>109.8</v>
      </c>
      <c r="H1981">
        <v>120</v>
      </c>
      <c r="I1981">
        <v>18.67</v>
      </c>
      <c r="J1981">
        <v>230.5</v>
      </c>
      <c r="K1981">
        <v>86</v>
      </c>
      <c r="L1981">
        <v>19.59</v>
      </c>
      <c r="M1981">
        <v>255.8</v>
      </c>
      <c r="N1981">
        <v>103</v>
      </c>
      <c r="O1981">
        <v>11.51</v>
      </c>
      <c r="P1981">
        <v>11.9</v>
      </c>
      <c r="Q1981">
        <v>6</v>
      </c>
      <c r="R1981">
        <v>3.21</v>
      </c>
      <c r="S1981">
        <v>1</v>
      </c>
      <c r="T1981" t="b">
        <v>0</v>
      </c>
    </row>
    <row r="1982" spans="1:20">
      <c r="A1982" t="s">
        <v>100</v>
      </c>
      <c r="B1982">
        <v>182</v>
      </c>
      <c r="C1982">
        <v>415</v>
      </c>
      <c r="D1982" t="s">
        <v>62</v>
      </c>
      <c r="E1982" t="s">
        <v>62</v>
      </c>
      <c r="F1982">
        <v>0</v>
      </c>
      <c r="G1982">
        <v>279.5</v>
      </c>
      <c r="H1982">
        <v>118</v>
      </c>
      <c r="I1982">
        <v>47.52</v>
      </c>
      <c r="J1982">
        <v>203.2</v>
      </c>
      <c r="K1982">
        <v>113</v>
      </c>
      <c r="L1982">
        <v>17.27</v>
      </c>
      <c r="M1982">
        <v>174.2</v>
      </c>
      <c r="N1982">
        <v>101</v>
      </c>
      <c r="O1982">
        <v>7.84</v>
      </c>
      <c r="P1982">
        <v>10.7</v>
      </c>
      <c r="Q1982">
        <v>4</v>
      </c>
      <c r="R1982">
        <v>2.89</v>
      </c>
      <c r="S1982">
        <v>2</v>
      </c>
      <c r="T1982" t="b">
        <v>1</v>
      </c>
    </row>
    <row r="1983" spans="1:20">
      <c r="A1983" t="s">
        <v>114</v>
      </c>
      <c r="B1983">
        <v>134</v>
      </c>
      <c r="C1983">
        <v>415</v>
      </c>
      <c r="D1983" t="s">
        <v>62</v>
      </c>
      <c r="E1983" t="s">
        <v>63</v>
      </c>
      <c r="F1983">
        <v>38</v>
      </c>
      <c r="G1983">
        <v>214.4</v>
      </c>
      <c r="H1983">
        <v>93</v>
      </c>
      <c r="I1983">
        <v>36.45</v>
      </c>
      <c r="J1983">
        <v>211.7</v>
      </c>
      <c r="K1983">
        <v>57</v>
      </c>
      <c r="L1983">
        <v>17.99</v>
      </c>
      <c r="M1983">
        <v>165</v>
      </c>
      <c r="N1983">
        <v>79</v>
      </c>
      <c r="O1983">
        <v>7.43</v>
      </c>
      <c r="P1983">
        <v>10</v>
      </c>
      <c r="Q1983">
        <v>8</v>
      </c>
      <c r="R1983">
        <v>2.7</v>
      </c>
      <c r="S1983">
        <v>1</v>
      </c>
      <c r="T1983" t="b">
        <v>0</v>
      </c>
    </row>
    <row r="1984" spans="1:20">
      <c r="A1984" t="s">
        <v>105</v>
      </c>
      <c r="B1984">
        <v>45</v>
      </c>
      <c r="C1984">
        <v>415</v>
      </c>
      <c r="D1984" t="s">
        <v>62</v>
      </c>
      <c r="E1984" t="s">
        <v>62</v>
      </c>
      <c r="F1984">
        <v>0</v>
      </c>
      <c r="G1984">
        <v>96.1</v>
      </c>
      <c r="H1984">
        <v>103</v>
      </c>
      <c r="I1984">
        <v>16.34</v>
      </c>
      <c r="J1984">
        <v>246.8</v>
      </c>
      <c r="K1984">
        <v>134</v>
      </c>
      <c r="L1984">
        <v>20.98</v>
      </c>
      <c r="M1984">
        <v>229.7</v>
      </c>
      <c r="N1984">
        <v>92</v>
      </c>
      <c r="O1984">
        <v>10.34</v>
      </c>
      <c r="P1984">
        <v>9.7</v>
      </c>
      <c r="Q1984">
        <v>4</v>
      </c>
      <c r="R1984">
        <v>2.62</v>
      </c>
      <c r="S1984">
        <v>1</v>
      </c>
      <c r="T1984" t="b">
        <v>0</v>
      </c>
    </row>
    <row r="1985" spans="1:20">
      <c r="A1985" t="s">
        <v>88</v>
      </c>
      <c r="B1985">
        <v>163</v>
      </c>
      <c r="C1985">
        <v>408</v>
      </c>
      <c r="D1985" t="s">
        <v>62</v>
      </c>
      <c r="E1985" t="s">
        <v>63</v>
      </c>
      <c r="F1985">
        <v>23</v>
      </c>
      <c r="G1985">
        <v>224</v>
      </c>
      <c r="H1985">
        <v>126</v>
      </c>
      <c r="I1985">
        <v>38.08</v>
      </c>
      <c r="J1985">
        <v>233.5</v>
      </c>
      <c r="K1985">
        <v>89</v>
      </c>
      <c r="L1985">
        <v>19.85</v>
      </c>
      <c r="M1985">
        <v>293.9</v>
      </c>
      <c r="N1985">
        <v>104</v>
      </c>
      <c r="O1985">
        <v>13.23</v>
      </c>
      <c r="P1985">
        <v>8.8</v>
      </c>
      <c r="Q1985">
        <v>4</v>
      </c>
      <c r="R1985">
        <v>2.38</v>
      </c>
      <c r="S1985">
        <v>1</v>
      </c>
      <c r="T1985" t="b">
        <v>0</v>
      </c>
    </row>
    <row r="1986" spans="1:20">
      <c r="A1986" t="s">
        <v>114</v>
      </c>
      <c r="B1986">
        <v>105</v>
      </c>
      <c r="C1986">
        <v>415</v>
      </c>
      <c r="D1986" t="s">
        <v>62</v>
      </c>
      <c r="E1986" t="s">
        <v>62</v>
      </c>
      <c r="F1986">
        <v>0</v>
      </c>
      <c r="G1986">
        <v>211.1</v>
      </c>
      <c r="H1986">
        <v>99</v>
      </c>
      <c r="I1986">
        <v>35.89</v>
      </c>
      <c r="J1986">
        <v>176.7</v>
      </c>
      <c r="K1986">
        <v>66</v>
      </c>
      <c r="L1986">
        <v>15.02</v>
      </c>
      <c r="M1986">
        <v>221.5</v>
      </c>
      <c r="N1986">
        <v>96</v>
      </c>
      <c r="O1986">
        <v>9.97</v>
      </c>
      <c r="P1986">
        <v>14.7</v>
      </c>
      <c r="Q1986">
        <v>7</v>
      </c>
      <c r="R1986">
        <v>3.97</v>
      </c>
      <c r="S1986">
        <v>4</v>
      </c>
      <c r="T1986" t="b">
        <v>0</v>
      </c>
    </row>
    <row r="1987" spans="1:20">
      <c r="A1987" t="s">
        <v>81</v>
      </c>
      <c r="B1987">
        <v>119</v>
      </c>
      <c r="C1987">
        <v>415</v>
      </c>
      <c r="D1987" t="s">
        <v>62</v>
      </c>
      <c r="E1987" t="s">
        <v>62</v>
      </c>
      <c r="F1987">
        <v>0</v>
      </c>
      <c r="G1987">
        <v>109.2</v>
      </c>
      <c r="H1987">
        <v>96</v>
      </c>
      <c r="I1987">
        <v>18.56</v>
      </c>
      <c r="J1987">
        <v>153.1</v>
      </c>
      <c r="K1987">
        <v>80</v>
      </c>
      <c r="L1987">
        <v>13.01</v>
      </c>
      <c r="M1987">
        <v>240</v>
      </c>
      <c r="N1987">
        <v>102</v>
      </c>
      <c r="O1987">
        <v>10.8</v>
      </c>
      <c r="P1987">
        <v>9.8</v>
      </c>
      <c r="Q1987">
        <v>5</v>
      </c>
      <c r="R1987">
        <v>2.65</v>
      </c>
      <c r="S1987">
        <v>2</v>
      </c>
      <c r="T1987" t="b">
        <v>0</v>
      </c>
    </row>
    <row r="1988" spans="1:20">
      <c r="A1988" t="s">
        <v>85</v>
      </c>
      <c r="B1988">
        <v>78</v>
      </c>
      <c r="C1988">
        <v>408</v>
      </c>
      <c r="D1988" t="s">
        <v>62</v>
      </c>
      <c r="E1988" t="s">
        <v>62</v>
      </c>
      <c r="F1988">
        <v>0</v>
      </c>
      <c r="G1988">
        <v>220</v>
      </c>
      <c r="H1988">
        <v>95</v>
      </c>
      <c r="I1988">
        <v>37.4</v>
      </c>
      <c r="J1988">
        <v>179.9</v>
      </c>
      <c r="K1988">
        <v>121</v>
      </c>
      <c r="L1988">
        <v>15.29</v>
      </c>
      <c r="M1988">
        <v>188.2</v>
      </c>
      <c r="N1988">
        <v>109</v>
      </c>
      <c r="O1988">
        <v>8.47</v>
      </c>
      <c r="P1988">
        <v>11.5</v>
      </c>
      <c r="Q1988">
        <v>5</v>
      </c>
      <c r="R1988">
        <v>3.11</v>
      </c>
      <c r="S1988">
        <v>0</v>
      </c>
      <c r="T1988" t="b">
        <v>0</v>
      </c>
    </row>
    <row r="1989" spans="1:20">
      <c r="A1989" t="s">
        <v>94</v>
      </c>
      <c r="B1989">
        <v>125</v>
      </c>
      <c r="C1989">
        <v>408</v>
      </c>
      <c r="D1989" t="s">
        <v>62</v>
      </c>
      <c r="E1989" t="s">
        <v>63</v>
      </c>
      <c r="F1989">
        <v>32</v>
      </c>
      <c r="G1989">
        <v>96.5</v>
      </c>
      <c r="H1989">
        <v>109</v>
      </c>
      <c r="I1989">
        <v>16.41</v>
      </c>
      <c r="J1989">
        <v>145.8</v>
      </c>
      <c r="K1989">
        <v>109</v>
      </c>
      <c r="L1989">
        <v>12.39</v>
      </c>
      <c r="M1989">
        <v>174.4</v>
      </c>
      <c r="N1989">
        <v>82</v>
      </c>
      <c r="O1989">
        <v>7.85</v>
      </c>
      <c r="P1989">
        <v>9.4</v>
      </c>
      <c r="Q1989">
        <v>2</v>
      </c>
      <c r="R1989">
        <v>2.54</v>
      </c>
      <c r="S1989">
        <v>1</v>
      </c>
      <c r="T1989" t="b">
        <v>0</v>
      </c>
    </row>
    <row r="1990" spans="1:20">
      <c r="A1990" t="s">
        <v>96</v>
      </c>
      <c r="B1990">
        <v>88</v>
      </c>
      <c r="C1990">
        <v>415</v>
      </c>
      <c r="D1990" t="s">
        <v>62</v>
      </c>
      <c r="E1990" t="s">
        <v>62</v>
      </c>
      <c r="F1990">
        <v>0</v>
      </c>
      <c r="G1990">
        <v>183.5</v>
      </c>
      <c r="H1990">
        <v>93</v>
      </c>
      <c r="I1990">
        <v>31.2</v>
      </c>
      <c r="J1990">
        <v>170.5</v>
      </c>
      <c r="K1990">
        <v>80</v>
      </c>
      <c r="L1990">
        <v>14.49</v>
      </c>
      <c r="M1990">
        <v>193.8</v>
      </c>
      <c r="N1990">
        <v>88</v>
      </c>
      <c r="O1990">
        <v>8.72</v>
      </c>
      <c r="P1990">
        <v>8.3</v>
      </c>
      <c r="Q1990">
        <v>5</v>
      </c>
      <c r="R1990">
        <v>2.24</v>
      </c>
      <c r="S1990">
        <v>3</v>
      </c>
      <c r="T1990" t="b">
        <v>0</v>
      </c>
    </row>
    <row r="1991" spans="1:20">
      <c r="A1991" t="s">
        <v>91</v>
      </c>
      <c r="B1991">
        <v>83</v>
      </c>
      <c r="C1991">
        <v>408</v>
      </c>
      <c r="D1991" t="s">
        <v>62</v>
      </c>
      <c r="E1991" t="s">
        <v>63</v>
      </c>
      <c r="F1991">
        <v>38</v>
      </c>
      <c r="G1991">
        <v>107.9</v>
      </c>
      <c r="H1991">
        <v>90</v>
      </c>
      <c r="I1991">
        <v>18.34</v>
      </c>
      <c r="J1991">
        <v>140.4</v>
      </c>
      <c r="K1991">
        <v>94</v>
      </c>
      <c r="L1991">
        <v>11.93</v>
      </c>
      <c r="M1991">
        <v>253.6</v>
      </c>
      <c r="N1991">
        <v>79</v>
      </c>
      <c r="O1991">
        <v>11.41</v>
      </c>
      <c r="P1991">
        <v>10.5</v>
      </c>
      <c r="Q1991">
        <v>2</v>
      </c>
      <c r="R1991">
        <v>2.84</v>
      </c>
      <c r="S1991">
        <v>0</v>
      </c>
      <c r="T1991" t="b">
        <v>0</v>
      </c>
    </row>
    <row r="1992" spans="1:20">
      <c r="A1992" t="s">
        <v>112</v>
      </c>
      <c r="B1992">
        <v>3</v>
      </c>
      <c r="C1992">
        <v>510</v>
      </c>
      <c r="D1992" t="s">
        <v>63</v>
      </c>
      <c r="E1992" t="s">
        <v>62</v>
      </c>
      <c r="F1992">
        <v>0</v>
      </c>
      <c r="G1992">
        <v>161</v>
      </c>
      <c r="H1992">
        <v>96</v>
      </c>
      <c r="I1992">
        <v>27.37</v>
      </c>
      <c r="J1992">
        <v>244.9</v>
      </c>
      <c r="K1992">
        <v>82</v>
      </c>
      <c r="L1992">
        <v>20.82</v>
      </c>
      <c r="M1992">
        <v>180.8</v>
      </c>
      <c r="N1992">
        <v>103</v>
      </c>
      <c r="O1992">
        <v>8.14</v>
      </c>
      <c r="P1992">
        <v>7.7</v>
      </c>
      <c r="Q1992">
        <v>6</v>
      </c>
      <c r="R1992">
        <v>2.08</v>
      </c>
      <c r="S1992">
        <v>1</v>
      </c>
      <c r="T1992" t="b">
        <v>0</v>
      </c>
    </row>
    <row r="1993" spans="1:20">
      <c r="A1993" t="s">
        <v>101</v>
      </c>
      <c r="B1993">
        <v>48</v>
      </c>
      <c r="C1993">
        <v>510</v>
      </c>
      <c r="D1993" t="s">
        <v>62</v>
      </c>
      <c r="E1993" t="s">
        <v>62</v>
      </c>
      <c r="F1993">
        <v>0</v>
      </c>
      <c r="G1993">
        <v>149.2</v>
      </c>
      <c r="H1993">
        <v>146</v>
      </c>
      <c r="I1993">
        <v>25.36</v>
      </c>
      <c r="J1993">
        <v>161.9</v>
      </c>
      <c r="K1993">
        <v>109</v>
      </c>
      <c r="L1993">
        <v>13.76</v>
      </c>
      <c r="M1993">
        <v>197.9</v>
      </c>
      <c r="N1993">
        <v>109</v>
      </c>
      <c r="O1993">
        <v>8.91</v>
      </c>
      <c r="P1993">
        <v>8.3</v>
      </c>
      <c r="Q1993">
        <v>2</v>
      </c>
      <c r="R1993">
        <v>2.24</v>
      </c>
      <c r="S1993">
        <v>3</v>
      </c>
      <c r="T1993" t="b">
        <v>0</v>
      </c>
    </row>
    <row r="1994" spans="1:20">
      <c r="A1994" t="s">
        <v>96</v>
      </c>
      <c r="B1994">
        <v>129</v>
      </c>
      <c r="C1994">
        <v>415</v>
      </c>
      <c r="D1994" t="s">
        <v>62</v>
      </c>
      <c r="E1994" t="s">
        <v>62</v>
      </c>
      <c r="F1994">
        <v>0</v>
      </c>
      <c r="G1994">
        <v>137.8</v>
      </c>
      <c r="H1994">
        <v>120</v>
      </c>
      <c r="I1994">
        <v>23.43</v>
      </c>
      <c r="J1994">
        <v>225.8</v>
      </c>
      <c r="K1994">
        <v>110</v>
      </c>
      <c r="L1994">
        <v>19.19</v>
      </c>
      <c r="M1994">
        <v>145.2</v>
      </c>
      <c r="N1994">
        <v>95</v>
      </c>
      <c r="O1994">
        <v>6.53</v>
      </c>
      <c r="P1994">
        <v>10.2</v>
      </c>
      <c r="Q1994">
        <v>6</v>
      </c>
      <c r="R1994">
        <v>2.75</v>
      </c>
      <c r="S1994">
        <v>1</v>
      </c>
      <c r="T1994" t="b">
        <v>1</v>
      </c>
    </row>
    <row r="1995" spans="1:20">
      <c r="A1995" t="s">
        <v>82</v>
      </c>
      <c r="B1995">
        <v>66</v>
      </c>
      <c r="C1995">
        <v>408</v>
      </c>
      <c r="D1995" t="s">
        <v>62</v>
      </c>
      <c r="E1995" t="s">
        <v>63</v>
      </c>
      <c r="F1995">
        <v>40</v>
      </c>
      <c r="G1995">
        <v>141.7</v>
      </c>
      <c r="H1995">
        <v>87</v>
      </c>
      <c r="I1995">
        <v>24.09</v>
      </c>
      <c r="J1995">
        <v>268.3</v>
      </c>
      <c r="K1995">
        <v>89</v>
      </c>
      <c r="L1995">
        <v>22.81</v>
      </c>
      <c r="M1995">
        <v>241.3</v>
      </c>
      <c r="N1995">
        <v>68</v>
      </c>
      <c r="O1995">
        <v>10.86</v>
      </c>
      <c r="P1995">
        <v>8.5</v>
      </c>
      <c r="Q1995">
        <v>7</v>
      </c>
      <c r="R1995">
        <v>2.3</v>
      </c>
      <c r="S1995">
        <v>0</v>
      </c>
      <c r="T1995" t="b">
        <v>0</v>
      </c>
    </row>
    <row r="1996" spans="1:20">
      <c r="A1996" t="s">
        <v>80</v>
      </c>
      <c r="B1996">
        <v>80</v>
      </c>
      <c r="C1996">
        <v>510</v>
      </c>
      <c r="D1996" t="s">
        <v>62</v>
      </c>
      <c r="E1996" t="s">
        <v>63</v>
      </c>
      <c r="F1996">
        <v>22</v>
      </c>
      <c r="G1996">
        <v>196.4</v>
      </c>
      <c r="H1996">
        <v>115</v>
      </c>
      <c r="I1996">
        <v>33.39</v>
      </c>
      <c r="J1996">
        <v>150.3</v>
      </c>
      <c r="K1996">
        <v>109</v>
      </c>
      <c r="L1996">
        <v>12.78</v>
      </c>
      <c r="M1996">
        <v>176.2</v>
      </c>
      <c r="N1996">
        <v>75</v>
      </c>
      <c r="O1996">
        <v>7.93</v>
      </c>
      <c r="P1996">
        <v>9.3</v>
      </c>
      <c r="Q1996">
        <v>1</v>
      </c>
      <c r="R1996">
        <v>2.51</v>
      </c>
      <c r="S1996">
        <v>0</v>
      </c>
      <c r="T1996" t="b">
        <v>0</v>
      </c>
    </row>
    <row r="1997" spans="1:20">
      <c r="A1997" t="s">
        <v>71</v>
      </c>
      <c r="B1997">
        <v>84</v>
      </c>
      <c r="C1997">
        <v>408</v>
      </c>
      <c r="D1997" t="s">
        <v>62</v>
      </c>
      <c r="E1997" t="s">
        <v>62</v>
      </c>
      <c r="F1997">
        <v>0</v>
      </c>
      <c r="G1997">
        <v>146.8</v>
      </c>
      <c r="H1997">
        <v>133</v>
      </c>
      <c r="I1997">
        <v>24.96</v>
      </c>
      <c r="J1997">
        <v>171.7</v>
      </c>
      <c r="K1997">
        <v>73</v>
      </c>
      <c r="L1997">
        <v>14.59</v>
      </c>
      <c r="M1997">
        <v>234.5</v>
      </c>
      <c r="N1997">
        <v>69</v>
      </c>
      <c r="O1997">
        <v>10.55</v>
      </c>
      <c r="P1997">
        <v>9.9</v>
      </c>
      <c r="Q1997">
        <v>3</v>
      </c>
      <c r="R1997">
        <v>2.67</v>
      </c>
      <c r="S1997">
        <v>1</v>
      </c>
      <c r="T1997" t="b">
        <v>0</v>
      </c>
    </row>
    <row r="1998" spans="1:20">
      <c r="A1998" t="s">
        <v>68</v>
      </c>
      <c r="B1998">
        <v>96</v>
      </c>
      <c r="C1998">
        <v>415</v>
      </c>
      <c r="D1998" t="s">
        <v>62</v>
      </c>
      <c r="E1998" t="s">
        <v>62</v>
      </c>
      <c r="F1998">
        <v>0</v>
      </c>
      <c r="G1998">
        <v>173.9</v>
      </c>
      <c r="H1998">
        <v>111</v>
      </c>
      <c r="I1998">
        <v>29.56</v>
      </c>
      <c r="J1998">
        <v>287.4</v>
      </c>
      <c r="K1998">
        <v>105</v>
      </c>
      <c r="L1998">
        <v>24.43</v>
      </c>
      <c r="M1998">
        <v>204.8</v>
      </c>
      <c r="N1998">
        <v>91</v>
      </c>
      <c r="O1998">
        <v>9.22</v>
      </c>
      <c r="P1998">
        <v>9.1</v>
      </c>
      <c r="Q1998">
        <v>7</v>
      </c>
      <c r="R1998">
        <v>2.46</v>
      </c>
      <c r="S1998">
        <v>1</v>
      </c>
      <c r="T1998" t="b">
        <v>0</v>
      </c>
    </row>
    <row r="1999" spans="1:20">
      <c r="A1999" t="s">
        <v>112</v>
      </c>
      <c r="B1999">
        <v>123</v>
      </c>
      <c r="C1999">
        <v>415</v>
      </c>
      <c r="D1999" t="s">
        <v>62</v>
      </c>
      <c r="E1999" t="s">
        <v>63</v>
      </c>
      <c r="F1999">
        <v>34</v>
      </c>
      <c r="G1999">
        <v>305.2</v>
      </c>
      <c r="H1999">
        <v>80</v>
      </c>
      <c r="I1999">
        <v>51.88</v>
      </c>
      <c r="J1999">
        <v>156.5</v>
      </c>
      <c r="K1999">
        <v>109</v>
      </c>
      <c r="L1999">
        <v>13.3</v>
      </c>
      <c r="M1999">
        <v>280</v>
      </c>
      <c r="N1999">
        <v>81</v>
      </c>
      <c r="O1999">
        <v>12.6</v>
      </c>
      <c r="P1999">
        <v>13.2</v>
      </c>
      <c r="Q1999">
        <v>7</v>
      </c>
      <c r="R1999">
        <v>3.56</v>
      </c>
      <c r="S1999">
        <v>1</v>
      </c>
      <c r="T1999" t="b">
        <v>0</v>
      </c>
    </row>
    <row r="2000" spans="1:20">
      <c r="A2000" t="s">
        <v>77</v>
      </c>
      <c r="B2000">
        <v>116</v>
      </c>
      <c r="C2000">
        <v>510</v>
      </c>
      <c r="D2000" t="s">
        <v>63</v>
      </c>
      <c r="E2000" t="s">
        <v>63</v>
      </c>
      <c r="F2000">
        <v>29</v>
      </c>
      <c r="G2000">
        <v>162.3</v>
      </c>
      <c r="H2000">
        <v>91</v>
      </c>
      <c r="I2000">
        <v>27.59</v>
      </c>
      <c r="J2000">
        <v>279.3</v>
      </c>
      <c r="K2000">
        <v>79</v>
      </c>
      <c r="L2000">
        <v>23.74</v>
      </c>
      <c r="M2000">
        <v>192.7</v>
      </c>
      <c r="N2000">
        <v>131</v>
      </c>
      <c r="O2000">
        <v>8.67</v>
      </c>
      <c r="P2000">
        <v>11.7</v>
      </c>
      <c r="Q2000">
        <v>2</v>
      </c>
      <c r="R2000">
        <v>3.16</v>
      </c>
      <c r="S2000">
        <v>3</v>
      </c>
      <c r="T2000" t="b">
        <v>1</v>
      </c>
    </row>
    <row r="2001" spans="1:20">
      <c r="A2001" t="s">
        <v>95</v>
      </c>
      <c r="B2001">
        <v>105</v>
      </c>
      <c r="C2001">
        <v>415</v>
      </c>
      <c r="D2001" t="s">
        <v>63</v>
      </c>
      <c r="E2001" t="s">
        <v>62</v>
      </c>
      <c r="F2001">
        <v>0</v>
      </c>
      <c r="G2001">
        <v>150</v>
      </c>
      <c r="H2001">
        <v>106</v>
      </c>
      <c r="I2001">
        <v>25.5</v>
      </c>
      <c r="J2001">
        <v>293.8</v>
      </c>
      <c r="K2001">
        <v>123</v>
      </c>
      <c r="L2001">
        <v>24.97</v>
      </c>
      <c r="M2001">
        <v>250.7</v>
      </c>
      <c r="N2001">
        <v>65</v>
      </c>
      <c r="O2001">
        <v>11.28</v>
      </c>
      <c r="P2001">
        <v>10.3</v>
      </c>
      <c r="Q2001">
        <v>7</v>
      </c>
      <c r="R2001">
        <v>2.78</v>
      </c>
      <c r="S2001">
        <v>3</v>
      </c>
      <c r="T2001" t="b">
        <v>0</v>
      </c>
    </row>
    <row r="2002" spans="1:20">
      <c r="A2002" t="s">
        <v>79</v>
      </c>
      <c r="B2002">
        <v>80</v>
      </c>
      <c r="C2002">
        <v>415</v>
      </c>
      <c r="D2002" t="s">
        <v>62</v>
      </c>
      <c r="E2002" t="s">
        <v>62</v>
      </c>
      <c r="F2002">
        <v>0</v>
      </c>
      <c r="G2002">
        <v>197.5</v>
      </c>
      <c r="H2002">
        <v>114</v>
      </c>
      <c r="I2002">
        <v>33.58</v>
      </c>
      <c r="J2002">
        <v>206.9</v>
      </c>
      <c r="K2002">
        <v>119</v>
      </c>
      <c r="L2002">
        <v>17.59</v>
      </c>
      <c r="M2002">
        <v>163.6</v>
      </c>
      <c r="N2002">
        <v>109</v>
      </c>
      <c r="O2002">
        <v>7.36</v>
      </c>
      <c r="P2002">
        <v>11.3</v>
      </c>
      <c r="Q2002">
        <v>4</v>
      </c>
      <c r="R2002">
        <v>3.05</v>
      </c>
      <c r="S2002">
        <v>1</v>
      </c>
      <c r="T2002" t="b">
        <v>0</v>
      </c>
    </row>
    <row r="2003" spans="1:20">
      <c r="A2003" t="s">
        <v>76</v>
      </c>
      <c r="B2003">
        <v>157</v>
      </c>
      <c r="C2003">
        <v>408</v>
      </c>
      <c r="D2003" t="s">
        <v>62</v>
      </c>
      <c r="E2003" t="s">
        <v>62</v>
      </c>
      <c r="F2003">
        <v>0</v>
      </c>
      <c r="G2003">
        <v>240.2</v>
      </c>
      <c r="H2003">
        <v>67</v>
      </c>
      <c r="I2003">
        <v>40.83</v>
      </c>
      <c r="J2003">
        <v>153</v>
      </c>
      <c r="K2003">
        <v>98</v>
      </c>
      <c r="L2003">
        <v>13.01</v>
      </c>
      <c r="M2003">
        <v>249</v>
      </c>
      <c r="N2003">
        <v>72</v>
      </c>
      <c r="O2003">
        <v>11.21</v>
      </c>
      <c r="P2003">
        <v>10.2</v>
      </c>
      <c r="Q2003">
        <v>6</v>
      </c>
      <c r="R2003">
        <v>2.75</v>
      </c>
      <c r="S2003">
        <v>2</v>
      </c>
      <c r="T2003" t="b">
        <v>0</v>
      </c>
    </row>
    <row r="2004" spans="1:20">
      <c r="A2004" t="s">
        <v>77</v>
      </c>
      <c r="B2004">
        <v>67</v>
      </c>
      <c r="C2004">
        <v>510</v>
      </c>
      <c r="D2004" t="s">
        <v>62</v>
      </c>
      <c r="E2004" t="s">
        <v>63</v>
      </c>
      <c r="F2004">
        <v>30</v>
      </c>
      <c r="G2004">
        <v>186.2</v>
      </c>
      <c r="H2004">
        <v>117</v>
      </c>
      <c r="I2004">
        <v>31.65</v>
      </c>
      <c r="J2004">
        <v>286.7</v>
      </c>
      <c r="K2004">
        <v>76</v>
      </c>
      <c r="L2004">
        <v>24.37</v>
      </c>
      <c r="M2004">
        <v>164.3</v>
      </c>
      <c r="N2004">
        <v>113</v>
      </c>
      <c r="O2004">
        <v>7.39</v>
      </c>
      <c r="P2004">
        <v>12.9</v>
      </c>
      <c r="Q2004">
        <v>3</v>
      </c>
      <c r="R2004">
        <v>3.48</v>
      </c>
      <c r="S2004">
        <v>2</v>
      </c>
      <c r="T2004" t="b">
        <v>0</v>
      </c>
    </row>
    <row r="2005" spans="1:20">
      <c r="A2005" t="s">
        <v>91</v>
      </c>
      <c r="B2005">
        <v>79</v>
      </c>
      <c r="C2005">
        <v>415</v>
      </c>
      <c r="D2005" t="s">
        <v>62</v>
      </c>
      <c r="E2005" t="s">
        <v>63</v>
      </c>
      <c r="F2005">
        <v>17</v>
      </c>
      <c r="G2005">
        <v>236.7</v>
      </c>
      <c r="H2005">
        <v>95</v>
      </c>
      <c r="I2005">
        <v>40.24</v>
      </c>
      <c r="J2005">
        <v>263.5</v>
      </c>
      <c r="K2005">
        <v>56</v>
      </c>
      <c r="L2005">
        <v>22.4</v>
      </c>
      <c r="M2005">
        <v>259.6</v>
      </c>
      <c r="N2005">
        <v>107</v>
      </c>
      <c r="O2005">
        <v>11.68</v>
      </c>
      <c r="P2005">
        <v>12</v>
      </c>
      <c r="Q2005">
        <v>4</v>
      </c>
      <c r="R2005">
        <v>3.24</v>
      </c>
      <c r="S2005">
        <v>1</v>
      </c>
      <c r="T2005" t="b">
        <v>0</v>
      </c>
    </row>
    <row r="2006" spans="1:20">
      <c r="A2006" t="s">
        <v>109</v>
      </c>
      <c r="B2006">
        <v>76</v>
      </c>
      <c r="C2006">
        <v>408</v>
      </c>
      <c r="D2006" t="s">
        <v>62</v>
      </c>
      <c r="E2006" t="s">
        <v>62</v>
      </c>
      <c r="F2006">
        <v>0</v>
      </c>
      <c r="G2006">
        <v>173.2</v>
      </c>
      <c r="H2006">
        <v>93</v>
      </c>
      <c r="I2006">
        <v>29.44</v>
      </c>
      <c r="J2006">
        <v>131.2</v>
      </c>
      <c r="K2006">
        <v>80</v>
      </c>
      <c r="L2006">
        <v>11.15</v>
      </c>
      <c r="M2006">
        <v>170.9</v>
      </c>
      <c r="N2006">
        <v>104</v>
      </c>
      <c r="O2006">
        <v>7.69</v>
      </c>
      <c r="P2006">
        <v>5.4</v>
      </c>
      <c r="Q2006">
        <v>3</v>
      </c>
      <c r="R2006">
        <v>1.46</v>
      </c>
      <c r="S2006">
        <v>0</v>
      </c>
      <c r="T2006" t="b">
        <v>0</v>
      </c>
    </row>
    <row r="2007" spans="1:20">
      <c r="A2007" t="s">
        <v>64</v>
      </c>
      <c r="B2007">
        <v>94</v>
      </c>
      <c r="C2007">
        <v>415</v>
      </c>
      <c r="D2007" t="s">
        <v>62</v>
      </c>
      <c r="E2007" t="s">
        <v>62</v>
      </c>
      <c r="F2007">
        <v>0</v>
      </c>
      <c r="G2007">
        <v>181.3</v>
      </c>
      <c r="H2007">
        <v>135</v>
      </c>
      <c r="I2007">
        <v>30.82</v>
      </c>
      <c r="J2007">
        <v>182.4</v>
      </c>
      <c r="K2007">
        <v>108</v>
      </c>
      <c r="L2007">
        <v>15.5</v>
      </c>
      <c r="M2007">
        <v>180.6</v>
      </c>
      <c r="N2007">
        <v>103</v>
      </c>
      <c r="O2007">
        <v>8.13</v>
      </c>
      <c r="P2007">
        <v>6.7</v>
      </c>
      <c r="Q2007">
        <v>2</v>
      </c>
      <c r="R2007">
        <v>1.81</v>
      </c>
      <c r="S2007">
        <v>0</v>
      </c>
      <c r="T2007" t="b">
        <v>0</v>
      </c>
    </row>
    <row r="2008" spans="1:20">
      <c r="A2008" t="s">
        <v>92</v>
      </c>
      <c r="B2008">
        <v>109</v>
      </c>
      <c r="C2008">
        <v>510</v>
      </c>
      <c r="D2008" t="s">
        <v>62</v>
      </c>
      <c r="E2008" t="s">
        <v>62</v>
      </c>
      <c r="F2008">
        <v>0</v>
      </c>
      <c r="G2008">
        <v>175.4</v>
      </c>
      <c r="H2008">
        <v>125</v>
      </c>
      <c r="I2008">
        <v>29.82</v>
      </c>
      <c r="J2008">
        <v>250.7</v>
      </c>
      <c r="K2008">
        <v>87</v>
      </c>
      <c r="L2008">
        <v>21.31</v>
      </c>
      <c r="M2008">
        <v>289.3</v>
      </c>
      <c r="N2008">
        <v>74</v>
      </c>
      <c r="O2008">
        <v>13.02</v>
      </c>
      <c r="P2008">
        <v>9.8</v>
      </c>
      <c r="Q2008">
        <v>9</v>
      </c>
      <c r="R2008">
        <v>2.65</v>
      </c>
      <c r="S2008">
        <v>1</v>
      </c>
      <c r="T2008" t="b">
        <v>0</v>
      </c>
    </row>
    <row r="2009" spans="1:20">
      <c r="A2009" t="s">
        <v>83</v>
      </c>
      <c r="B2009">
        <v>138</v>
      </c>
      <c r="C2009">
        <v>415</v>
      </c>
      <c r="D2009" t="s">
        <v>62</v>
      </c>
      <c r="E2009" t="s">
        <v>62</v>
      </c>
      <c r="F2009">
        <v>0</v>
      </c>
      <c r="G2009">
        <v>87.6</v>
      </c>
      <c r="H2009">
        <v>112</v>
      </c>
      <c r="I2009">
        <v>14.89</v>
      </c>
      <c r="J2009">
        <v>266.9</v>
      </c>
      <c r="K2009">
        <v>107</v>
      </c>
      <c r="L2009">
        <v>22.69</v>
      </c>
      <c r="M2009">
        <v>214.6</v>
      </c>
      <c r="N2009">
        <v>104</v>
      </c>
      <c r="O2009">
        <v>9.66</v>
      </c>
      <c r="P2009">
        <v>9.8</v>
      </c>
      <c r="Q2009">
        <v>10</v>
      </c>
      <c r="R2009">
        <v>2.65</v>
      </c>
      <c r="S2009">
        <v>2</v>
      </c>
      <c r="T2009" t="b">
        <v>0</v>
      </c>
    </row>
    <row r="2010" spans="1:20">
      <c r="A2010" t="s">
        <v>111</v>
      </c>
      <c r="B2010">
        <v>73</v>
      </c>
      <c r="C2010">
        <v>415</v>
      </c>
      <c r="D2010" t="s">
        <v>62</v>
      </c>
      <c r="E2010" t="s">
        <v>62</v>
      </c>
      <c r="F2010">
        <v>0</v>
      </c>
      <c r="G2010">
        <v>203.3</v>
      </c>
      <c r="H2010">
        <v>45</v>
      </c>
      <c r="I2010">
        <v>34.56</v>
      </c>
      <c r="J2010">
        <v>141.9</v>
      </c>
      <c r="K2010">
        <v>87</v>
      </c>
      <c r="L2010">
        <v>12.06</v>
      </c>
      <c r="M2010">
        <v>200.7</v>
      </c>
      <c r="N2010">
        <v>71</v>
      </c>
      <c r="O2010">
        <v>9.03</v>
      </c>
      <c r="P2010">
        <v>8.5</v>
      </c>
      <c r="Q2010">
        <v>6</v>
      </c>
      <c r="R2010">
        <v>2.3</v>
      </c>
      <c r="S2010">
        <v>0</v>
      </c>
      <c r="T2010" t="b">
        <v>0</v>
      </c>
    </row>
    <row r="2011" spans="1:20">
      <c r="A2011" t="s">
        <v>107</v>
      </c>
      <c r="B2011">
        <v>21</v>
      </c>
      <c r="C2011">
        <v>415</v>
      </c>
      <c r="D2011" t="s">
        <v>62</v>
      </c>
      <c r="E2011" t="s">
        <v>62</v>
      </c>
      <c r="F2011">
        <v>0</v>
      </c>
      <c r="G2011">
        <v>92.6</v>
      </c>
      <c r="H2011">
        <v>95</v>
      </c>
      <c r="I2011">
        <v>15.74</v>
      </c>
      <c r="J2011">
        <v>161.9</v>
      </c>
      <c r="K2011">
        <v>70</v>
      </c>
      <c r="L2011">
        <v>13.76</v>
      </c>
      <c r="M2011">
        <v>285</v>
      </c>
      <c r="N2011">
        <v>78</v>
      </c>
      <c r="O2011">
        <v>12.83</v>
      </c>
      <c r="P2011">
        <v>11.3</v>
      </c>
      <c r="Q2011">
        <v>3</v>
      </c>
      <c r="R2011">
        <v>3.05</v>
      </c>
      <c r="S2011">
        <v>5</v>
      </c>
      <c r="T2011" t="b">
        <v>1</v>
      </c>
    </row>
    <row r="2012" spans="1:20">
      <c r="A2012" t="s">
        <v>84</v>
      </c>
      <c r="B2012">
        <v>103</v>
      </c>
      <c r="C2012">
        <v>408</v>
      </c>
      <c r="D2012" t="s">
        <v>62</v>
      </c>
      <c r="E2012" t="s">
        <v>62</v>
      </c>
      <c r="F2012">
        <v>0</v>
      </c>
      <c r="G2012">
        <v>160.8</v>
      </c>
      <c r="H2012">
        <v>91</v>
      </c>
      <c r="I2012">
        <v>27.34</v>
      </c>
      <c r="J2012">
        <v>155.8</v>
      </c>
      <c r="K2012">
        <v>82</v>
      </c>
      <c r="L2012">
        <v>13.24</v>
      </c>
      <c r="M2012">
        <v>254.3</v>
      </c>
      <c r="N2012">
        <v>103</v>
      </c>
      <c r="O2012">
        <v>11.44</v>
      </c>
      <c r="P2012">
        <v>8.5</v>
      </c>
      <c r="Q2012">
        <v>3</v>
      </c>
      <c r="R2012">
        <v>2.3</v>
      </c>
      <c r="S2012">
        <v>1</v>
      </c>
      <c r="T2012" t="b">
        <v>0</v>
      </c>
    </row>
    <row r="2013" spans="1:20">
      <c r="A2013" t="s">
        <v>102</v>
      </c>
      <c r="B2013">
        <v>79</v>
      </c>
      <c r="C2013">
        <v>408</v>
      </c>
      <c r="D2013" t="s">
        <v>62</v>
      </c>
      <c r="E2013" t="s">
        <v>63</v>
      </c>
      <c r="F2013">
        <v>32</v>
      </c>
      <c r="G2013">
        <v>50.6</v>
      </c>
      <c r="H2013">
        <v>62</v>
      </c>
      <c r="I2013">
        <v>8.6</v>
      </c>
      <c r="J2013">
        <v>201.4</v>
      </c>
      <c r="K2013">
        <v>87</v>
      </c>
      <c r="L2013">
        <v>17.12</v>
      </c>
      <c r="M2013">
        <v>146.8</v>
      </c>
      <c r="N2013">
        <v>121</v>
      </c>
      <c r="O2013">
        <v>6.61</v>
      </c>
      <c r="P2013">
        <v>4.2</v>
      </c>
      <c r="Q2013">
        <v>4</v>
      </c>
      <c r="R2013">
        <v>1.13</v>
      </c>
      <c r="S2013">
        <v>2</v>
      </c>
      <c r="T2013" t="b">
        <v>0</v>
      </c>
    </row>
    <row r="2014" spans="1:20">
      <c r="A2014" t="s">
        <v>104</v>
      </c>
      <c r="B2014">
        <v>89</v>
      </c>
      <c r="C2014">
        <v>415</v>
      </c>
      <c r="D2014" t="s">
        <v>62</v>
      </c>
      <c r="E2014" t="s">
        <v>62</v>
      </c>
      <c r="F2014">
        <v>0</v>
      </c>
      <c r="G2014">
        <v>134.9</v>
      </c>
      <c r="H2014">
        <v>59</v>
      </c>
      <c r="I2014">
        <v>22.93</v>
      </c>
      <c r="J2014">
        <v>156</v>
      </c>
      <c r="K2014">
        <v>152</v>
      </c>
      <c r="L2014">
        <v>13.26</v>
      </c>
      <c r="M2014">
        <v>197.5</v>
      </c>
      <c r="N2014">
        <v>112</v>
      </c>
      <c r="O2014">
        <v>8.89</v>
      </c>
      <c r="P2014">
        <v>10.2</v>
      </c>
      <c r="Q2014">
        <v>5</v>
      </c>
      <c r="R2014">
        <v>2.75</v>
      </c>
      <c r="S2014">
        <v>1</v>
      </c>
      <c r="T2014" t="b">
        <v>0</v>
      </c>
    </row>
    <row r="2015" spans="1:20">
      <c r="A2015" t="s">
        <v>98</v>
      </c>
      <c r="B2015">
        <v>120</v>
      </c>
      <c r="C2015">
        <v>415</v>
      </c>
      <c r="D2015" t="s">
        <v>62</v>
      </c>
      <c r="E2015" t="s">
        <v>62</v>
      </c>
      <c r="F2015">
        <v>0</v>
      </c>
      <c r="G2015">
        <v>252.1</v>
      </c>
      <c r="H2015">
        <v>110</v>
      </c>
      <c r="I2015">
        <v>42.86</v>
      </c>
      <c r="J2015">
        <v>226.1</v>
      </c>
      <c r="K2015">
        <v>103</v>
      </c>
      <c r="L2015">
        <v>19.22</v>
      </c>
      <c r="M2015">
        <v>155.6</v>
      </c>
      <c r="N2015">
        <v>83</v>
      </c>
      <c r="O2015">
        <v>7</v>
      </c>
      <c r="P2015">
        <v>13.8</v>
      </c>
      <c r="Q2015">
        <v>3</v>
      </c>
      <c r="R2015">
        <v>3.73</v>
      </c>
      <c r="S2015">
        <v>1</v>
      </c>
      <c r="T2015" t="b">
        <v>0</v>
      </c>
    </row>
    <row r="2016" spans="1:20">
      <c r="A2016" t="s">
        <v>97</v>
      </c>
      <c r="B2016">
        <v>121</v>
      </c>
      <c r="C2016">
        <v>415</v>
      </c>
      <c r="D2016" t="s">
        <v>62</v>
      </c>
      <c r="E2016" t="s">
        <v>63</v>
      </c>
      <c r="F2016">
        <v>41</v>
      </c>
      <c r="G2016">
        <v>215.5</v>
      </c>
      <c r="H2016">
        <v>95</v>
      </c>
      <c r="I2016">
        <v>36.64</v>
      </c>
      <c r="J2016">
        <v>241.8</v>
      </c>
      <c r="K2016">
        <v>92</v>
      </c>
      <c r="L2016">
        <v>20.55</v>
      </c>
      <c r="M2016">
        <v>147</v>
      </c>
      <c r="N2016">
        <v>108</v>
      </c>
      <c r="O2016">
        <v>6.61</v>
      </c>
      <c r="P2016">
        <v>9.6</v>
      </c>
      <c r="Q2016">
        <v>3</v>
      </c>
      <c r="R2016">
        <v>2.59</v>
      </c>
      <c r="S2016">
        <v>1</v>
      </c>
      <c r="T2016" t="b">
        <v>0</v>
      </c>
    </row>
    <row r="2017" spans="1:20">
      <c r="A2017" t="s">
        <v>86</v>
      </c>
      <c r="B2017">
        <v>101</v>
      </c>
      <c r="C2017">
        <v>415</v>
      </c>
      <c r="D2017" t="s">
        <v>62</v>
      </c>
      <c r="E2017" t="s">
        <v>62</v>
      </c>
      <c r="F2017">
        <v>0</v>
      </c>
      <c r="G2017">
        <v>124.8</v>
      </c>
      <c r="H2017">
        <v>66</v>
      </c>
      <c r="I2017">
        <v>21.22</v>
      </c>
      <c r="J2017">
        <v>257.2</v>
      </c>
      <c r="K2017">
        <v>85</v>
      </c>
      <c r="L2017">
        <v>21.86</v>
      </c>
      <c r="M2017">
        <v>193.2</v>
      </c>
      <c r="N2017">
        <v>115</v>
      </c>
      <c r="O2017">
        <v>8.69</v>
      </c>
      <c r="P2017">
        <v>13.4</v>
      </c>
      <c r="Q2017">
        <v>4</v>
      </c>
      <c r="R2017">
        <v>3.62</v>
      </c>
      <c r="S2017">
        <v>0</v>
      </c>
      <c r="T2017" t="b">
        <v>0</v>
      </c>
    </row>
    <row r="2018" spans="1:20">
      <c r="A2018" t="s">
        <v>105</v>
      </c>
      <c r="B2018">
        <v>115</v>
      </c>
      <c r="C2018">
        <v>408</v>
      </c>
      <c r="D2018" t="s">
        <v>62</v>
      </c>
      <c r="E2018" t="s">
        <v>62</v>
      </c>
      <c r="F2018">
        <v>0</v>
      </c>
      <c r="G2018">
        <v>178.7</v>
      </c>
      <c r="H2018">
        <v>114</v>
      </c>
      <c r="I2018">
        <v>30.38</v>
      </c>
      <c r="J2018">
        <v>271</v>
      </c>
      <c r="K2018">
        <v>96</v>
      </c>
      <c r="L2018">
        <v>23.04</v>
      </c>
      <c r="M2018">
        <v>245.9</v>
      </c>
      <c r="N2018">
        <v>94</v>
      </c>
      <c r="O2018">
        <v>11.07</v>
      </c>
      <c r="P2018">
        <v>16.4</v>
      </c>
      <c r="Q2018">
        <v>5</v>
      </c>
      <c r="R2018">
        <v>4.43</v>
      </c>
      <c r="S2018">
        <v>2</v>
      </c>
      <c r="T2018" t="b">
        <v>0</v>
      </c>
    </row>
    <row r="2019" spans="1:20">
      <c r="A2019" t="s">
        <v>96</v>
      </c>
      <c r="B2019">
        <v>168</v>
      </c>
      <c r="C2019">
        <v>415</v>
      </c>
      <c r="D2019" t="s">
        <v>62</v>
      </c>
      <c r="E2019" t="s">
        <v>62</v>
      </c>
      <c r="F2019">
        <v>0</v>
      </c>
      <c r="G2019">
        <v>183.2</v>
      </c>
      <c r="H2019">
        <v>131</v>
      </c>
      <c r="I2019">
        <v>31.14</v>
      </c>
      <c r="J2019">
        <v>179.2</v>
      </c>
      <c r="K2019">
        <v>73</v>
      </c>
      <c r="L2019">
        <v>15.23</v>
      </c>
      <c r="M2019">
        <v>292.8</v>
      </c>
      <c r="N2019">
        <v>100</v>
      </c>
      <c r="O2019">
        <v>13.18</v>
      </c>
      <c r="P2019">
        <v>9.9</v>
      </c>
      <c r="Q2019">
        <v>5</v>
      </c>
      <c r="R2019">
        <v>2.67</v>
      </c>
      <c r="S2019">
        <v>2</v>
      </c>
      <c r="T2019" t="b">
        <v>0</v>
      </c>
    </row>
    <row r="2020" spans="1:20">
      <c r="A2020" t="s">
        <v>109</v>
      </c>
      <c r="B2020">
        <v>70</v>
      </c>
      <c r="C2020">
        <v>510</v>
      </c>
      <c r="D2020" t="s">
        <v>62</v>
      </c>
      <c r="E2020" t="s">
        <v>62</v>
      </c>
      <c r="F2020">
        <v>0</v>
      </c>
      <c r="G2020">
        <v>147.1</v>
      </c>
      <c r="H2020">
        <v>105</v>
      </c>
      <c r="I2020">
        <v>25.01</v>
      </c>
      <c r="J2020">
        <v>200</v>
      </c>
      <c r="K2020">
        <v>135</v>
      </c>
      <c r="L2020">
        <v>17</v>
      </c>
      <c r="M2020">
        <v>234.9</v>
      </c>
      <c r="N2020">
        <v>65</v>
      </c>
      <c r="O2020">
        <v>10.57</v>
      </c>
      <c r="P2020">
        <v>12.5</v>
      </c>
      <c r="Q2020">
        <v>9</v>
      </c>
      <c r="R2020">
        <v>3.38</v>
      </c>
      <c r="S2020">
        <v>3</v>
      </c>
      <c r="T2020" t="b">
        <v>0</v>
      </c>
    </row>
    <row r="2021" spans="1:20">
      <c r="A2021" t="s">
        <v>78</v>
      </c>
      <c r="B2021">
        <v>138</v>
      </c>
      <c r="C2021">
        <v>415</v>
      </c>
      <c r="D2021" t="s">
        <v>62</v>
      </c>
      <c r="E2021" t="s">
        <v>62</v>
      </c>
      <c r="F2021">
        <v>0</v>
      </c>
      <c r="G2021">
        <v>230.1</v>
      </c>
      <c r="H2021">
        <v>107</v>
      </c>
      <c r="I2021">
        <v>39.12</v>
      </c>
      <c r="J2021">
        <v>212</v>
      </c>
      <c r="K2021">
        <v>120</v>
      </c>
      <c r="L2021">
        <v>18.02</v>
      </c>
      <c r="M2021">
        <v>174.9</v>
      </c>
      <c r="N2021">
        <v>119</v>
      </c>
      <c r="O2021">
        <v>7.87</v>
      </c>
      <c r="P2021">
        <v>13.2</v>
      </c>
      <c r="Q2021">
        <v>4</v>
      </c>
      <c r="R2021">
        <v>3.56</v>
      </c>
      <c r="S2021">
        <v>1</v>
      </c>
      <c r="T2021" t="b">
        <v>0</v>
      </c>
    </row>
    <row r="2022" spans="1:20">
      <c r="A2022" t="s">
        <v>78</v>
      </c>
      <c r="B2022">
        <v>43</v>
      </c>
      <c r="C2022">
        <v>408</v>
      </c>
      <c r="D2022" t="s">
        <v>62</v>
      </c>
      <c r="E2022" t="s">
        <v>62</v>
      </c>
      <c r="F2022">
        <v>0</v>
      </c>
      <c r="G2022">
        <v>135.8</v>
      </c>
      <c r="H2022">
        <v>125</v>
      </c>
      <c r="I2022">
        <v>23.09</v>
      </c>
      <c r="J2022">
        <v>163.2</v>
      </c>
      <c r="K2022">
        <v>88</v>
      </c>
      <c r="L2022">
        <v>13.87</v>
      </c>
      <c r="M2022">
        <v>229.8</v>
      </c>
      <c r="N2022">
        <v>106</v>
      </c>
      <c r="O2022">
        <v>10.34</v>
      </c>
      <c r="P2022">
        <v>12.6</v>
      </c>
      <c r="Q2022">
        <v>3</v>
      </c>
      <c r="R2022">
        <v>3.4</v>
      </c>
      <c r="S2022">
        <v>0</v>
      </c>
      <c r="T2022" t="b">
        <v>0</v>
      </c>
    </row>
    <row r="2023" spans="1:20">
      <c r="A2023" t="s">
        <v>97</v>
      </c>
      <c r="B2023">
        <v>117</v>
      </c>
      <c r="C2023">
        <v>510</v>
      </c>
      <c r="D2023" t="s">
        <v>62</v>
      </c>
      <c r="E2023" t="s">
        <v>63</v>
      </c>
      <c r="F2023">
        <v>20</v>
      </c>
      <c r="G2023">
        <v>205.7</v>
      </c>
      <c r="H2023">
        <v>98</v>
      </c>
      <c r="I2023">
        <v>34.97</v>
      </c>
      <c r="J2023">
        <v>136.1</v>
      </c>
      <c r="K2023">
        <v>107</v>
      </c>
      <c r="L2023">
        <v>11.57</v>
      </c>
      <c r="M2023">
        <v>159.4</v>
      </c>
      <c r="N2023">
        <v>147</v>
      </c>
      <c r="O2023">
        <v>7.17</v>
      </c>
      <c r="P2023">
        <v>8.7</v>
      </c>
      <c r="Q2023">
        <v>3</v>
      </c>
      <c r="R2023">
        <v>2.35</v>
      </c>
      <c r="S2023">
        <v>2</v>
      </c>
      <c r="T2023" t="b">
        <v>0</v>
      </c>
    </row>
    <row r="2024" spans="1:20">
      <c r="A2024" t="s">
        <v>107</v>
      </c>
      <c r="B2024">
        <v>108</v>
      </c>
      <c r="C2024">
        <v>408</v>
      </c>
      <c r="D2024" t="s">
        <v>62</v>
      </c>
      <c r="E2024" t="s">
        <v>62</v>
      </c>
      <c r="F2024">
        <v>0</v>
      </c>
      <c r="G2024">
        <v>73.8</v>
      </c>
      <c r="H2024">
        <v>105</v>
      </c>
      <c r="I2024">
        <v>12.55</v>
      </c>
      <c r="J2024">
        <v>143.4</v>
      </c>
      <c r="K2024">
        <v>114</v>
      </c>
      <c r="L2024">
        <v>12.19</v>
      </c>
      <c r="M2024">
        <v>170.2</v>
      </c>
      <c r="N2024">
        <v>98</v>
      </c>
      <c r="O2024">
        <v>7.66</v>
      </c>
      <c r="P2024">
        <v>10.9</v>
      </c>
      <c r="Q2024">
        <v>3</v>
      </c>
      <c r="R2024">
        <v>2.94</v>
      </c>
      <c r="S2024">
        <v>2</v>
      </c>
      <c r="T2024" t="b">
        <v>0</v>
      </c>
    </row>
    <row r="2025" spans="1:20">
      <c r="A2025" t="s">
        <v>79</v>
      </c>
      <c r="B2025">
        <v>118</v>
      </c>
      <c r="C2025">
        <v>408</v>
      </c>
      <c r="D2025" t="s">
        <v>62</v>
      </c>
      <c r="E2025" t="s">
        <v>62</v>
      </c>
      <c r="F2025">
        <v>0</v>
      </c>
      <c r="G2025">
        <v>189.3</v>
      </c>
      <c r="H2025">
        <v>119</v>
      </c>
      <c r="I2025">
        <v>32.18</v>
      </c>
      <c r="J2025">
        <v>233.5</v>
      </c>
      <c r="K2025">
        <v>112</v>
      </c>
      <c r="L2025">
        <v>19.85</v>
      </c>
      <c r="M2025">
        <v>270.9</v>
      </c>
      <c r="N2025">
        <v>104</v>
      </c>
      <c r="O2025">
        <v>12.19</v>
      </c>
      <c r="P2025">
        <v>10</v>
      </c>
      <c r="Q2025">
        <v>1</v>
      </c>
      <c r="R2025">
        <v>2.7</v>
      </c>
      <c r="S2025">
        <v>2</v>
      </c>
      <c r="T2025" t="b">
        <v>0</v>
      </c>
    </row>
    <row r="2026" spans="1:20">
      <c r="A2026" t="s">
        <v>83</v>
      </c>
      <c r="B2026">
        <v>62</v>
      </c>
      <c r="C2026">
        <v>408</v>
      </c>
      <c r="D2026" t="s">
        <v>62</v>
      </c>
      <c r="E2026" t="s">
        <v>63</v>
      </c>
      <c r="F2026">
        <v>42</v>
      </c>
      <c r="G2026">
        <v>137.3</v>
      </c>
      <c r="H2026">
        <v>95</v>
      </c>
      <c r="I2026">
        <v>23.34</v>
      </c>
      <c r="J2026">
        <v>184.2</v>
      </c>
      <c r="K2026">
        <v>94</v>
      </c>
      <c r="L2026">
        <v>15.66</v>
      </c>
      <c r="M2026">
        <v>231.4</v>
      </c>
      <c r="N2026">
        <v>70</v>
      </c>
      <c r="O2026">
        <v>10.41</v>
      </c>
      <c r="P2026">
        <v>10.2</v>
      </c>
      <c r="Q2026">
        <v>3</v>
      </c>
      <c r="R2026">
        <v>2.75</v>
      </c>
      <c r="S2026">
        <v>0</v>
      </c>
      <c r="T2026" t="b">
        <v>0</v>
      </c>
    </row>
    <row r="2027" spans="1:20">
      <c r="A2027" t="s">
        <v>106</v>
      </c>
      <c r="B2027">
        <v>86</v>
      </c>
      <c r="C2027">
        <v>510</v>
      </c>
      <c r="D2027" t="s">
        <v>62</v>
      </c>
      <c r="E2027" t="s">
        <v>62</v>
      </c>
      <c r="F2027">
        <v>0</v>
      </c>
      <c r="G2027">
        <v>70.7</v>
      </c>
      <c r="H2027">
        <v>125</v>
      </c>
      <c r="I2027">
        <v>12.02</v>
      </c>
      <c r="J2027">
        <v>211</v>
      </c>
      <c r="K2027">
        <v>113</v>
      </c>
      <c r="L2027">
        <v>17.94</v>
      </c>
      <c r="M2027">
        <v>174.6</v>
      </c>
      <c r="N2027">
        <v>107</v>
      </c>
      <c r="O2027">
        <v>7.86</v>
      </c>
      <c r="P2027">
        <v>0</v>
      </c>
      <c r="Q2027">
        <v>0</v>
      </c>
      <c r="R2027">
        <v>0</v>
      </c>
      <c r="S2027">
        <v>2</v>
      </c>
      <c r="T2027" t="b">
        <v>0</v>
      </c>
    </row>
    <row r="2028" spans="1:20">
      <c r="A2028" t="s">
        <v>79</v>
      </c>
      <c r="B2028">
        <v>44</v>
      </c>
      <c r="C2028">
        <v>408</v>
      </c>
      <c r="D2028" t="s">
        <v>62</v>
      </c>
      <c r="E2028" t="s">
        <v>62</v>
      </c>
      <c r="F2028">
        <v>0</v>
      </c>
      <c r="G2028">
        <v>204.6</v>
      </c>
      <c r="H2028">
        <v>117</v>
      </c>
      <c r="I2028">
        <v>34.78</v>
      </c>
      <c r="J2028">
        <v>205.2</v>
      </c>
      <c r="K2028">
        <v>94</v>
      </c>
      <c r="L2028">
        <v>17.44</v>
      </c>
      <c r="M2028">
        <v>164.6</v>
      </c>
      <c r="N2028">
        <v>84</v>
      </c>
      <c r="O2028">
        <v>7.41</v>
      </c>
      <c r="P2028">
        <v>10.7</v>
      </c>
      <c r="Q2028">
        <v>5</v>
      </c>
      <c r="R2028">
        <v>2.89</v>
      </c>
      <c r="S2028">
        <v>0</v>
      </c>
      <c r="T2028" t="b">
        <v>0</v>
      </c>
    </row>
    <row r="2029" spans="1:20">
      <c r="A2029" t="s">
        <v>91</v>
      </c>
      <c r="B2029">
        <v>111</v>
      </c>
      <c r="C2029">
        <v>510</v>
      </c>
      <c r="D2029" t="s">
        <v>62</v>
      </c>
      <c r="E2029" t="s">
        <v>62</v>
      </c>
      <c r="F2029">
        <v>0</v>
      </c>
      <c r="G2029">
        <v>123.1</v>
      </c>
      <c r="H2029">
        <v>88</v>
      </c>
      <c r="I2029">
        <v>20.93</v>
      </c>
      <c r="J2029">
        <v>213.9</v>
      </c>
      <c r="K2029">
        <v>84</v>
      </c>
      <c r="L2029">
        <v>18.18</v>
      </c>
      <c r="M2029">
        <v>184.9</v>
      </c>
      <c r="N2029">
        <v>88</v>
      </c>
      <c r="O2029">
        <v>8.32</v>
      </c>
      <c r="P2029">
        <v>12</v>
      </c>
      <c r="Q2029">
        <v>2</v>
      </c>
      <c r="R2029">
        <v>3.24</v>
      </c>
      <c r="S2029">
        <v>5</v>
      </c>
      <c r="T2029" t="b">
        <v>1</v>
      </c>
    </row>
    <row r="2030" spans="1:20">
      <c r="A2030" t="s">
        <v>68</v>
      </c>
      <c r="B2030">
        <v>127</v>
      </c>
      <c r="C2030">
        <v>510</v>
      </c>
      <c r="D2030" t="s">
        <v>62</v>
      </c>
      <c r="E2030" t="s">
        <v>63</v>
      </c>
      <c r="F2030">
        <v>19</v>
      </c>
      <c r="G2030">
        <v>129.7</v>
      </c>
      <c r="H2030">
        <v>115</v>
      </c>
      <c r="I2030">
        <v>22.05</v>
      </c>
      <c r="J2030">
        <v>160.8</v>
      </c>
      <c r="K2030">
        <v>101</v>
      </c>
      <c r="L2030">
        <v>13.67</v>
      </c>
      <c r="M2030">
        <v>265</v>
      </c>
      <c r="N2030">
        <v>63</v>
      </c>
      <c r="O2030">
        <v>11.93</v>
      </c>
      <c r="P2030">
        <v>12.2</v>
      </c>
      <c r="Q2030">
        <v>3</v>
      </c>
      <c r="R2030">
        <v>3.29</v>
      </c>
      <c r="S2030">
        <v>2</v>
      </c>
      <c r="T2030" t="b">
        <v>0</v>
      </c>
    </row>
    <row r="2031" spans="1:20">
      <c r="A2031" t="s">
        <v>86</v>
      </c>
      <c r="B2031">
        <v>151</v>
      </c>
      <c r="C2031">
        <v>415</v>
      </c>
      <c r="D2031" t="s">
        <v>63</v>
      </c>
      <c r="E2031" t="s">
        <v>62</v>
      </c>
      <c r="F2031">
        <v>0</v>
      </c>
      <c r="G2031">
        <v>198.7</v>
      </c>
      <c r="H2031">
        <v>70</v>
      </c>
      <c r="I2031">
        <v>33.78</v>
      </c>
      <c r="J2031">
        <v>209.5</v>
      </c>
      <c r="K2031">
        <v>106</v>
      </c>
      <c r="L2031">
        <v>17.81</v>
      </c>
      <c r="M2031">
        <v>281.9</v>
      </c>
      <c r="N2031">
        <v>126</v>
      </c>
      <c r="O2031">
        <v>12.69</v>
      </c>
      <c r="P2031">
        <v>12.4</v>
      </c>
      <c r="Q2031">
        <v>4</v>
      </c>
      <c r="R2031">
        <v>3.35</v>
      </c>
      <c r="S2031">
        <v>0</v>
      </c>
      <c r="T2031" t="b">
        <v>0</v>
      </c>
    </row>
    <row r="2032" spans="1:20">
      <c r="A2032" t="s">
        <v>113</v>
      </c>
      <c r="B2032">
        <v>137</v>
      </c>
      <c r="C2032">
        <v>415</v>
      </c>
      <c r="D2032" t="s">
        <v>62</v>
      </c>
      <c r="E2032" t="s">
        <v>62</v>
      </c>
      <c r="F2032">
        <v>0</v>
      </c>
      <c r="G2032">
        <v>215.9</v>
      </c>
      <c r="H2032">
        <v>76</v>
      </c>
      <c r="I2032">
        <v>36.7</v>
      </c>
      <c r="J2032">
        <v>145.4</v>
      </c>
      <c r="K2032">
        <v>118</v>
      </c>
      <c r="L2032">
        <v>12.36</v>
      </c>
      <c r="M2032">
        <v>186.9</v>
      </c>
      <c r="N2032">
        <v>129</v>
      </c>
      <c r="O2032">
        <v>8.41</v>
      </c>
      <c r="P2032">
        <v>12.1</v>
      </c>
      <c r="Q2032">
        <v>4</v>
      </c>
      <c r="R2032">
        <v>3.27</v>
      </c>
      <c r="S2032">
        <v>1</v>
      </c>
      <c r="T2032" t="b">
        <v>0</v>
      </c>
    </row>
    <row r="2033" spans="1:20">
      <c r="A2033" t="s">
        <v>112</v>
      </c>
      <c r="B2033">
        <v>106</v>
      </c>
      <c r="C2033">
        <v>415</v>
      </c>
      <c r="D2033" t="s">
        <v>62</v>
      </c>
      <c r="E2033" t="s">
        <v>62</v>
      </c>
      <c r="F2033">
        <v>0</v>
      </c>
      <c r="G2033">
        <v>119.2</v>
      </c>
      <c r="H2033">
        <v>142</v>
      </c>
      <c r="I2033">
        <v>20.26</v>
      </c>
      <c r="J2033">
        <v>228.4</v>
      </c>
      <c r="K2033">
        <v>139</v>
      </c>
      <c r="L2033">
        <v>19.41</v>
      </c>
      <c r="M2033">
        <v>197.9</v>
      </c>
      <c r="N2033">
        <v>61</v>
      </c>
      <c r="O2033">
        <v>8.91</v>
      </c>
      <c r="P2033">
        <v>8.4</v>
      </c>
      <c r="Q2033">
        <v>9</v>
      </c>
      <c r="R2033">
        <v>2.27</v>
      </c>
      <c r="S2033">
        <v>2</v>
      </c>
      <c r="T2033" t="b">
        <v>0</v>
      </c>
    </row>
    <row r="2034" spans="1:20">
      <c r="A2034" t="s">
        <v>65</v>
      </c>
      <c r="B2034">
        <v>88</v>
      </c>
      <c r="C2034">
        <v>510</v>
      </c>
      <c r="D2034" t="s">
        <v>62</v>
      </c>
      <c r="E2034" t="s">
        <v>62</v>
      </c>
      <c r="F2034">
        <v>0</v>
      </c>
      <c r="G2034">
        <v>144.3</v>
      </c>
      <c r="H2034">
        <v>116</v>
      </c>
      <c r="I2034">
        <v>24.53</v>
      </c>
      <c r="J2034">
        <v>156.4</v>
      </c>
      <c r="K2034">
        <v>74</v>
      </c>
      <c r="L2034">
        <v>13.29</v>
      </c>
      <c r="M2034">
        <v>214.7</v>
      </c>
      <c r="N2034">
        <v>90</v>
      </c>
      <c r="O2034">
        <v>9.66</v>
      </c>
      <c r="P2034">
        <v>7.8</v>
      </c>
      <c r="Q2034">
        <v>10</v>
      </c>
      <c r="R2034">
        <v>2.11</v>
      </c>
      <c r="S2034">
        <v>3</v>
      </c>
      <c r="T2034" t="b">
        <v>0</v>
      </c>
    </row>
    <row r="2035" spans="1:20">
      <c r="A2035" t="s">
        <v>79</v>
      </c>
      <c r="B2035">
        <v>106</v>
      </c>
      <c r="C2035">
        <v>415</v>
      </c>
      <c r="D2035" t="s">
        <v>62</v>
      </c>
      <c r="E2035" t="s">
        <v>62</v>
      </c>
      <c r="F2035">
        <v>0</v>
      </c>
      <c r="G2035">
        <v>235.2</v>
      </c>
      <c r="H2035">
        <v>121</v>
      </c>
      <c r="I2035">
        <v>39.98</v>
      </c>
      <c r="J2035">
        <v>220.6</v>
      </c>
      <c r="K2035">
        <v>87</v>
      </c>
      <c r="L2035">
        <v>18.75</v>
      </c>
      <c r="M2035">
        <v>236.3</v>
      </c>
      <c r="N2035">
        <v>91</v>
      </c>
      <c r="O2035">
        <v>10.63</v>
      </c>
      <c r="P2035">
        <v>11.8</v>
      </c>
      <c r="Q2035">
        <v>4</v>
      </c>
      <c r="R2035">
        <v>3.19</v>
      </c>
      <c r="S2035">
        <v>1</v>
      </c>
      <c r="T2035" t="b">
        <v>0</v>
      </c>
    </row>
    <row r="2036" spans="1:20">
      <c r="A2036" t="s">
        <v>65</v>
      </c>
      <c r="B2036">
        <v>57</v>
      </c>
      <c r="C2036">
        <v>510</v>
      </c>
      <c r="D2036" t="s">
        <v>63</v>
      </c>
      <c r="E2036" t="s">
        <v>62</v>
      </c>
      <c r="F2036">
        <v>0</v>
      </c>
      <c r="G2036">
        <v>115</v>
      </c>
      <c r="H2036">
        <v>65</v>
      </c>
      <c r="I2036">
        <v>19.55</v>
      </c>
      <c r="J2036">
        <v>122.3</v>
      </c>
      <c r="K2036">
        <v>96</v>
      </c>
      <c r="L2036">
        <v>10.4</v>
      </c>
      <c r="M2036">
        <v>245</v>
      </c>
      <c r="N2036">
        <v>75</v>
      </c>
      <c r="O2036">
        <v>11.03</v>
      </c>
      <c r="P2036">
        <v>6.4</v>
      </c>
      <c r="Q2036">
        <v>1</v>
      </c>
      <c r="R2036">
        <v>1.73</v>
      </c>
      <c r="S2036">
        <v>0</v>
      </c>
      <c r="T2036" t="b">
        <v>1</v>
      </c>
    </row>
    <row r="2037" spans="1:20">
      <c r="A2037" t="s">
        <v>101</v>
      </c>
      <c r="B2037">
        <v>184</v>
      </c>
      <c r="C2037">
        <v>408</v>
      </c>
      <c r="D2037" t="s">
        <v>62</v>
      </c>
      <c r="E2037" t="s">
        <v>62</v>
      </c>
      <c r="F2037">
        <v>0</v>
      </c>
      <c r="G2037">
        <v>151.7</v>
      </c>
      <c r="H2037">
        <v>93</v>
      </c>
      <c r="I2037">
        <v>25.79</v>
      </c>
      <c r="J2037">
        <v>178.5</v>
      </c>
      <c r="K2037">
        <v>77</v>
      </c>
      <c r="L2037">
        <v>15.17</v>
      </c>
      <c r="M2037">
        <v>229.1</v>
      </c>
      <c r="N2037">
        <v>111</v>
      </c>
      <c r="O2037">
        <v>10.31</v>
      </c>
      <c r="P2037">
        <v>13.1</v>
      </c>
      <c r="Q2037">
        <v>8</v>
      </c>
      <c r="R2037">
        <v>3.54</v>
      </c>
      <c r="S2037">
        <v>2</v>
      </c>
      <c r="T2037" t="b">
        <v>0</v>
      </c>
    </row>
    <row r="2038" spans="1:20">
      <c r="A2038" t="s">
        <v>92</v>
      </c>
      <c r="B2038">
        <v>109</v>
      </c>
      <c r="C2038">
        <v>510</v>
      </c>
      <c r="D2038" t="s">
        <v>62</v>
      </c>
      <c r="E2038" t="s">
        <v>62</v>
      </c>
      <c r="F2038">
        <v>0</v>
      </c>
      <c r="G2038">
        <v>153.1</v>
      </c>
      <c r="H2038">
        <v>102</v>
      </c>
      <c r="I2038">
        <v>26.03</v>
      </c>
      <c r="J2038">
        <v>234.1</v>
      </c>
      <c r="K2038">
        <v>77</v>
      </c>
      <c r="L2038">
        <v>19.9</v>
      </c>
      <c r="M2038">
        <v>329.2</v>
      </c>
      <c r="N2038">
        <v>74</v>
      </c>
      <c r="O2038">
        <v>14.81</v>
      </c>
      <c r="P2038">
        <v>9.9</v>
      </c>
      <c r="Q2038">
        <v>9</v>
      </c>
      <c r="R2038">
        <v>2.67</v>
      </c>
      <c r="S2038">
        <v>3</v>
      </c>
      <c r="T2038" t="b">
        <v>0</v>
      </c>
    </row>
    <row r="2039" spans="1:20">
      <c r="A2039" t="s">
        <v>93</v>
      </c>
      <c r="B2039">
        <v>127</v>
      </c>
      <c r="C2039">
        <v>415</v>
      </c>
      <c r="D2039" t="s">
        <v>62</v>
      </c>
      <c r="E2039" t="s">
        <v>62</v>
      </c>
      <c r="F2039">
        <v>0</v>
      </c>
      <c r="G2039">
        <v>218.6</v>
      </c>
      <c r="H2039">
        <v>93</v>
      </c>
      <c r="I2039">
        <v>37.16</v>
      </c>
      <c r="J2039">
        <v>149.9</v>
      </c>
      <c r="K2039">
        <v>130</v>
      </c>
      <c r="L2039">
        <v>12.74</v>
      </c>
      <c r="M2039">
        <v>204.6</v>
      </c>
      <c r="N2039">
        <v>131</v>
      </c>
      <c r="O2039">
        <v>9.21</v>
      </c>
      <c r="P2039">
        <v>9.2</v>
      </c>
      <c r="Q2039">
        <v>5</v>
      </c>
      <c r="R2039">
        <v>2.48</v>
      </c>
      <c r="S2039">
        <v>2</v>
      </c>
      <c r="T2039" t="b">
        <v>0</v>
      </c>
    </row>
    <row r="2040" spans="1:20">
      <c r="A2040" t="s">
        <v>108</v>
      </c>
      <c r="B2040">
        <v>174</v>
      </c>
      <c r="C2040">
        <v>415</v>
      </c>
      <c r="D2040" t="s">
        <v>62</v>
      </c>
      <c r="E2040" t="s">
        <v>62</v>
      </c>
      <c r="F2040">
        <v>0</v>
      </c>
      <c r="G2040">
        <v>190.3</v>
      </c>
      <c r="H2040">
        <v>98</v>
      </c>
      <c r="I2040">
        <v>32.35</v>
      </c>
      <c r="J2040">
        <v>252.7</v>
      </c>
      <c r="K2040">
        <v>70</v>
      </c>
      <c r="L2040">
        <v>21.48</v>
      </c>
      <c r="M2040">
        <v>220.6</v>
      </c>
      <c r="N2040">
        <v>97</v>
      </c>
      <c r="O2040">
        <v>9.93</v>
      </c>
      <c r="P2040">
        <v>7.2</v>
      </c>
      <c r="Q2040">
        <v>9</v>
      </c>
      <c r="R2040">
        <v>1.94</v>
      </c>
      <c r="S2040">
        <v>2</v>
      </c>
      <c r="T2040" t="b">
        <v>0</v>
      </c>
    </row>
    <row r="2041" spans="1:20">
      <c r="A2041" t="s">
        <v>82</v>
      </c>
      <c r="B2041">
        <v>92</v>
      </c>
      <c r="C2041">
        <v>415</v>
      </c>
      <c r="D2041" t="s">
        <v>62</v>
      </c>
      <c r="E2041" t="s">
        <v>62</v>
      </c>
      <c r="F2041">
        <v>0</v>
      </c>
      <c r="G2041">
        <v>184.7</v>
      </c>
      <c r="H2041">
        <v>60</v>
      </c>
      <c r="I2041">
        <v>31.4</v>
      </c>
      <c r="J2041">
        <v>262</v>
      </c>
      <c r="K2041">
        <v>73</v>
      </c>
      <c r="L2041">
        <v>22.27</v>
      </c>
      <c r="M2041">
        <v>239.5</v>
      </c>
      <c r="N2041">
        <v>120</v>
      </c>
      <c r="O2041">
        <v>10.78</v>
      </c>
      <c r="P2041">
        <v>12.3</v>
      </c>
      <c r="Q2041">
        <v>6</v>
      </c>
      <c r="R2041">
        <v>3.32</v>
      </c>
      <c r="S2041">
        <v>2</v>
      </c>
      <c r="T2041" t="b">
        <v>1</v>
      </c>
    </row>
    <row r="2042" spans="1:20">
      <c r="A2042" t="s">
        <v>82</v>
      </c>
      <c r="B2042">
        <v>81</v>
      </c>
      <c r="C2042">
        <v>408</v>
      </c>
      <c r="D2042" t="s">
        <v>62</v>
      </c>
      <c r="E2042" t="s">
        <v>62</v>
      </c>
      <c r="F2042">
        <v>0</v>
      </c>
      <c r="G2042">
        <v>115.3</v>
      </c>
      <c r="H2042">
        <v>99</v>
      </c>
      <c r="I2042">
        <v>19.6</v>
      </c>
      <c r="J2042">
        <v>224.7</v>
      </c>
      <c r="K2042">
        <v>117</v>
      </c>
      <c r="L2042">
        <v>19.1</v>
      </c>
      <c r="M2042">
        <v>152.5</v>
      </c>
      <c r="N2042">
        <v>98</v>
      </c>
      <c r="O2042">
        <v>6.86</v>
      </c>
      <c r="P2042">
        <v>18</v>
      </c>
      <c r="Q2042">
        <v>2</v>
      </c>
      <c r="R2042">
        <v>4.86</v>
      </c>
      <c r="S2042">
        <v>1</v>
      </c>
      <c r="T2042" t="b">
        <v>0</v>
      </c>
    </row>
    <row r="2043" spans="1:20">
      <c r="A2043" t="s">
        <v>116</v>
      </c>
      <c r="B2043">
        <v>119</v>
      </c>
      <c r="C2043">
        <v>408</v>
      </c>
      <c r="D2043" t="s">
        <v>62</v>
      </c>
      <c r="E2043" t="s">
        <v>62</v>
      </c>
      <c r="F2043">
        <v>0</v>
      </c>
      <c r="G2043">
        <v>294.2</v>
      </c>
      <c r="H2043">
        <v>100</v>
      </c>
      <c r="I2043">
        <v>50.01</v>
      </c>
      <c r="J2043">
        <v>232.5</v>
      </c>
      <c r="K2043">
        <v>53</v>
      </c>
      <c r="L2043">
        <v>19.76</v>
      </c>
      <c r="M2043">
        <v>195</v>
      </c>
      <c r="N2043">
        <v>64</v>
      </c>
      <c r="O2043">
        <v>8.78</v>
      </c>
      <c r="P2043">
        <v>9</v>
      </c>
      <c r="Q2043">
        <v>1</v>
      </c>
      <c r="R2043">
        <v>2.43</v>
      </c>
      <c r="S2043">
        <v>0</v>
      </c>
      <c r="T2043" t="b">
        <v>1</v>
      </c>
    </row>
    <row r="2044" spans="1:20">
      <c r="A2044" t="s">
        <v>100</v>
      </c>
      <c r="B2044">
        <v>122</v>
      </c>
      <c r="C2044">
        <v>415</v>
      </c>
      <c r="D2044" t="s">
        <v>62</v>
      </c>
      <c r="E2044" t="s">
        <v>62</v>
      </c>
      <c r="F2044">
        <v>0</v>
      </c>
      <c r="G2044">
        <v>215.6</v>
      </c>
      <c r="H2044">
        <v>86</v>
      </c>
      <c r="I2044">
        <v>36.65</v>
      </c>
      <c r="J2044">
        <v>167.8</v>
      </c>
      <c r="K2044">
        <v>59</v>
      </c>
      <c r="L2044">
        <v>14.26</v>
      </c>
      <c r="M2044">
        <v>207</v>
      </c>
      <c r="N2044">
        <v>67</v>
      </c>
      <c r="O2044">
        <v>9.32</v>
      </c>
      <c r="P2044">
        <v>6.4</v>
      </c>
      <c r="Q2044">
        <v>8</v>
      </c>
      <c r="R2044">
        <v>1.73</v>
      </c>
      <c r="S2044">
        <v>3</v>
      </c>
      <c r="T2044" t="b">
        <v>0</v>
      </c>
    </row>
    <row r="2045" spans="1:20">
      <c r="A2045" t="s">
        <v>85</v>
      </c>
      <c r="B2045">
        <v>34</v>
      </c>
      <c r="C2045">
        <v>408</v>
      </c>
      <c r="D2045" t="s">
        <v>62</v>
      </c>
      <c r="E2045" t="s">
        <v>62</v>
      </c>
      <c r="F2045">
        <v>0</v>
      </c>
      <c r="G2045">
        <v>128.8</v>
      </c>
      <c r="H2045">
        <v>80</v>
      </c>
      <c r="I2045">
        <v>21.9</v>
      </c>
      <c r="J2045">
        <v>208.7</v>
      </c>
      <c r="K2045">
        <v>93</v>
      </c>
      <c r="L2045">
        <v>17.74</v>
      </c>
      <c r="M2045">
        <v>202.1</v>
      </c>
      <c r="N2045">
        <v>103</v>
      </c>
      <c r="O2045">
        <v>9.09</v>
      </c>
      <c r="P2045">
        <v>14</v>
      </c>
      <c r="Q2045">
        <v>7</v>
      </c>
      <c r="R2045">
        <v>3.78</v>
      </c>
      <c r="S2045">
        <v>1</v>
      </c>
      <c r="T2045" t="b">
        <v>0</v>
      </c>
    </row>
    <row r="2046" spans="1:20">
      <c r="A2046" t="s">
        <v>81</v>
      </c>
      <c r="B2046">
        <v>90</v>
      </c>
      <c r="C2046">
        <v>415</v>
      </c>
      <c r="D2046" t="s">
        <v>62</v>
      </c>
      <c r="E2046" t="s">
        <v>63</v>
      </c>
      <c r="F2046">
        <v>24</v>
      </c>
      <c r="G2046">
        <v>71.2</v>
      </c>
      <c r="H2046">
        <v>82</v>
      </c>
      <c r="I2046">
        <v>12.1</v>
      </c>
      <c r="J2046">
        <v>181.6</v>
      </c>
      <c r="K2046">
        <v>103</v>
      </c>
      <c r="L2046">
        <v>15.44</v>
      </c>
      <c r="M2046">
        <v>186.9</v>
      </c>
      <c r="N2046">
        <v>111</v>
      </c>
      <c r="O2046">
        <v>8.41</v>
      </c>
      <c r="P2046">
        <v>12.9</v>
      </c>
      <c r="Q2046">
        <v>1</v>
      </c>
      <c r="R2046">
        <v>3.48</v>
      </c>
      <c r="S2046">
        <v>1</v>
      </c>
      <c r="T2046" t="b">
        <v>0</v>
      </c>
    </row>
    <row r="2047" spans="1:20">
      <c r="A2047" t="s">
        <v>107</v>
      </c>
      <c r="B2047">
        <v>73</v>
      </c>
      <c r="C2047">
        <v>408</v>
      </c>
      <c r="D2047" t="s">
        <v>62</v>
      </c>
      <c r="E2047" t="s">
        <v>62</v>
      </c>
      <c r="F2047">
        <v>0</v>
      </c>
      <c r="G2047">
        <v>94.9</v>
      </c>
      <c r="H2047">
        <v>121</v>
      </c>
      <c r="I2047">
        <v>16.13</v>
      </c>
      <c r="J2047">
        <v>253.2</v>
      </c>
      <c r="K2047">
        <v>83</v>
      </c>
      <c r="L2047">
        <v>21.52</v>
      </c>
      <c r="M2047">
        <v>175.1</v>
      </c>
      <c r="N2047">
        <v>86</v>
      </c>
      <c r="O2047">
        <v>7.88</v>
      </c>
      <c r="P2047">
        <v>14.2</v>
      </c>
      <c r="Q2047">
        <v>2</v>
      </c>
      <c r="R2047">
        <v>3.83</v>
      </c>
      <c r="S2047">
        <v>2</v>
      </c>
      <c r="T2047" t="b">
        <v>0</v>
      </c>
    </row>
    <row r="2048" spans="1:20">
      <c r="A2048" t="s">
        <v>111</v>
      </c>
      <c r="B2048">
        <v>19</v>
      </c>
      <c r="C2048">
        <v>510</v>
      </c>
      <c r="D2048" t="s">
        <v>62</v>
      </c>
      <c r="E2048" t="s">
        <v>62</v>
      </c>
      <c r="F2048">
        <v>0</v>
      </c>
      <c r="G2048">
        <v>259.4</v>
      </c>
      <c r="H2048">
        <v>116</v>
      </c>
      <c r="I2048">
        <v>44.1</v>
      </c>
      <c r="J2048">
        <v>269.7</v>
      </c>
      <c r="K2048">
        <v>109</v>
      </c>
      <c r="L2048">
        <v>22.92</v>
      </c>
      <c r="M2048">
        <v>175.3</v>
      </c>
      <c r="N2048">
        <v>130</v>
      </c>
      <c r="O2048">
        <v>7.89</v>
      </c>
      <c r="P2048">
        <v>9.5</v>
      </c>
      <c r="Q2048">
        <v>3</v>
      </c>
      <c r="R2048">
        <v>2.57</v>
      </c>
      <c r="S2048">
        <v>1</v>
      </c>
      <c r="T2048" t="b">
        <v>1</v>
      </c>
    </row>
    <row r="2049" spans="1:20">
      <c r="A2049" t="s">
        <v>101</v>
      </c>
      <c r="B2049">
        <v>120</v>
      </c>
      <c r="C2049">
        <v>408</v>
      </c>
      <c r="D2049" t="s">
        <v>62</v>
      </c>
      <c r="E2049" t="s">
        <v>63</v>
      </c>
      <c r="F2049">
        <v>28</v>
      </c>
      <c r="G2049">
        <v>215.8</v>
      </c>
      <c r="H2049">
        <v>123</v>
      </c>
      <c r="I2049">
        <v>36.69</v>
      </c>
      <c r="J2049">
        <v>285.2</v>
      </c>
      <c r="K2049">
        <v>76</v>
      </c>
      <c r="L2049">
        <v>24.24</v>
      </c>
      <c r="M2049">
        <v>192.1</v>
      </c>
      <c r="N2049">
        <v>78</v>
      </c>
      <c r="O2049">
        <v>8.64</v>
      </c>
      <c r="P2049">
        <v>6.9</v>
      </c>
      <c r="Q2049">
        <v>3</v>
      </c>
      <c r="R2049">
        <v>1.86</v>
      </c>
      <c r="S2049">
        <v>1</v>
      </c>
      <c r="T2049" t="b">
        <v>0</v>
      </c>
    </row>
    <row r="2050" spans="1:20">
      <c r="A2050" t="s">
        <v>76</v>
      </c>
      <c r="B2050">
        <v>160</v>
      </c>
      <c r="C2050">
        <v>415</v>
      </c>
      <c r="D2050" t="s">
        <v>62</v>
      </c>
      <c r="E2050" t="s">
        <v>62</v>
      </c>
      <c r="F2050">
        <v>0</v>
      </c>
      <c r="G2050">
        <v>97.5</v>
      </c>
      <c r="H2050">
        <v>113</v>
      </c>
      <c r="I2050">
        <v>16.58</v>
      </c>
      <c r="J2050">
        <v>268.1</v>
      </c>
      <c r="K2050">
        <v>69</v>
      </c>
      <c r="L2050">
        <v>22.79</v>
      </c>
      <c r="M2050">
        <v>255.3</v>
      </c>
      <c r="N2050">
        <v>62</v>
      </c>
      <c r="O2050">
        <v>11.49</v>
      </c>
      <c r="P2050">
        <v>13.2</v>
      </c>
      <c r="Q2050">
        <v>4</v>
      </c>
      <c r="R2050">
        <v>3.56</v>
      </c>
      <c r="S2050">
        <v>3</v>
      </c>
      <c r="T2050" t="b">
        <v>0</v>
      </c>
    </row>
    <row r="2051" spans="1:20">
      <c r="A2051" t="s">
        <v>113</v>
      </c>
      <c r="B2051">
        <v>141</v>
      </c>
      <c r="C2051">
        <v>510</v>
      </c>
      <c r="D2051" t="s">
        <v>62</v>
      </c>
      <c r="E2051" t="s">
        <v>62</v>
      </c>
      <c r="F2051">
        <v>0</v>
      </c>
      <c r="G2051">
        <v>146.5</v>
      </c>
      <c r="H2051">
        <v>121</v>
      </c>
      <c r="I2051">
        <v>24.91</v>
      </c>
      <c r="J2051">
        <v>169.9</v>
      </c>
      <c r="K2051">
        <v>125</v>
      </c>
      <c r="L2051">
        <v>14.44</v>
      </c>
      <c r="M2051">
        <v>238.8</v>
      </c>
      <c r="N2051">
        <v>112</v>
      </c>
      <c r="O2051">
        <v>10.75</v>
      </c>
      <c r="P2051">
        <v>8.2</v>
      </c>
      <c r="Q2051">
        <v>5</v>
      </c>
      <c r="R2051">
        <v>2.21</v>
      </c>
      <c r="S2051">
        <v>0</v>
      </c>
      <c r="T2051" t="b">
        <v>0</v>
      </c>
    </row>
    <row r="2052" spans="1:20">
      <c r="A2052" t="s">
        <v>78</v>
      </c>
      <c r="B2052">
        <v>72</v>
      </c>
      <c r="C2052">
        <v>415</v>
      </c>
      <c r="D2052" t="s">
        <v>62</v>
      </c>
      <c r="E2052" t="s">
        <v>62</v>
      </c>
      <c r="F2052">
        <v>0</v>
      </c>
      <c r="G2052">
        <v>139.9</v>
      </c>
      <c r="H2052">
        <v>117</v>
      </c>
      <c r="I2052">
        <v>23.78</v>
      </c>
      <c r="J2052">
        <v>223.6</v>
      </c>
      <c r="K2052">
        <v>96</v>
      </c>
      <c r="L2052">
        <v>19.01</v>
      </c>
      <c r="M2052">
        <v>240.8</v>
      </c>
      <c r="N2052">
        <v>93</v>
      </c>
      <c r="O2052">
        <v>10.84</v>
      </c>
      <c r="P2052">
        <v>12.7</v>
      </c>
      <c r="Q2052">
        <v>4</v>
      </c>
      <c r="R2052">
        <v>3.43</v>
      </c>
      <c r="S2052">
        <v>2</v>
      </c>
      <c r="T2052" t="b">
        <v>0</v>
      </c>
    </row>
    <row r="2053" spans="1:20">
      <c r="A2053" t="s">
        <v>102</v>
      </c>
      <c r="B2053">
        <v>117</v>
      </c>
      <c r="C2053">
        <v>408</v>
      </c>
      <c r="D2053" t="s">
        <v>62</v>
      </c>
      <c r="E2053" t="s">
        <v>63</v>
      </c>
      <c r="F2053">
        <v>21</v>
      </c>
      <c r="G2053">
        <v>153.2</v>
      </c>
      <c r="H2053">
        <v>112</v>
      </c>
      <c r="I2053">
        <v>26.04</v>
      </c>
      <c r="J2053">
        <v>263.3</v>
      </c>
      <c r="K2053">
        <v>110</v>
      </c>
      <c r="L2053">
        <v>22.38</v>
      </c>
      <c r="M2053">
        <v>135</v>
      </c>
      <c r="N2053">
        <v>85</v>
      </c>
      <c r="O2053">
        <v>6.08</v>
      </c>
      <c r="P2053">
        <v>11.9</v>
      </c>
      <c r="Q2053">
        <v>7</v>
      </c>
      <c r="R2053">
        <v>3.21</v>
      </c>
      <c r="S2053">
        <v>1</v>
      </c>
      <c r="T2053" t="b">
        <v>0</v>
      </c>
    </row>
    <row r="2054" spans="1:20">
      <c r="A2054" t="s">
        <v>86</v>
      </c>
      <c r="B2054">
        <v>79</v>
      </c>
      <c r="C2054">
        <v>408</v>
      </c>
      <c r="D2054" t="s">
        <v>63</v>
      </c>
      <c r="E2054" t="s">
        <v>62</v>
      </c>
      <c r="F2054">
        <v>0</v>
      </c>
      <c r="G2054">
        <v>103.5</v>
      </c>
      <c r="H2054">
        <v>134</v>
      </c>
      <c r="I2054">
        <v>17.6</v>
      </c>
      <c r="J2054">
        <v>319.3</v>
      </c>
      <c r="K2054">
        <v>111</v>
      </c>
      <c r="L2054">
        <v>27.14</v>
      </c>
      <c r="M2054">
        <v>239.9</v>
      </c>
      <c r="N2054">
        <v>124</v>
      </c>
      <c r="O2054">
        <v>10.8</v>
      </c>
      <c r="P2054">
        <v>8.4</v>
      </c>
      <c r="Q2054">
        <v>4</v>
      </c>
      <c r="R2054">
        <v>2.27</v>
      </c>
      <c r="S2054">
        <v>2</v>
      </c>
      <c r="T2054" t="b">
        <v>0</v>
      </c>
    </row>
    <row r="2055" spans="1:20">
      <c r="A2055" t="s">
        <v>92</v>
      </c>
      <c r="B2055">
        <v>87</v>
      </c>
      <c r="C2055">
        <v>408</v>
      </c>
      <c r="D2055" t="s">
        <v>62</v>
      </c>
      <c r="E2055" t="s">
        <v>62</v>
      </c>
      <c r="F2055">
        <v>0</v>
      </c>
      <c r="G2055">
        <v>185.8</v>
      </c>
      <c r="H2055">
        <v>119</v>
      </c>
      <c r="I2055">
        <v>31.59</v>
      </c>
      <c r="J2055">
        <v>192.3</v>
      </c>
      <c r="K2055">
        <v>83</v>
      </c>
      <c r="L2055">
        <v>16.35</v>
      </c>
      <c r="M2055">
        <v>200</v>
      </c>
      <c r="N2055">
        <v>96</v>
      </c>
      <c r="O2055">
        <v>9</v>
      </c>
      <c r="P2055">
        <v>6.6</v>
      </c>
      <c r="Q2055">
        <v>4</v>
      </c>
      <c r="R2055">
        <v>1.78</v>
      </c>
      <c r="S2055">
        <v>1</v>
      </c>
      <c r="T2055" t="b">
        <v>0</v>
      </c>
    </row>
    <row r="2056" spans="1:20">
      <c r="A2056" t="s">
        <v>91</v>
      </c>
      <c r="B2056">
        <v>102</v>
      </c>
      <c r="C2056">
        <v>415</v>
      </c>
      <c r="D2056" t="s">
        <v>62</v>
      </c>
      <c r="E2056" t="s">
        <v>62</v>
      </c>
      <c r="F2056">
        <v>0</v>
      </c>
      <c r="G2056">
        <v>129.5</v>
      </c>
      <c r="H2056">
        <v>56</v>
      </c>
      <c r="I2056">
        <v>22.02</v>
      </c>
      <c r="J2056">
        <v>354.2</v>
      </c>
      <c r="K2056">
        <v>118</v>
      </c>
      <c r="L2056">
        <v>30.11</v>
      </c>
      <c r="M2056">
        <v>145.5</v>
      </c>
      <c r="N2056">
        <v>93</v>
      </c>
      <c r="O2056">
        <v>6.55</v>
      </c>
      <c r="P2056">
        <v>10.9</v>
      </c>
      <c r="Q2056">
        <v>3</v>
      </c>
      <c r="R2056">
        <v>2.94</v>
      </c>
      <c r="S2056">
        <v>1</v>
      </c>
      <c r="T2056" t="b">
        <v>0</v>
      </c>
    </row>
    <row r="2057" spans="1:20">
      <c r="A2057" t="s">
        <v>76</v>
      </c>
      <c r="B2057">
        <v>49</v>
      </c>
      <c r="C2057">
        <v>408</v>
      </c>
      <c r="D2057" t="s">
        <v>62</v>
      </c>
      <c r="E2057" t="s">
        <v>62</v>
      </c>
      <c r="F2057">
        <v>0</v>
      </c>
      <c r="G2057">
        <v>236.6</v>
      </c>
      <c r="H2057">
        <v>91</v>
      </c>
      <c r="I2057">
        <v>40.22</v>
      </c>
      <c r="J2057">
        <v>220.9</v>
      </c>
      <c r="K2057">
        <v>146</v>
      </c>
      <c r="L2057">
        <v>18.78</v>
      </c>
      <c r="M2057">
        <v>146.8</v>
      </c>
      <c r="N2057">
        <v>114</v>
      </c>
      <c r="O2057">
        <v>6.61</v>
      </c>
      <c r="P2057">
        <v>8.9</v>
      </c>
      <c r="Q2057">
        <v>2</v>
      </c>
      <c r="R2057">
        <v>2.4</v>
      </c>
      <c r="S2057">
        <v>1</v>
      </c>
      <c r="T2057" t="b">
        <v>0</v>
      </c>
    </row>
    <row r="2058" spans="1:20">
      <c r="A2058" t="s">
        <v>78</v>
      </c>
      <c r="B2058">
        <v>67</v>
      </c>
      <c r="C2058">
        <v>408</v>
      </c>
      <c r="D2058" t="s">
        <v>62</v>
      </c>
      <c r="E2058" t="s">
        <v>62</v>
      </c>
      <c r="F2058">
        <v>0</v>
      </c>
      <c r="G2058">
        <v>260.4</v>
      </c>
      <c r="H2058">
        <v>107</v>
      </c>
      <c r="I2058">
        <v>44.27</v>
      </c>
      <c r="J2058">
        <v>208.2</v>
      </c>
      <c r="K2058">
        <v>104</v>
      </c>
      <c r="L2058">
        <v>17.7</v>
      </c>
      <c r="M2058">
        <v>207.9</v>
      </c>
      <c r="N2058">
        <v>115</v>
      </c>
      <c r="O2058">
        <v>9.36</v>
      </c>
      <c r="P2058">
        <v>10</v>
      </c>
      <c r="Q2058">
        <v>2</v>
      </c>
      <c r="R2058">
        <v>2.7</v>
      </c>
      <c r="S2058">
        <v>6</v>
      </c>
      <c r="T2058" t="b">
        <v>0</v>
      </c>
    </row>
    <row r="2059" spans="1:20">
      <c r="A2059" t="s">
        <v>82</v>
      </c>
      <c r="B2059">
        <v>107</v>
      </c>
      <c r="C2059">
        <v>415</v>
      </c>
      <c r="D2059" t="s">
        <v>62</v>
      </c>
      <c r="E2059" t="s">
        <v>62</v>
      </c>
      <c r="F2059">
        <v>0</v>
      </c>
      <c r="G2059">
        <v>167.3</v>
      </c>
      <c r="H2059">
        <v>100</v>
      </c>
      <c r="I2059">
        <v>28.44</v>
      </c>
      <c r="J2059">
        <v>163.9</v>
      </c>
      <c r="K2059">
        <v>79</v>
      </c>
      <c r="L2059">
        <v>13.93</v>
      </c>
      <c r="M2059">
        <v>185.9</v>
      </c>
      <c r="N2059">
        <v>100</v>
      </c>
      <c r="O2059">
        <v>8.37</v>
      </c>
      <c r="P2059">
        <v>6.7</v>
      </c>
      <c r="Q2059">
        <v>5</v>
      </c>
      <c r="R2059">
        <v>1.81</v>
      </c>
      <c r="S2059">
        <v>2</v>
      </c>
      <c r="T2059" t="b">
        <v>0</v>
      </c>
    </row>
    <row r="2060" spans="1:20">
      <c r="A2060" t="s">
        <v>101</v>
      </c>
      <c r="B2060">
        <v>118</v>
      </c>
      <c r="C2060">
        <v>510</v>
      </c>
      <c r="D2060" t="s">
        <v>62</v>
      </c>
      <c r="E2060" t="s">
        <v>62</v>
      </c>
      <c r="F2060">
        <v>0</v>
      </c>
      <c r="G2060">
        <v>113</v>
      </c>
      <c r="H2060">
        <v>80</v>
      </c>
      <c r="I2060">
        <v>19.21</v>
      </c>
      <c r="J2060">
        <v>150.1</v>
      </c>
      <c r="K2060">
        <v>87</v>
      </c>
      <c r="L2060">
        <v>12.76</v>
      </c>
      <c r="M2060">
        <v>204.3</v>
      </c>
      <c r="N2060">
        <v>115</v>
      </c>
      <c r="O2060">
        <v>9.19</v>
      </c>
      <c r="P2060">
        <v>10.8</v>
      </c>
      <c r="Q2060">
        <v>4</v>
      </c>
      <c r="R2060">
        <v>2.92</v>
      </c>
      <c r="S2060">
        <v>2</v>
      </c>
      <c r="T2060" t="b">
        <v>0</v>
      </c>
    </row>
    <row r="2061" spans="1:20">
      <c r="A2061" t="s">
        <v>112</v>
      </c>
      <c r="B2061">
        <v>120</v>
      </c>
      <c r="C2061">
        <v>415</v>
      </c>
      <c r="D2061" t="s">
        <v>62</v>
      </c>
      <c r="E2061" t="s">
        <v>62</v>
      </c>
      <c r="F2061">
        <v>0</v>
      </c>
      <c r="G2061">
        <v>185.7</v>
      </c>
      <c r="H2061">
        <v>133</v>
      </c>
      <c r="I2061">
        <v>31.57</v>
      </c>
      <c r="J2061">
        <v>235.1</v>
      </c>
      <c r="K2061">
        <v>149</v>
      </c>
      <c r="L2061">
        <v>19.98</v>
      </c>
      <c r="M2061">
        <v>256.4</v>
      </c>
      <c r="N2061">
        <v>78</v>
      </c>
      <c r="O2061">
        <v>11.54</v>
      </c>
      <c r="P2061">
        <v>16.9</v>
      </c>
      <c r="Q2061">
        <v>6</v>
      </c>
      <c r="R2061">
        <v>4.56</v>
      </c>
      <c r="S2061">
        <v>0</v>
      </c>
      <c r="T2061" t="b">
        <v>0</v>
      </c>
    </row>
    <row r="2062" spans="1:20">
      <c r="A2062" t="s">
        <v>92</v>
      </c>
      <c r="B2062">
        <v>94</v>
      </c>
      <c r="C2062">
        <v>408</v>
      </c>
      <c r="D2062" t="s">
        <v>62</v>
      </c>
      <c r="E2062" t="s">
        <v>62</v>
      </c>
      <c r="F2062">
        <v>0</v>
      </c>
      <c r="G2062">
        <v>136.2</v>
      </c>
      <c r="H2062">
        <v>114</v>
      </c>
      <c r="I2062">
        <v>23.15</v>
      </c>
      <c r="J2062">
        <v>165.1</v>
      </c>
      <c r="K2062">
        <v>118</v>
      </c>
      <c r="L2062">
        <v>14.03</v>
      </c>
      <c r="M2062">
        <v>137.9</v>
      </c>
      <c r="N2062">
        <v>71</v>
      </c>
      <c r="O2062">
        <v>6.21</v>
      </c>
      <c r="P2062">
        <v>9.6</v>
      </c>
      <c r="Q2062">
        <v>5</v>
      </c>
      <c r="R2062">
        <v>2.59</v>
      </c>
      <c r="S2062">
        <v>0</v>
      </c>
      <c r="T2062" t="b">
        <v>0</v>
      </c>
    </row>
    <row r="2063" spans="1:20">
      <c r="A2063" t="s">
        <v>105</v>
      </c>
      <c r="B2063">
        <v>115</v>
      </c>
      <c r="C2063">
        <v>510</v>
      </c>
      <c r="D2063" t="s">
        <v>62</v>
      </c>
      <c r="E2063" t="s">
        <v>63</v>
      </c>
      <c r="F2063">
        <v>29</v>
      </c>
      <c r="G2063">
        <v>222.6</v>
      </c>
      <c r="H2063">
        <v>81</v>
      </c>
      <c r="I2063">
        <v>37.84</v>
      </c>
      <c r="J2063">
        <v>190.3</v>
      </c>
      <c r="K2063">
        <v>109</v>
      </c>
      <c r="L2063">
        <v>16.18</v>
      </c>
      <c r="M2063">
        <v>201.2</v>
      </c>
      <c r="N2063">
        <v>87</v>
      </c>
      <c r="O2063">
        <v>9.05</v>
      </c>
      <c r="P2063">
        <v>11.5</v>
      </c>
      <c r="Q2063">
        <v>2</v>
      </c>
      <c r="R2063">
        <v>3.11</v>
      </c>
      <c r="S2063">
        <v>1</v>
      </c>
      <c r="T2063" t="b">
        <v>0</v>
      </c>
    </row>
    <row r="2064" spans="1:20">
      <c r="A2064" t="s">
        <v>102</v>
      </c>
      <c r="B2064">
        <v>61</v>
      </c>
      <c r="C2064">
        <v>415</v>
      </c>
      <c r="D2064" t="s">
        <v>62</v>
      </c>
      <c r="E2064" t="s">
        <v>62</v>
      </c>
      <c r="F2064">
        <v>0</v>
      </c>
      <c r="G2064">
        <v>197.3</v>
      </c>
      <c r="H2064">
        <v>67</v>
      </c>
      <c r="I2064">
        <v>33.54</v>
      </c>
      <c r="J2064">
        <v>264.5</v>
      </c>
      <c r="K2064">
        <v>106</v>
      </c>
      <c r="L2064">
        <v>22.48</v>
      </c>
      <c r="M2064">
        <v>210.5</v>
      </c>
      <c r="N2064">
        <v>116</v>
      </c>
      <c r="O2064">
        <v>9.47</v>
      </c>
      <c r="P2064">
        <v>9</v>
      </c>
      <c r="Q2064">
        <v>6</v>
      </c>
      <c r="R2064">
        <v>2.43</v>
      </c>
      <c r="S2064">
        <v>1</v>
      </c>
      <c r="T2064" t="b">
        <v>0</v>
      </c>
    </row>
    <row r="2065" spans="1:20">
      <c r="A2065" t="s">
        <v>61</v>
      </c>
      <c r="B2065">
        <v>110</v>
      </c>
      <c r="C2065">
        <v>510</v>
      </c>
      <c r="D2065" t="s">
        <v>62</v>
      </c>
      <c r="E2065" t="s">
        <v>62</v>
      </c>
      <c r="F2065">
        <v>0</v>
      </c>
      <c r="G2065">
        <v>208</v>
      </c>
      <c r="H2065">
        <v>69</v>
      </c>
      <c r="I2065">
        <v>35.36</v>
      </c>
      <c r="J2065">
        <v>95.1</v>
      </c>
      <c r="K2065">
        <v>94</v>
      </c>
      <c r="L2065">
        <v>8.08</v>
      </c>
      <c r="M2065">
        <v>178.5</v>
      </c>
      <c r="N2065">
        <v>129</v>
      </c>
      <c r="O2065">
        <v>8.03</v>
      </c>
      <c r="P2065">
        <v>8</v>
      </c>
      <c r="Q2065">
        <v>11</v>
      </c>
      <c r="R2065">
        <v>2.16</v>
      </c>
      <c r="S2065">
        <v>1</v>
      </c>
      <c r="T2065" t="b">
        <v>0</v>
      </c>
    </row>
    <row r="2066" spans="1:20">
      <c r="A2066" t="s">
        <v>115</v>
      </c>
      <c r="B2066">
        <v>104</v>
      </c>
      <c r="C2066">
        <v>415</v>
      </c>
      <c r="D2066" t="s">
        <v>62</v>
      </c>
      <c r="E2066" t="s">
        <v>62</v>
      </c>
      <c r="F2066">
        <v>0</v>
      </c>
      <c r="G2066">
        <v>118.5</v>
      </c>
      <c r="H2066">
        <v>92</v>
      </c>
      <c r="I2066">
        <v>20.15</v>
      </c>
      <c r="J2066">
        <v>177.8</v>
      </c>
      <c r="K2066">
        <v>109</v>
      </c>
      <c r="L2066">
        <v>15.11</v>
      </c>
      <c r="M2066">
        <v>255.7</v>
      </c>
      <c r="N2066">
        <v>98</v>
      </c>
      <c r="O2066">
        <v>11.51</v>
      </c>
      <c r="P2066">
        <v>12.1</v>
      </c>
      <c r="Q2066">
        <v>4</v>
      </c>
      <c r="R2066">
        <v>3.27</v>
      </c>
      <c r="S2066">
        <v>1</v>
      </c>
      <c r="T2066" t="b">
        <v>0</v>
      </c>
    </row>
    <row r="2067" spans="1:20">
      <c r="A2067" t="s">
        <v>76</v>
      </c>
      <c r="B2067">
        <v>16</v>
      </c>
      <c r="C2067">
        <v>510</v>
      </c>
      <c r="D2067" t="s">
        <v>62</v>
      </c>
      <c r="E2067" t="s">
        <v>62</v>
      </c>
      <c r="F2067">
        <v>0</v>
      </c>
      <c r="G2067">
        <v>153.2</v>
      </c>
      <c r="H2067">
        <v>65</v>
      </c>
      <c r="I2067">
        <v>26.04</v>
      </c>
      <c r="J2067">
        <v>229.7</v>
      </c>
      <c r="K2067">
        <v>90</v>
      </c>
      <c r="L2067">
        <v>19.52</v>
      </c>
      <c r="M2067">
        <v>148.2</v>
      </c>
      <c r="N2067">
        <v>94</v>
      </c>
      <c r="O2067">
        <v>6.67</v>
      </c>
      <c r="P2067">
        <v>10.7</v>
      </c>
      <c r="Q2067">
        <v>8</v>
      </c>
      <c r="R2067">
        <v>2.89</v>
      </c>
      <c r="S2067">
        <v>1</v>
      </c>
      <c r="T2067" t="b">
        <v>0</v>
      </c>
    </row>
    <row r="2068" spans="1:20">
      <c r="A2068" t="s">
        <v>105</v>
      </c>
      <c r="B2068">
        <v>147</v>
      </c>
      <c r="C2068">
        <v>408</v>
      </c>
      <c r="D2068" t="s">
        <v>62</v>
      </c>
      <c r="E2068" t="s">
        <v>62</v>
      </c>
      <c r="F2068">
        <v>0</v>
      </c>
      <c r="G2068">
        <v>168.6</v>
      </c>
      <c r="H2068">
        <v>92</v>
      </c>
      <c r="I2068">
        <v>28.66</v>
      </c>
      <c r="J2068">
        <v>187.7</v>
      </c>
      <c r="K2068">
        <v>107</v>
      </c>
      <c r="L2068">
        <v>15.95</v>
      </c>
      <c r="M2068">
        <v>216.5</v>
      </c>
      <c r="N2068">
        <v>95</v>
      </c>
      <c r="O2068">
        <v>9.74</v>
      </c>
      <c r="P2068">
        <v>14.4</v>
      </c>
      <c r="Q2068">
        <v>8</v>
      </c>
      <c r="R2068">
        <v>3.89</v>
      </c>
      <c r="S2068">
        <v>2</v>
      </c>
      <c r="T2068" t="b">
        <v>0</v>
      </c>
    </row>
    <row r="2069" spans="1:20">
      <c r="A2069" t="s">
        <v>109</v>
      </c>
      <c r="B2069">
        <v>102</v>
      </c>
      <c r="C2069">
        <v>510</v>
      </c>
      <c r="D2069" t="s">
        <v>63</v>
      </c>
      <c r="E2069" t="s">
        <v>62</v>
      </c>
      <c r="F2069">
        <v>0</v>
      </c>
      <c r="G2069">
        <v>224.2</v>
      </c>
      <c r="H2069">
        <v>81</v>
      </c>
      <c r="I2069">
        <v>38.11</v>
      </c>
      <c r="J2069">
        <v>243.3</v>
      </c>
      <c r="K2069">
        <v>90</v>
      </c>
      <c r="L2069">
        <v>20.68</v>
      </c>
      <c r="M2069">
        <v>147.8</v>
      </c>
      <c r="N2069">
        <v>66</v>
      </c>
      <c r="O2069">
        <v>6.65</v>
      </c>
      <c r="P2069">
        <v>12</v>
      </c>
      <c r="Q2069">
        <v>8</v>
      </c>
      <c r="R2069">
        <v>3.24</v>
      </c>
      <c r="S2069">
        <v>3</v>
      </c>
      <c r="T2069" t="b">
        <v>0</v>
      </c>
    </row>
    <row r="2070" spans="1:20">
      <c r="A2070" t="s">
        <v>75</v>
      </c>
      <c r="B2070">
        <v>64</v>
      </c>
      <c r="C2070">
        <v>415</v>
      </c>
      <c r="D2070" t="s">
        <v>62</v>
      </c>
      <c r="E2070" t="s">
        <v>63</v>
      </c>
      <c r="F2070">
        <v>43</v>
      </c>
      <c r="G2070">
        <v>118.4</v>
      </c>
      <c r="H2070">
        <v>100</v>
      </c>
      <c r="I2070">
        <v>20.13</v>
      </c>
      <c r="J2070">
        <v>144.1</v>
      </c>
      <c r="K2070">
        <v>108</v>
      </c>
      <c r="L2070">
        <v>12.25</v>
      </c>
      <c r="M2070">
        <v>158.1</v>
      </c>
      <c r="N2070">
        <v>91</v>
      </c>
      <c r="O2070">
        <v>7.11</v>
      </c>
      <c r="P2070">
        <v>8.5</v>
      </c>
      <c r="Q2070">
        <v>6</v>
      </c>
      <c r="R2070">
        <v>2.3</v>
      </c>
      <c r="S2070">
        <v>1</v>
      </c>
      <c r="T2070" t="b">
        <v>0</v>
      </c>
    </row>
    <row r="2071" spans="1:20">
      <c r="A2071" t="s">
        <v>90</v>
      </c>
      <c r="B2071">
        <v>103</v>
      </c>
      <c r="C2071">
        <v>510</v>
      </c>
      <c r="D2071" t="s">
        <v>62</v>
      </c>
      <c r="E2071" t="s">
        <v>62</v>
      </c>
      <c r="F2071">
        <v>0</v>
      </c>
      <c r="G2071">
        <v>190.9</v>
      </c>
      <c r="H2071">
        <v>62</v>
      </c>
      <c r="I2071">
        <v>32.45</v>
      </c>
      <c r="J2071">
        <v>226.6</v>
      </c>
      <c r="K2071">
        <v>53</v>
      </c>
      <c r="L2071">
        <v>19.26</v>
      </c>
      <c r="M2071">
        <v>230.1</v>
      </c>
      <c r="N2071">
        <v>96</v>
      </c>
      <c r="O2071">
        <v>10.35</v>
      </c>
      <c r="P2071">
        <v>7.8</v>
      </c>
      <c r="Q2071">
        <v>3</v>
      </c>
      <c r="R2071">
        <v>2.11</v>
      </c>
      <c r="S2071">
        <v>2</v>
      </c>
      <c r="T2071" t="b">
        <v>0</v>
      </c>
    </row>
    <row r="2072" spans="1:20">
      <c r="A2072" t="s">
        <v>102</v>
      </c>
      <c r="B2072">
        <v>152</v>
      </c>
      <c r="C2072">
        <v>415</v>
      </c>
      <c r="D2072" t="s">
        <v>62</v>
      </c>
      <c r="E2072" t="s">
        <v>62</v>
      </c>
      <c r="F2072">
        <v>0</v>
      </c>
      <c r="G2072">
        <v>317.8</v>
      </c>
      <c r="H2072">
        <v>60</v>
      </c>
      <c r="I2072">
        <v>54.03</v>
      </c>
      <c r="J2072">
        <v>152.9</v>
      </c>
      <c r="K2072">
        <v>100</v>
      </c>
      <c r="L2072">
        <v>13</v>
      </c>
      <c r="M2072">
        <v>123.4</v>
      </c>
      <c r="N2072">
        <v>63</v>
      </c>
      <c r="O2072">
        <v>5.55</v>
      </c>
      <c r="P2072">
        <v>10.4</v>
      </c>
      <c r="Q2072">
        <v>7</v>
      </c>
      <c r="R2072">
        <v>2.81</v>
      </c>
      <c r="S2072">
        <v>1</v>
      </c>
      <c r="T2072" t="b">
        <v>1</v>
      </c>
    </row>
    <row r="2073" spans="1:20">
      <c r="A2073" t="s">
        <v>71</v>
      </c>
      <c r="B2073">
        <v>124</v>
      </c>
      <c r="C2073">
        <v>415</v>
      </c>
      <c r="D2073" t="s">
        <v>62</v>
      </c>
      <c r="E2073" t="s">
        <v>62</v>
      </c>
      <c r="F2073">
        <v>0</v>
      </c>
      <c r="G2073">
        <v>312</v>
      </c>
      <c r="H2073">
        <v>112</v>
      </c>
      <c r="I2073">
        <v>53.04</v>
      </c>
      <c r="J2073">
        <v>180</v>
      </c>
      <c r="K2073">
        <v>109</v>
      </c>
      <c r="L2073">
        <v>15.3</v>
      </c>
      <c r="M2073">
        <v>168.6</v>
      </c>
      <c r="N2073">
        <v>94</v>
      </c>
      <c r="O2073">
        <v>7.59</v>
      </c>
      <c r="P2073">
        <v>12.8</v>
      </c>
      <c r="Q2073">
        <v>4</v>
      </c>
      <c r="R2073">
        <v>3.46</v>
      </c>
      <c r="S2073">
        <v>1</v>
      </c>
      <c r="T2073" t="b">
        <v>1</v>
      </c>
    </row>
    <row r="2074" spans="1:20">
      <c r="A2074" t="s">
        <v>94</v>
      </c>
      <c r="B2074">
        <v>97</v>
      </c>
      <c r="C2074">
        <v>415</v>
      </c>
      <c r="D2074" t="s">
        <v>62</v>
      </c>
      <c r="E2074" t="s">
        <v>62</v>
      </c>
      <c r="F2074">
        <v>0</v>
      </c>
      <c r="G2074">
        <v>146</v>
      </c>
      <c r="H2074">
        <v>121</v>
      </c>
      <c r="I2074">
        <v>24.82</v>
      </c>
      <c r="J2074">
        <v>203</v>
      </c>
      <c r="K2074">
        <v>141</v>
      </c>
      <c r="L2074">
        <v>17.26</v>
      </c>
      <c r="M2074">
        <v>151.8</v>
      </c>
      <c r="N2074">
        <v>120</v>
      </c>
      <c r="O2074">
        <v>6.83</v>
      </c>
      <c r="P2074">
        <v>13.3</v>
      </c>
      <c r="Q2074">
        <v>2</v>
      </c>
      <c r="R2074">
        <v>3.59</v>
      </c>
      <c r="S2074">
        <v>1</v>
      </c>
      <c r="T2074" t="b">
        <v>0</v>
      </c>
    </row>
    <row r="2075" spans="1:20">
      <c r="A2075" t="s">
        <v>109</v>
      </c>
      <c r="B2075">
        <v>131</v>
      </c>
      <c r="C2075">
        <v>415</v>
      </c>
      <c r="D2075" t="s">
        <v>62</v>
      </c>
      <c r="E2075" t="s">
        <v>62</v>
      </c>
      <c r="F2075">
        <v>0</v>
      </c>
      <c r="G2075">
        <v>131.6</v>
      </c>
      <c r="H2075">
        <v>95</v>
      </c>
      <c r="I2075">
        <v>22.37</v>
      </c>
      <c r="J2075">
        <v>179.3</v>
      </c>
      <c r="K2075">
        <v>109</v>
      </c>
      <c r="L2075">
        <v>15.24</v>
      </c>
      <c r="M2075">
        <v>251.2</v>
      </c>
      <c r="N2075">
        <v>129</v>
      </c>
      <c r="O2075">
        <v>11.3</v>
      </c>
      <c r="P2075">
        <v>15.5</v>
      </c>
      <c r="Q2075">
        <v>3</v>
      </c>
      <c r="R2075">
        <v>4.19</v>
      </c>
      <c r="S2075">
        <v>1</v>
      </c>
      <c r="T2075" t="b">
        <v>1</v>
      </c>
    </row>
    <row r="2076" spans="1:20">
      <c r="A2076" t="s">
        <v>108</v>
      </c>
      <c r="B2076">
        <v>57</v>
      </c>
      <c r="C2076">
        <v>415</v>
      </c>
      <c r="D2076" t="s">
        <v>62</v>
      </c>
      <c r="E2076" t="s">
        <v>63</v>
      </c>
      <c r="F2076">
        <v>33</v>
      </c>
      <c r="G2076">
        <v>193.4</v>
      </c>
      <c r="H2076">
        <v>105</v>
      </c>
      <c r="I2076">
        <v>32.88</v>
      </c>
      <c r="J2076">
        <v>231.6</v>
      </c>
      <c r="K2076">
        <v>79</v>
      </c>
      <c r="L2076">
        <v>19.69</v>
      </c>
      <c r="M2076">
        <v>226.2</v>
      </c>
      <c r="N2076">
        <v>90</v>
      </c>
      <c r="O2076">
        <v>10.18</v>
      </c>
      <c r="P2076">
        <v>11.1</v>
      </c>
      <c r="Q2076">
        <v>11</v>
      </c>
      <c r="R2076">
        <v>3</v>
      </c>
      <c r="S2076">
        <v>2</v>
      </c>
      <c r="T2076" t="b">
        <v>0</v>
      </c>
    </row>
    <row r="2077" spans="1:20">
      <c r="A2077" t="s">
        <v>102</v>
      </c>
      <c r="B2077">
        <v>157</v>
      </c>
      <c r="C2077">
        <v>510</v>
      </c>
      <c r="D2077" t="s">
        <v>62</v>
      </c>
      <c r="E2077" t="s">
        <v>62</v>
      </c>
      <c r="F2077">
        <v>0</v>
      </c>
      <c r="G2077">
        <v>185.1</v>
      </c>
      <c r="H2077">
        <v>92</v>
      </c>
      <c r="I2077">
        <v>31.47</v>
      </c>
      <c r="J2077">
        <v>213</v>
      </c>
      <c r="K2077">
        <v>85</v>
      </c>
      <c r="L2077">
        <v>18.11</v>
      </c>
      <c r="M2077">
        <v>196.1</v>
      </c>
      <c r="N2077">
        <v>85</v>
      </c>
      <c r="O2077">
        <v>8.82</v>
      </c>
      <c r="P2077">
        <v>8.5</v>
      </c>
      <c r="Q2077">
        <v>5</v>
      </c>
      <c r="R2077">
        <v>2.3</v>
      </c>
      <c r="S2077">
        <v>2</v>
      </c>
      <c r="T2077" t="b">
        <v>0</v>
      </c>
    </row>
    <row r="2078" spans="1:20">
      <c r="A2078" t="s">
        <v>89</v>
      </c>
      <c r="B2078">
        <v>194</v>
      </c>
      <c r="C2078">
        <v>510</v>
      </c>
      <c r="D2078" t="s">
        <v>62</v>
      </c>
      <c r="E2078" t="s">
        <v>62</v>
      </c>
      <c r="F2078">
        <v>0</v>
      </c>
      <c r="G2078">
        <v>193.3</v>
      </c>
      <c r="H2078">
        <v>106</v>
      </c>
      <c r="I2078">
        <v>32.86</v>
      </c>
      <c r="J2078">
        <v>169</v>
      </c>
      <c r="K2078">
        <v>150</v>
      </c>
      <c r="L2078">
        <v>14.37</v>
      </c>
      <c r="M2078">
        <v>225.2</v>
      </c>
      <c r="N2078">
        <v>122</v>
      </c>
      <c r="O2078">
        <v>10.13</v>
      </c>
      <c r="P2078">
        <v>11.8</v>
      </c>
      <c r="Q2078">
        <v>4</v>
      </c>
      <c r="R2078">
        <v>3.19</v>
      </c>
      <c r="S2078">
        <v>0</v>
      </c>
      <c r="T2078" t="b">
        <v>0</v>
      </c>
    </row>
    <row r="2079" spans="1:20">
      <c r="A2079" t="s">
        <v>105</v>
      </c>
      <c r="B2079">
        <v>66</v>
      </c>
      <c r="C2079">
        <v>415</v>
      </c>
      <c r="D2079" t="s">
        <v>62</v>
      </c>
      <c r="E2079" t="s">
        <v>62</v>
      </c>
      <c r="F2079">
        <v>0</v>
      </c>
      <c r="G2079">
        <v>146.4</v>
      </c>
      <c r="H2079">
        <v>107</v>
      </c>
      <c r="I2079">
        <v>24.89</v>
      </c>
      <c r="J2079">
        <v>196.5</v>
      </c>
      <c r="K2079">
        <v>99</v>
      </c>
      <c r="L2079">
        <v>16.7</v>
      </c>
      <c r="M2079">
        <v>230.1</v>
      </c>
      <c r="N2079">
        <v>106</v>
      </c>
      <c r="O2079">
        <v>10.35</v>
      </c>
      <c r="P2079">
        <v>7.8</v>
      </c>
      <c r="Q2079">
        <v>2</v>
      </c>
      <c r="R2079">
        <v>2.11</v>
      </c>
      <c r="S2079">
        <v>1</v>
      </c>
      <c r="T2079" t="b">
        <v>0</v>
      </c>
    </row>
    <row r="2080" spans="1:20">
      <c r="A2080" t="s">
        <v>106</v>
      </c>
      <c r="B2080">
        <v>123</v>
      </c>
      <c r="C2080">
        <v>415</v>
      </c>
      <c r="D2080" t="s">
        <v>62</v>
      </c>
      <c r="E2080" t="s">
        <v>62</v>
      </c>
      <c r="F2080">
        <v>0</v>
      </c>
      <c r="G2080">
        <v>123.2</v>
      </c>
      <c r="H2080">
        <v>104</v>
      </c>
      <c r="I2080">
        <v>20.94</v>
      </c>
      <c r="J2080">
        <v>190</v>
      </c>
      <c r="K2080">
        <v>117</v>
      </c>
      <c r="L2080">
        <v>16.15</v>
      </c>
      <c r="M2080">
        <v>170.3</v>
      </c>
      <c r="N2080">
        <v>95</v>
      </c>
      <c r="O2080">
        <v>7.66</v>
      </c>
      <c r="P2080">
        <v>12.9</v>
      </c>
      <c r="Q2080">
        <v>5</v>
      </c>
      <c r="R2080">
        <v>3.48</v>
      </c>
      <c r="S2080">
        <v>4</v>
      </c>
      <c r="T2080" t="b">
        <v>1</v>
      </c>
    </row>
    <row r="2081" spans="1:20">
      <c r="A2081" t="s">
        <v>66</v>
      </c>
      <c r="B2081">
        <v>116</v>
      </c>
      <c r="C2081">
        <v>510</v>
      </c>
      <c r="D2081" t="s">
        <v>62</v>
      </c>
      <c r="E2081" t="s">
        <v>62</v>
      </c>
      <c r="F2081">
        <v>0</v>
      </c>
      <c r="G2081">
        <v>205</v>
      </c>
      <c r="H2081">
        <v>90</v>
      </c>
      <c r="I2081">
        <v>34.85</v>
      </c>
      <c r="J2081">
        <v>140.9</v>
      </c>
      <c r="K2081">
        <v>114</v>
      </c>
      <c r="L2081">
        <v>11.98</v>
      </c>
      <c r="M2081">
        <v>272.6</v>
      </c>
      <c r="N2081">
        <v>96</v>
      </c>
      <c r="O2081">
        <v>12.27</v>
      </c>
      <c r="P2081">
        <v>7.5</v>
      </c>
      <c r="Q2081">
        <v>4</v>
      </c>
      <c r="R2081">
        <v>2.03</v>
      </c>
      <c r="S2081">
        <v>2</v>
      </c>
      <c r="T2081" t="b">
        <v>0</v>
      </c>
    </row>
    <row r="2082" spans="1:20">
      <c r="A2082" t="s">
        <v>66</v>
      </c>
      <c r="B2082">
        <v>63</v>
      </c>
      <c r="C2082">
        <v>415</v>
      </c>
      <c r="D2082" t="s">
        <v>62</v>
      </c>
      <c r="E2082" t="s">
        <v>62</v>
      </c>
      <c r="F2082">
        <v>0</v>
      </c>
      <c r="G2082">
        <v>128.7</v>
      </c>
      <c r="H2082">
        <v>78</v>
      </c>
      <c r="I2082">
        <v>21.88</v>
      </c>
      <c r="J2082">
        <v>240.8</v>
      </c>
      <c r="K2082">
        <v>133</v>
      </c>
      <c r="L2082">
        <v>20.47</v>
      </c>
      <c r="M2082">
        <v>237.7</v>
      </c>
      <c r="N2082">
        <v>121</v>
      </c>
      <c r="O2082">
        <v>10.7</v>
      </c>
      <c r="P2082">
        <v>12.8</v>
      </c>
      <c r="Q2082">
        <v>6</v>
      </c>
      <c r="R2082">
        <v>3.46</v>
      </c>
      <c r="S2082">
        <v>1</v>
      </c>
      <c r="T2082" t="b">
        <v>0</v>
      </c>
    </row>
    <row r="2083" spans="1:20">
      <c r="A2083" t="s">
        <v>89</v>
      </c>
      <c r="B2083">
        <v>64</v>
      </c>
      <c r="C2083">
        <v>510</v>
      </c>
      <c r="D2083" t="s">
        <v>62</v>
      </c>
      <c r="E2083" t="s">
        <v>62</v>
      </c>
      <c r="F2083">
        <v>0</v>
      </c>
      <c r="G2083">
        <v>216.9</v>
      </c>
      <c r="H2083">
        <v>78</v>
      </c>
      <c r="I2083">
        <v>36.87</v>
      </c>
      <c r="J2083">
        <v>211</v>
      </c>
      <c r="K2083">
        <v>115</v>
      </c>
      <c r="L2083">
        <v>17.94</v>
      </c>
      <c r="M2083">
        <v>179.8</v>
      </c>
      <c r="N2083">
        <v>116</v>
      </c>
      <c r="O2083">
        <v>8.09</v>
      </c>
      <c r="P2083">
        <v>11.4</v>
      </c>
      <c r="Q2083">
        <v>5</v>
      </c>
      <c r="R2083">
        <v>3.08</v>
      </c>
      <c r="S2083">
        <v>3</v>
      </c>
      <c r="T2083" t="b">
        <v>0</v>
      </c>
    </row>
    <row r="2084" spans="1:20">
      <c r="A2084" t="s">
        <v>65</v>
      </c>
      <c r="B2084">
        <v>96</v>
      </c>
      <c r="C2084">
        <v>510</v>
      </c>
      <c r="D2084" t="s">
        <v>62</v>
      </c>
      <c r="E2084" t="s">
        <v>62</v>
      </c>
      <c r="F2084">
        <v>0</v>
      </c>
      <c r="G2084">
        <v>150</v>
      </c>
      <c r="H2084">
        <v>122</v>
      </c>
      <c r="I2084">
        <v>25.5</v>
      </c>
      <c r="J2084">
        <v>218.5</v>
      </c>
      <c r="K2084">
        <v>116</v>
      </c>
      <c r="L2084">
        <v>18.57</v>
      </c>
      <c r="M2084">
        <v>212.4</v>
      </c>
      <c r="N2084">
        <v>89</v>
      </c>
      <c r="O2084">
        <v>9.56</v>
      </c>
      <c r="P2084">
        <v>9.8</v>
      </c>
      <c r="Q2084">
        <v>1</v>
      </c>
      <c r="R2084">
        <v>2.65</v>
      </c>
      <c r="S2084">
        <v>3</v>
      </c>
      <c r="T2084" t="b">
        <v>0</v>
      </c>
    </row>
    <row r="2085" spans="1:20">
      <c r="A2085" t="s">
        <v>108</v>
      </c>
      <c r="B2085">
        <v>105</v>
      </c>
      <c r="C2085">
        <v>510</v>
      </c>
      <c r="D2085" t="s">
        <v>62</v>
      </c>
      <c r="E2085" t="s">
        <v>62</v>
      </c>
      <c r="F2085">
        <v>0</v>
      </c>
      <c r="G2085">
        <v>212</v>
      </c>
      <c r="H2085">
        <v>113</v>
      </c>
      <c r="I2085">
        <v>36.04</v>
      </c>
      <c r="J2085">
        <v>226.6</v>
      </c>
      <c r="K2085">
        <v>128</v>
      </c>
      <c r="L2085">
        <v>19.26</v>
      </c>
      <c r="M2085">
        <v>193.6</v>
      </c>
      <c r="N2085">
        <v>114</v>
      </c>
      <c r="O2085">
        <v>8.71</v>
      </c>
      <c r="P2085">
        <v>8.9</v>
      </c>
      <c r="Q2085">
        <v>7</v>
      </c>
      <c r="R2085">
        <v>2.4</v>
      </c>
      <c r="S2085">
        <v>3</v>
      </c>
      <c r="T2085" t="b">
        <v>0</v>
      </c>
    </row>
    <row r="2086" spans="1:20">
      <c r="A2086" t="s">
        <v>110</v>
      </c>
      <c r="B2086">
        <v>53</v>
      </c>
      <c r="C2086">
        <v>510</v>
      </c>
      <c r="D2086" t="s">
        <v>62</v>
      </c>
      <c r="E2086" t="s">
        <v>63</v>
      </c>
      <c r="F2086">
        <v>37</v>
      </c>
      <c r="G2086">
        <v>167.3</v>
      </c>
      <c r="H2086">
        <v>99</v>
      </c>
      <c r="I2086">
        <v>28.44</v>
      </c>
      <c r="J2086">
        <v>194.7</v>
      </c>
      <c r="K2086">
        <v>99</v>
      </c>
      <c r="L2086">
        <v>16.55</v>
      </c>
      <c r="M2086">
        <v>236.7</v>
      </c>
      <c r="N2086">
        <v>112</v>
      </c>
      <c r="O2086">
        <v>10.65</v>
      </c>
      <c r="P2086">
        <v>12</v>
      </c>
      <c r="Q2086">
        <v>9</v>
      </c>
      <c r="R2086">
        <v>3.24</v>
      </c>
      <c r="S2086">
        <v>2</v>
      </c>
      <c r="T2086" t="b">
        <v>0</v>
      </c>
    </row>
    <row r="2087" spans="1:20">
      <c r="A2087" t="s">
        <v>84</v>
      </c>
      <c r="B2087">
        <v>129</v>
      </c>
      <c r="C2087">
        <v>510</v>
      </c>
      <c r="D2087" t="s">
        <v>62</v>
      </c>
      <c r="E2087" t="s">
        <v>63</v>
      </c>
      <c r="F2087">
        <v>30</v>
      </c>
      <c r="G2087">
        <v>177.3</v>
      </c>
      <c r="H2087">
        <v>95</v>
      </c>
      <c r="I2087">
        <v>30.14</v>
      </c>
      <c r="J2087">
        <v>211.8</v>
      </c>
      <c r="K2087">
        <v>102</v>
      </c>
      <c r="L2087">
        <v>18</v>
      </c>
      <c r="M2087">
        <v>240.2</v>
      </c>
      <c r="N2087">
        <v>108</v>
      </c>
      <c r="O2087">
        <v>10.81</v>
      </c>
      <c r="P2087">
        <v>9.3</v>
      </c>
      <c r="Q2087">
        <v>7</v>
      </c>
      <c r="R2087">
        <v>2.51</v>
      </c>
      <c r="S2087">
        <v>3</v>
      </c>
      <c r="T2087" t="b">
        <v>0</v>
      </c>
    </row>
    <row r="2088" spans="1:20">
      <c r="A2088" t="s">
        <v>78</v>
      </c>
      <c r="B2088">
        <v>93</v>
      </c>
      <c r="C2088">
        <v>408</v>
      </c>
      <c r="D2088" t="s">
        <v>62</v>
      </c>
      <c r="E2088" t="s">
        <v>62</v>
      </c>
      <c r="F2088">
        <v>0</v>
      </c>
      <c r="G2088">
        <v>149.6</v>
      </c>
      <c r="H2088">
        <v>120</v>
      </c>
      <c r="I2088">
        <v>25.43</v>
      </c>
      <c r="J2088">
        <v>200.7</v>
      </c>
      <c r="K2088">
        <v>85</v>
      </c>
      <c r="L2088">
        <v>17.06</v>
      </c>
      <c r="M2088">
        <v>181.2</v>
      </c>
      <c r="N2088">
        <v>107</v>
      </c>
      <c r="O2088">
        <v>8.15</v>
      </c>
      <c r="P2088">
        <v>14.3</v>
      </c>
      <c r="Q2088">
        <v>9</v>
      </c>
      <c r="R2088">
        <v>3.86</v>
      </c>
      <c r="S2088">
        <v>0</v>
      </c>
      <c r="T2088" t="b">
        <v>0</v>
      </c>
    </row>
    <row r="2089" spans="1:20">
      <c r="A2089" t="s">
        <v>64</v>
      </c>
      <c r="B2089">
        <v>115</v>
      </c>
      <c r="C2089">
        <v>510</v>
      </c>
      <c r="D2089" t="s">
        <v>63</v>
      </c>
      <c r="E2089" t="s">
        <v>62</v>
      </c>
      <c r="F2089">
        <v>0</v>
      </c>
      <c r="G2089">
        <v>345.3</v>
      </c>
      <c r="H2089">
        <v>81</v>
      </c>
      <c r="I2089">
        <v>58.7</v>
      </c>
      <c r="J2089">
        <v>203.4</v>
      </c>
      <c r="K2089">
        <v>106</v>
      </c>
      <c r="L2089">
        <v>17.29</v>
      </c>
      <c r="M2089">
        <v>217.5</v>
      </c>
      <c r="N2089">
        <v>107</v>
      </c>
      <c r="O2089">
        <v>9.79</v>
      </c>
      <c r="P2089">
        <v>11.8</v>
      </c>
      <c r="Q2089">
        <v>8</v>
      </c>
      <c r="R2089">
        <v>3.19</v>
      </c>
      <c r="S2089">
        <v>1</v>
      </c>
      <c r="T2089" t="b">
        <v>1</v>
      </c>
    </row>
    <row r="2090" spans="1:20">
      <c r="A2090" t="s">
        <v>67</v>
      </c>
      <c r="B2090">
        <v>25</v>
      </c>
      <c r="C2090">
        <v>408</v>
      </c>
      <c r="D2090" t="s">
        <v>62</v>
      </c>
      <c r="E2090" t="s">
        <v>62</v>
      </c>
      <c r="F2090">
        <v>0</v>
      </c>
      <c r="G2090">
        <v>264.9</v>
      </c>
      <c r="H2090">
        <v>80</v>
      </c>
      <c r="I2090">
        <v>45.03</v>
      </c>
      <c r="J2090">
        <v>281.2</v>
      </c>
      <c r="K2090">
        <v>66</v>
      </c>
      <c r="L2090">
        <v>23.9</v>
      </c>
      <c r="M2090">
        <v>166.1</v>
      </c>
      <c r="N2090">
        <v>80</v>
      </c>
      <c r="O2090">
        <v>7.47</v>
      </c>
      <c r="P2090">
        <v>8.4</v>
      </c>
      <c r="Q2090">
        <v>4</v>
      </c>
      <c r="R2090">
        <v>2.27</v>
      </c>
      <c r="S2090">
        <v>1</v>
      </c>
      <c r="T2090" t="b">
        <v>1</v>
      </c>
    </row>
    <row r="2091" spans="1:20">
      <c r="A2091" t="s">
        <v>105</v>
      </c>
      <c r="B2091">
        <v>73</v>
      </c>
      <c r="C2091">
        <v>408</v>
      </c>
      <c r="D2091" t="s">
        <v>62</v>
      </c>
      <c r="E2091" t="s">
        <v>62</v>
      </c>
      <c r="F2091">
        <v>0</v>
      </c>
      <c r="G2091">
        <v>122</v>
      </c>
      <c r="H2091">
        <v>92</v>
      </c>
      <c r="I2091">
        <v>20.74</v>
      </c>
      <c r="J2091">
        <v>138.3</v>
      </c>
      <c r="K2091">
        <v>114</v>
      </c>
      <c r="L2091">
        <v>11.76</v>
      </c>
      <c r="M2091">
        <v>224.2</v>
      </c>
      <c r="N2091">
        <v>128</v>
      </c>
      <c r="O2091">
        <v>10.09</v>
      </c>
      <c r="P2091">
        <v>5.8</v>
      </c>
      <c r="Q2091">
        <v>5</v>
      </c>
      <c r="R2091">
        <v>1.57</v>
      </c>
      <c r="S2091">
        <v>1</v>
      </c>
      <c r="T2091" t="b">
        <v>0</v>
      </c>
    </row>
    <row r="2092" spans="1:20">
      <c r="A2092" t="s">
        <v>95</v>
      </c>
      <c r="B2092">
        <v>97</v>
      </c>
      <c r="C2092">
        <v>510</v>
      </c>
      <c r="D2092" t="s">
        <v>62</v>
      </c>
      <c r="E2092" t="s">
        <v>62</v>
      </c>
      <c r="F2092">
        <v>0</v>
      </c>
      <c r="G2092">
        <v>225.1</v>
      </c>
      <c r="H2092">
        <v>90</v>
      </c>
      <c r="I2092">
        <v>38.27</v>
      </c>
      <c r="J2092">
        <v>279.5</v>
      </c>
      <c r="K2092">
        <v>127</v>
      </c>
      <c r="L2092">
        <v>23.76</v>
      </c>
      <c r="M2092">
        <v>233.8</v>
      </c>
      <c r="N2092">
        <v>103</v>
      </c>
      <c r="O2092">
        <v>10.52</v>
      </c>
      <c r="P2092">
        <v>8.8</v>
      </c>
      <c r="Q2092">
        <v>4</v>
      </c>
      <c r="R2092">
        <v>2.38</v>
      </c>
      <c r="S2092">
        <v>0</v>
      </c>
      <c r="T2092" t="b">
        <v>1</v>
      </c>
    </row>
    <row r="2093" spans="1:20">
      <c r="A2093" t="s">
        <v>106</v>
      </c>
      <c r="B2093">
        <v>148</v>
      </c>
      <c r="C2093">
        <v>408</v>
      </c>
      <c r="D2093" t="s">
        <v>62</v>
      </c>
      <c r="E2093" t="s">
        <v>62</v>
      </c>
      <c r="F2093">
        <v>0</v>
      </c>
      <c r="G2093">
        <v>208.4</v>
      </c>
      <c r="H2093">
        <v>120</v>
      </c>
      <c r="I2093">
        <v>35.43</v>
      </c>
      <c r="J2093">
        <v>174.4</v>
      </c>
      <c r="K2093">
        <v>99</v>
      </c>
      <c r="L2093">
        <v>14.82</v>
      </c>
      <c r="M2093">
        <v>310.7</v>
      </c>
      <c r="N2093">
        <v>105</v>
      </c>
      <c r="O2093">
        <v>13.98</v>
      </c>
      <c r="P2093">
        <v>11.2</v>
      </c>
      <c r="Q2093">
        <v>4</v>
      </c>
      <c r="R2093">
        <v>3.02</v>
      </c>
      <c r="S2093">
        <v>1</v>
      </c>
      <c r="T2093" t="b">
        <v>0</v>
      </c>
    </row>
    <row r="2094" spans="1:20">
      <c r="A2094" t="s">
        <v>67</v>
      </c>
      <c r="B2094">
        <v>85</v>
      </c>
      <c r="C2094">
        <v>408</v>
      </c>
      <c r="D2094" t="s">
        <v>62</v>
      </c>
      <c r="E2094" t="s">
        <v>63</v>
      </c>
      <c r="F2094">
        <v>30</v>
      </c>
      <c r="G2094">
        <v>173.1</v>
      </c>
      <c r="H2094">
        <v>107</v>
      </c>
      <c r="I2094">
        <v>29.43</v>
      </c>
      <c r="J2094">
        <v>247.2</v>
      </c>
      <c r="K2094">
        <v>101</v>
      </c>
      <c r="L2094">
        <v>21.01</v>
      </c>
      <c r="M2094">
        <v>158.7</v>
      </c>
      <c r="N2094">
        <v>104</v>
      </c>
      <c r="O2094">
        <v>7.14</v>
      </c>
      <c r="P2094">
        <v>11.5</v>
      </c>
      <c r="Q2094">
        <v>5</v>
      </c>
      <c r="R2094">
        <v>3.11</v>
      </c>
      <c r="S2094">
        <v>1</v>
      </c>
      <c r="T2094" t="b">
        <v>0</v>
      </c>
    </row>
    <row r="2095" spans="1:20">
      <c r="A2095" t="s">
        <v>66</v>
      </c>
      <c r="B2095">
        <v>86</v>
      </c>
      <c r="C2095">
        <v>510</v>
      </c>
      <c r="D2095" t="s">
        <v>63</v>
      </c>
      <c r="E2095" t="s">
        <v>62</v>
      </c>
      <c r="F2095">
        <v>0</v>
      </c>
      <c r="G2095">
        <v>162.4</v>
      </c>
      <c r="H2095">
        <v>131</v>
      </c>
      <c r="I2095">
        <v>27.61</v>
      </c>
      <c r="J2095">
        <v>167</v>
      </c>
      <c r="K2095">
        <v>102</v>
      </c>
      <c r="L2095">
        <v>14.2</v>
      </c>
      <c r="M2095">
        <v>128.9</v>
      </c>
      <c r="N2095">
        <v>118</v>
      </c>
      <c r="O2095">
        <v>5.8</v>
      </c>
      <c r="P2095">
        <v>11.4</v>
      </c>
      <c r="Q2095">
        <v>2</v>
      </c>
      <c r="R2095">
        <v>3.08</v>
      </c>
      <c r="S2095">
        <v>2</v>
      </c>
      <c r="T2095" t="b">
        <v>1</v>
      </c>
    </row>
    <row r="2096" spans="1:20">
      <c r="A2096" t="s">
        <v>109</v>
      </c>
      <c r="B2096">
        <v>78</v>
      </c>
      <c r="C2096">
        <v>415</v>
      </c>
      <c r="D2096" t="s">
        <v>62</v>
      </c>
      <c r="E2096" t="s">
        <v>63</v>
      </c>
      <c r="F2096">
        <v>13</v>
      </c>
      <c r="G2096">
        <v>281.2</v>
      </c>
      <c r="H2096">
        <v>93</v>
      </c>
      <c r="I2096">
        <v>47.8</v>
      </c>
      <c r="J2096">
        <v>178.2</v>
      </c>
      <c r="K2096">
        <v>101</v>
      </c>
      <c r="L2096">
        <v>15.15</v>
      </c>
      <c r="M2096">
        <v>244.2</v>
      </c>
      <c r="N2096">
        <v>129</v>
      </c>
      <c r="O2096">
        <v>10.99</v>
      </c>
      <c r="P2096">
        <v>6.4</v>
      </c>
      <c r="Q2096">
        <v>5</v>
      </c>
      <c r="R2096">
        <v>1.73</v>
      </c>
      <c r="S2096">
        <v>2</v>
      </c>
      <c r="T2096" t="b">
        <v>0</v>
      </c>
    </row>
    <row r="2097" spans="1:20">
      <c r="A2097" t="s">
        <v>91</v>
      </c>
      <c r="B2097">
        <v>106</v>
      </c>
      <c r="C2097">
        <v>415</v>
      </c>
      <c r="D2097" t="s">
        <v>62</v>
      </c>
      <c r="E2097" t="s">
        <v>62</v>
      </c>
      <c r="F2097">
        <v>0</v>
      </c>
      <c r="G2097">
        <v>208.3</v>
      </c>
      <c r="H2097">
        <v>89</v>
      </c>
      <c r="I2097">
        <v>35.41</v>
      </c>
      <c r="J2097">
        <v>169.4</v>
      </c>
      <c r="K2097">
        <v>67</v>
      </c>
      <c r="L2097">
        <v>14.4</v>
      </c>
      <c r="M2097">
        <v>102</v>
      </c>
      <c r="N2097">
        <v>90</v>
      </c>
      <c r="O2097">
        <v>4.59</v>
      </c>
      <c r="P2097">
        <v>15.9</v>
      </c>
      <c r="Q2097">
        <v>4</v>
      </c>
      <c r="R2097">
        <v>4.29</v>
      </c>
      <c r="S2097">
        <v>3</v>
      </c>
      <c r="T2097" t="b">
        <v>0</v>
      </c>
    </row>
    <row r="2098" spans="1:20">
      <c r="A2098" t="s">
        <v>92</v>
      </c>
      <c r="B2098">
        <v>145</v>
      </c>
      <c r="C2098">
        <v>415</v>
      </c>
      <c r="D2098" t="s">
        <v>62</v>
      </c>
      <c r="E2098" t="s">
        <v>62</v>
      </c>
      <c r="F2098">
        <v>0</v>
      </c>
      <c r="G2098">
        <v>224.2</v>
      </c>
      <c r="H2098">
        <v>89</v>
      </c>
      <c r="I2098">
        <v>38.11</v>
      </c>
      <c r="J2098">
        <v>314.9</v>
      </c>
      <c r="K2098">
        <v>121</v>
      </c>
      <c r="L2098">
        <v>26.77</v>
      </c>
      <c r="M2098">
        <v>182.9</v>
      </c>
      <c r="N2098">
        <v>121</v>
      </c>
      <c r="O2098">
        <v>8.23</v>
      </c>
      <c r="P2098">
        <v>16.1</v>
      </c>
      <c r="Q2098">
        <v>3</v>
      </c>
      <c r="R2098">
        <v>4.35</v>
      </c>
      <c r="S2098">
        <v>1</v>
      </c>
      <c r="T2098" t="b">
        <v>1</v>
      </c>
    </row>
    <row r="2099" spans="1:20">
      <c r="A2099" t="s">
        <v>86</v>
      </c>
      <c r="B2099">
        <v>91</v>
      </c>
      <c r="C2099">
        <v>415</v>
      </c>
      <c r="D2099" t="s">
        <v>62</v>
      </c>
      <c r="E2099" t="s">
        <v>62</v>
      </c>
      <c r="F2099">
        <v>0</v>
      </c>
      <c r="G2099">
        <v>189.3</v>
      </c>
      <c r="H2099">
        <v>100</v>
      </c>
      <c r="I2099">
        <v>32.18</v>
      </c>
      <c r="J2099">
        <v>239.3</v>
      </c>
      <c r="K2099">
        <v>107</v>
      </c>
      <c r="L2099">
        <v>20.34</v>
      </c>
      <c r="M2099">
        <v>89.7</v>
      </c>
      <c r="N2099">
        <v>89</v>
      </c>
      <c r="O2099">
        <v>4.04</v>
      </c>
      <c r="P2099">
        <v>9.9</v>
      </c>
      <c r="Q2099">
        <v>3</v>
      </c>
      <c r="R2099">
        <v>2.67</v>
      </c>
      <c r="S2099">
        <v>3</v>
      </c>
      <c r="T2099" t="b">
        <v>0</v>
      </c>
    </row>
    <row r="2100" spans="1:20">
      <c r="A2100" t="s">
        <v>97</v>
      </c>
      <c r="B2100">
        <v>116</v>
      </c>
      <c r="C2100">
        <v>415</v>
      </c>
      <c r="D2100" t="s">
        <v>62</v>
      </c>
      <c r="E2100" t="s">
        <v>63</v>
      </c>
      <c r="F2100">
        <v>24</v>
      </c>
      <c r="G2100">
        <v>232.9</v>
      </c>
      <c r="H2100">
        <v>90</v>
      </c>
      <c r="I2100">
        <v>39.59</v>
      </c>
      <c r="J2100">
        <v>152.1</v>
      </c>
      <c r="K2100">
        <v>94</v>
      </c>
      <c r="L2100">
        <v>12.93</v>
      </c>
      <c r="M2100">
        <v>344.3</v>
      </c>
      <c r="N2100">
        <v>82</v>
      </c>
      <c r="O2100">
        <v>15.49</v>
      </c>
      <c r="P2100">
        <v>10.7</v>
      </c>
      <c r="Q2100">
        <v>6</v>
      </c>
      <c r="R2100">
        <v>2.89</v>
      </c>
      <c r="S2100">
        <v>1</v>
      </c>
      <c r="T2100" t="b">
        <v>0</v>
      </c>
    </row>
    <row r="2101" spans="1:20">
      <c r="A2101" t="s">
        <v>88</v>
      </c>
      <c r="B2101">
        <v>69</v>
      </c>
      <c r="C2101">
        <v>415</v>
      </c>
      <c r="D2101" t="s">
        <v>62</v>
      </c>
      <c r="E2101" t="s">
        <v>63</v>
      </c>
      <c r="F2101">
        <v>37</v>
      </c>
      <c r="G2101">
        <v>155</v>
      </c>
      <c r="H2101">
        <v>98</v>
      </c>
      <c r="I2101">
        <v>26.35</v>
      </c>
      <c r="J2101">
        <v>142.4</v>
      </c>
      <c r="K2101">
        <v>105</v>
      </c>
      <c r="L2101">
        <v>12.1</v>
      </c>
      <c r="M2101">
        <v>143.7</v>
      </c>
      <c r="N2101">
        <v>117</v>
      </c>
      <c r="O2101">
        <v>6.47</v>
      </c>
      <c r="P2101">
        <v>5.9</v>
      </c>
      <c r="Q2101">
        <v>4</v>
      </c>
      <c r="R2101">
        <v>1.59</v>
      </c>
      <c r="S2101">
        <v>1</v>
      </c>
      <c r="T2101" t="b">
        <v>0</v>
      </c>
    </row>
    <row r="2102" spans="1:20">
      <c r="A2102" t="s">
        <v>77</v>
      </c>
      <c r="B2102">
        <v>135</v>
      </c>
      <c r="C2102">
        <v>510</v>
      </c>
      <c r="D2102" t="s">
        <v>62</v>
      </c>
      <c r="E2102" t="s">
        <v>62</v>
      </c>
      <c r="F2102">
        <v>0</v>
      </c>
      <c r="G2102">
        <v>154.4</v>
      </c>
      <c r="H2102">
        <v>130</v>
      </c>
      <c r="I2102">
        <v>26.25</v>
      </c>
      <c r="J2102">
        <v>203.8</v>
      </c>
      <c r="K2102">
        <v>90</v>
      </c>
      <c r="L2102">
        <v>17.32</v>
      </c>
      <c r="M2102">
        <v>158.7</v>
      </c>
      <c r="N2102">
        <v>59</v>
      </c>
      <c r="O2102">
        <v>7.14</v>
      </c>
      <c r="P2102">
        <v>11.8</v>
      </c>
      <c r="Q2102">
        <v>3</v>
      </c>
      <c r="R2102">
        <v>3.19</v>
      </c>
      <c r="S2102">
        <v>0</v>
      </c>
      <c r="T2102" t="b">
        <v>0</v>
      </c>
    </row>
    <row r="2103" spans="1:20">
      <c r="A2103" t="s">
        <v>107</v>
      </c>
      <c r="B2103">
        <v>73</v>
      </c>
      <c r="C2103">
        <v>510</v>
      </c>
      <c r="D2103" t="s">
        <v>62</v>
      </c>
      <c r="E2103" t="s">
        <v>62</v>
      </c>
      <c r="F2103">
        <v>0</v>
      </c>
      <c r="G2103">
        <v>234.7</v>
      </c>
      <c r="H2103">
        <v>102</v>
      </c>
      <c r="I2103">
        <v>39.9</v>
      </c>
      <c r="J2103">
        <v>195.7</v>
      </c>
      <c r="K2103">
        <v>110</v>
      </c>
      <c r="L2103">
        <v>16.63</v>
      </c>
      <c r="M2103">
        <v>253.4</v>
      </c>
      <c r="N2103">
        <v>71</v>
      </c>
      <c r="O2103">
        <v>11.4</v>
      </c>
      <c r="P2103">
        <v>8.4</v>
      </c>
      <c r="Q2103">
        <v>8</v>
      </c>
      <c r="R2103">
        <v>2.27</v>
      </c>
      <c r="S2103">
        <v>2</v>
      </c>
      <c r="T2103" t="b">
        <v>0</v>
      </c>
    </row>
    <row r="2104" spans="1:20">
      <c r="A2104" t="s">
        <v>110</v>
      </c>
      <c r="B2104">
        <v>48</v>
      </c>
      <c r="C2104">
        <v>415</v>
      </c>
      <c r="D2104" t="s">
        <v>62</v>
      </c>
      <c r="E2104" t="s">
        <v>62</v>
      </c>
      <c r="F2104">
        <v>0</v>
      </c>
      <c r="G2104">
        <v>240</v>
      </c>
      <c r="H2104">
        <v>88</v>
      </c>
      <c r="I2104">
        <v>40.8</v>
      </c>
      <c r="J2104">
        <v>141</v>
      </c>
      <c r="K2104">
        <v>117</v>
      </c>
      <c r="L2104">
        <v>11.99</v>
      </c>
      <c r="M2104">
        <v>128.9</v>
      </c>
      <c r="N2104">
        <v>137</v>
      </c>
      <c r="O2104">
        <v>5.8</v>
      </c>
      <c r="P2104">
        <v>7.1</v>
      </c>
      <c r="Q2104">
        <v>9</v>
      </c>
      <c r="R2104">
        <v>1.92</v>
      </c>
      <c r="S2104">
        <v>1</v>
      </c>
      <c r="T2104" t="b">
        <v>0</v>
      </c>
    </row>
    <row r="2105" spans="1:20">
      <c r="A2105" t="s">
        <v>87</v>
      </c>
      <c r="B2105">
        <v>125</v>
      </c>
      <c r="C2105">
        <v>415</v>
      </c>
      <c r="D2105" t="s">
        <v>63</v>
      </c>
      <c r="E2105" t="s">
        <v>62</v>
      </c>
      <c r="F2105">
        <v>0</v>
      </c>
      <c r="G2105">
        <v>298.4</v>
      </c>
      <c r="H2105">
        <v>78</v>
      </c>
      <c r="I2105">
        <v>50.73</v>
      </c>
      <c r="J2105">
        <v>270.5</v>
      </c>
      <c r="K2105">
        <v>142</v>
      </c>
      <c r="L2105">
        <v>22.99</v>
      </c>
      <c r="M2105">
        <v>107.3</v>
      </c>
      <c r="N2105">
        <v>84</v>
      </c>
      <c r="O2105">
        <v>4.83</v>
      </c>
      <c r="P2105">
        <v>12.2</v>
      </c>
      <c r="Q2105">
        <v>2</v>
      </c>
      <c r="R2105">
        <v>3.29</v>
      </c>
      <c r="S2105">
        <v>0</v>
      </c>
      <c r="T2105" t="b">
        <v>1</v>
      </c>
    </row>
    <row r="2106" spans="1:20">
      <c r="A2106" t="s">
        <v>71</v>
      </c>
      <c r="B2106">
        <v>100</v>
      </c>
      <c r="C2106">
        <v>415</v>
      </c>
      <c r="D2106" t="s">
        <v>62</v>
      </c>
      <c r="E2106" t="s">
        <v>62</v>
      </c>
      <c r="F2106">
        <v>0</v>
      </c>
      <c r="G2106">
        <v>166</v>
      </c>
      <c r="H2106">
        <v>102</v>
      </c>
      <c r="I2106">
        <v>28.22</v>
      </c>
      <c r="J2106">
        <v>236.1</v>
      </c>
      <c r="K2106">
        <v>97</v>
      </c>
      <c r="L2106">
        <v>20.07</v>
      </c>
      <c r="M2106">
        <v>134.3</v>
      </c>
      <c r="N2106">
        <v>93</v>
      </c>
      <c r="O2106">
        <v>6.04</v>
      </c>
      <c r="P2106">
        <v>10.9</v>
      </c>
      <c r="Q2106">
        <v>4</v>
      </c>
      <c r="R2106">
        <v>2.94</v>
      </c>
      <c r="S2106">
        <v>1</v>
      </c>
      <c r="T2106" t="b">
        <v>0</v>
      </c>
    </row>
    <row r="2107" spans="1:20">
      <c r="A2107" t="s">
        <v>99</v>
      </c>
      <c r="B2107">
        <v>64</v>
      </c>
      <c r="C2107">
        <v>415</v>
      </c>
      <c r="D2107" t="s">
        <v>62</v>
      </c>
      <c r="E2107" t="s">
        <v>62</v>
      </c>
      <c r="F2107">
        <v>0</v>
      </c>
      <c r="G2107">
        <v>174.5</v>
      </c>
      <c r="H2107">
        <v>98</v>
      </c>
      <c r="I2107">
        <v>29.67</v>
      </c>
      <c r="J2107">
        <v>180.2</v>
      </c>
      <c r="K2107">
        <v>103</v>
      </c>
      <c r="L2107">
        <v>15.32</v>
      </c>
      <c r="M2107">
        <v>179</v>
      </c>
      <c r="N2107">
        <v>89</v>
      </c>
      <c r="O2107">
        <v>8.06</v>
      </c>
      <c r="P2107">
        <v>10.7</v>
      </c>
      <c r="Q2107">
        <v>2</v>
      </c>
      <c r="R2107">
        <v>2.89</v>
      </c>
      <c r="S2107">
        <v>2</v>
      </c>
      <c r="T2107" t="b">
        <v>0</v>
      </c>
    </row>
    <row r="2108" spans="1:20">
      <c r="A2108" t="s">
        <v>91</v>
      </c>
      <c r="B2108">
        <v>116</v>
      </c>
      <c r="C2108">
        <v>510</v>
      </c>
      <c r="D2108" t="s">
        <v>63</v>
      </c>
      <c r="E2108" t="s">
        <v>63</v>
      </c>
      <c r="F2108">
        <v>27</v>
      </c>
      <c r="G2108">
        <v>175.5</v>
      </c>
      <c r="H2108">
        <v>137</v>
      </c>
      <c r="I2108">
        <v>29.84</v>
      </c>
      <c r="J2108">
        <v>210.6</v>
      </c>
      <c r="K2108">
        <v>60</v>
      </c>
      <c r="L2108">
        <v>17.9</v>
      </c>
      <c r="M2108">
        <v>294.8</v>
      </c>
      <c r="N2108">
        <v>121</v>
      </c>
      <c r="O2108">
        <v>13.27</v>
      </c>
      <c r="P2108">
        <v>6.9</v>
      </c>
      <c r="Q2108">
        <v>5</v>
      </c>
      <c r="R2108">
        <v>1.86</v>
      </c>
      <c r="S2108">
        <v>1</v>
      </c>
      <c r="T2108" t="b">
        <v>0</v>
      </c>
    </row>
    <row r="2109" spans="1:20">
      <c r="A2109" t="s">
        <v>115</v>
      </c>
      <c r="B2109">
        <v>147</v>
      </c>
      <c r="C2109">
        <v>408</v>
      </c>
      <c r="D2109" t="s">
        <v>63</v>
      </c>
      <c r="E2109" t="s">
        <v>63</v>
      </c>
      <c r="F2109">
        <v>35</v>
      </c>
      <c r="G2109">
        <v>157.5</v>
      </c>
      <c r="H2109">
        <v>109</v>
      </c>
      <c r="I2109">
        <v>26.78</v>
      </c>
      <c r="J2109">
        <v>189.6</v>
      </c>
      <c r="K2109">
        <v>67</v>
      </c>
      <c r="L2109">
        <v>16.12</v>
      </c>
      <c r="M2109">
        <v>227</v>
      </c>
      <c r="N2109">
        <v>76</v>
      </c>
      <c r="O2109">
        <v>10.22</v>
      </c>
      <c r="P2109">
        <v>11.1</v>
      </c>
      <c r="Q2109">
        <v>2</v>
      </c>
      <c r="R2109">
        <v>3</v>
      </c>
      <c r="S2109">
        <v>3</v>
      </c>
      <c r="T2109" t="b">
        <v>1</v>
      </c>
    </row>
    <row r="2110" spans="1:20">
      <c r="A2110" t="s">
        <v>69</v>
      </c>
      <c r="B2110">
        <v>84</v>
      </c>
      <c r="C2110">
        <v>415</v>
      </c>
      <c r="D2110" t="s">
        <v>62</v>
      </c>
      <c r="E2110" t="s">
        <v>63</v>
      </c>
      <c r="F2110">
        <v>35</v>
      </c>
      <c r="G2110">
        <v>207.5</v>
      </c>
      <c r="H2110">
        <v>138</v>
      </c>
      <c r="I2110">
        <v>35.28</v>
      </c>
      <c r="J2110">
        <v>201</v>
      </c>
      <c r="K2110">
        <v>116</v>
      </c>
      <c r="L2110">
        <v>17.09</v>
      </c>
      <c r="M2110">
        <v>164.5</v>
      </c>
      <c r="N2110">
        <v>107</v>
      </c>
      <c r="O2110">
        <v>7.4</v>
      </c>
      <c r="P2110">
        <v>7.5</v>
      </c>
      <c r="Q2110">
        <v>16</v>
      </c>
      <c r="R2110">
        <v>2.03</v>
      </c>
      <c r="S2110">
        <v>4</v>
      </c>
      <c r="T2110" t="b">
        <v>0</v>
      </c>
    </row>
    <row r="2111" spans="1:20">
      <c r="A2111" t="s">
        <v>86</v>
      </c>
      <c r="B2111">
        <v>86</v>
      </c>
      <c r="C2111">
        <v>510</v>
      </c>
      <c r="D2111" t="s">
        <v>62</v>
      </c>
      <c r="E2111" t="s">
        <v>63</v>
      </c>
      <c r="F2111">
        <v>16</v>
      </c>
      <c r="G2111">
        <v>144.8</v>
      </c>
      <c r="H2111">
        <v>105</v>
      </c>
      <c r="I2111">
        <v>24.62</v>
      </c>
      <c r="J2111">
        <v>206.2</v>
      </c>
      <c r="K2111">
        <v>111</v>
      </c>
      <c r="L2111">
        <v>17.53</v>
      </c>
      <c r="M2111">
        <v>255.4</v>
      </c>
      <c r="N2111">
        <v>117</v>
      </c>
      <c r="O2111">
        <v>11.49</v>
      </c>
      <c r="P2111">
        <v>11.6</v>
      </c>
      <c r="Q2111">
        <v>2</v>
      </c>
      <c r="R2111">
        <v>3.13</v>
      </c>
      <c r="S2111">
        <v>4</v>
      </c>
      <c r="T2111" t="b">
        <v>0</v>
      </c>
    </row>
    <row r="2112" spans="1:20">
      <c r="A2112" t="s">
        <v>97</v>
      </c>
      <c r="B2112">
        <v>134</v>
      </c>
      <c r="C2112">
        <v>415</v>
      </c>
      <c r="D2112" t="s">
        <v>62</v>
      </c>
      <c r="E2112" t="s">
        <v>62</v>
      </c>
      <c r="F2112">
        <v>0</v>
      </c>
      <c r="G2112">
        <v>258.8</v>
      </c>
      <c r="H2112">
        <v>85</v>
      </c>
      <c r="I2112">
        <v>44</v>
      </c>
      <c r="J2112">
        <v>129.5</v>
      </c>
      <c r="K2112">
        <v>114</v>
      </c>
      <c r="L2112">
        <v>11.01</v>
      </c>
      <c r="M2112">
        <v>193.6</v>
      </c>
      <c r="N2112">
        <v>106</v>
      </c>
      <c r="O2112">
        <v>8.71</v>
      </c>
      <c r="P2112">
        <v>10.9</v>
      </c>
      <c r="Q2112">
        <v>7</v>
      </c>
      <c r="R2112">
        <v>2.94</v>
      </c>
      <c r="S2112">
        <v>2</v>
      </c>
      <c r="T2112" t="b">
        <v>0</v>
      </c>
    </row>
    <row r="2113" spans="1:20">
      <c r="A2113" t="s">
        <v>110</v>
      </c>
      <c r="B2113">
        <v>105</v>
      </c>
      <c r="C2113">
        <v>415</v>
      </c>
      <c r="D2113" t="s">
        <v>62</v>
      </c>
      <c r="E2113" t="s">
        <v>62</v>
      </c>
      <c r="F2113">
        <v>0</v>
      </c>
      <c r="G2113">
        <v>226.9</v>
      </c>
      <c r="H2113">
        <v>106</v>
      </c>
      <c r="I2113">
        <v>38.57</v>
      </c>
      <c r="J2113">
        <v>182.2</v>
      </c>
      <c r="K2113">
        <v>77</v>
      </c>
      <c r="L2113">
        <v>15.49</v>
      </c>
      <c r="M2113">
        <v>203.9</v>
      </c>
      <c r="N2113">
        <v>107</v>
      </c>
      <c r="O2113">
        <v>9.18</v>
      </c>
      <c r="P2113">
        <v>11.6</v>
      </c>
      <c r="Q2113">
        <v>2</v>
      </c>
      <c r="R2113">
        <v>3.13</v>
      </c>
      <c r="S2113">
        <v>0</v>
      </c>
      <c r="T2113" t="b">
        <v>1</v>
      </c>
    </row>
    <row r="2114" spans="1:20">
      <c r="A2114" t="s">
        <v>92</v>
      </c>
      <c r="B2114">
        <v>88</v>
      </c>
      <c r="C2114">
        <v>408</v>
      </c>
      <c r="D2114" t="s">
        <v>62</v>
      </c>
      <c r="E2114" t="s">
        <v>62</v>
      </c>
      <c r="F2114">
        <v>0</v>
      </c>
      <c r="G2114">
        <v>152.9</v>
      </c>
      <c r="H2114">
        <v>119</v>
      </c>
      <c r="I2114">
        <v>25.99</v>
      </c>
      <c r="J2114">
        <v>171.2</v>
      </c>
      <c r="K2114">
        <v>107</v>
      </c>
      <c r="L2114">
        <v>14.55</v>
      </c>
      <c r="M2114">
        <v>257</v>
      </c>
      <c r="N2114">
        <v>106</v>
      </c>
      <c r="O2114">
        <v>11.57</v>
      </c>
      <c r="P2114">
        <v>12</v>
      </c>
      <c r="Q2114">
        <v>5</v>
      </c>
      <c r="R2114">
        <v>3.24</v>
      </c>
      <c r="S2114">
        <v>2</v>
      </c>
      <c r="T2114" t="b">
        <v>0</v>
      </c>
    </row>
    <row r="2115" spans="1:20">
      <c r="A2115" t="s">
        <v>90</v>
      </c>
      <c r="B2115">
        <v>86</v>
      </c>
      <c r="C2115">
        <v>408</v>
      </c>
      <c r="D2115" t="s">
        <v>62</v>
      </c>
      <c r="E2115" t="s">
        <v>62</v>
      </c>
      <c r="F2115">
        <v>0</v>
      </c>
      <c r="G2115">
        <v>150.8</v>
      </c>
      <c r="H2115">
        <v>85</v>
      </c>
      <c r="I2115">
        <v>25.64</v>
      </c>
      <c r="J2115">
        <v>295.9</v>
      </c>
      <c r="K2115">
        <v>88</v>
      </c>
      <c r="L2115">
        <v>25.15</v>
      </c>
      <c r="M2115">
        <v>247.2</v>
      </c>
      <c r="N2115">
        <v>104</v>
      </c>
      <c r="O2115">
        <v>11.12</v>
      </c>
      <c r="P2115">
        <v>12.5</v>
      </c>
      <c r="Q2115">
        <v>1</v>
      </c>
      <c r="R2115">
        <v>3.38</v>
      </c>
      <c r="S2115">
        <v>1</v>
      </c>
      <c r="T2115" t="b">
        <v>0</v>
      </c>
    </row>
    <row r="2116" spans="1:20">
      <c r="A2116" t="s">
        <v>87</v>
      </c>
      <c r="B2116">
        <v>141</v>
      </c>
      <c r="C2116">
        <v>415</v>
      </c>
      <c r="D2116" t="s">
        <v>62</v>
      </c>
      <c r="E2116" t="s">
        <v>63</v>
      </c>
      <c r="F2116">
        <v>32</v>
      </c>
      <c r="G2116">
        <v>322.4</v>
      </c>
      <c r="H2116">
        <v>92</v>
      </c>
      <c r="I2116">
        <v>54.81</v>
      </c>
      <c r="J2116">
        <v>283.2</v>
      </c>
      <c r="K2116">
        <v>107</v>
      </c>
      <c r="L2116">
        <v>24.07</v>
      </c>
      <c r="M2116">
        <v>209.5</v>
      </c>
      <c r="N2116">
        <v>111</v>
      </c>
      <c r="O2116">
        <v>9.43</v>
      </c>
      <c r="P2116">
        <v>6.7</v>
      </c>
      <c r="Q2116">
        <v>3</v>
      </c>
      <c r="R2116">
        <v>1.81</v>
      </c>
      <c r="S2116">
        <v>1</v>
      </c>
      <c r="T2116" t="b">
        <v>1</v>
      </c>
    </row>
    <row r="2117" spans="1:20">
      <c r="A2117" t="s">
        <v>103</v>
      </c>
      <c r="B2117">
        <v>148</v>
      </c>
      <c r="C2117">
        <v>408</v>
      </c>
      <c r="D2117" t="s">
        <v>62</v>
      </c>
      <c r="E2117" t="s">
        <v>62</v>
      </c>
      <c r="F2117">
        <v>0</v>
      </c>
      <c r="G2117">
        <v>153.6</v>
      </c>
      <c r="H2117">
        <v>148</v>
      </c>
      <c r="I2117">
        <v>26.11</v>
      </c>
      <c r="J2117">
        <v>262.1</v>
      </c>
      <c r="K2117">
        <v>87</v>
      </c>
      <c r="L2117">
        <v>22.28</v>
      </c>
      <c r="M2117">
        <v>225.5</v>
      </c>
      <c r="N2117">
        <v>99</v>
      </c>
      <c r="O2117">
        <v>10.15</v>
      </c>
      <c r="P2117">
        <v>9.8</v>
      </c>
      <c r="Q2117">
        <v>3</v>
      </c>
      <c r="R2117">
        <v>2.65</v>
      </c>
      <c r="S2117">
        <v>2</v>
      </c>
      <c r="T2117" t="b">
        <v>0</v>
      </c>
    </row>
    <row r="2118" spans="1:20">
      <c r="A2118" t="s">
        <v>102</v>
      </c>
      <c r="B2118">
        <v>163</v>
      </c>
      <c r="C2118">
        <v>408</v>
      </c>
      <c r="D2118" t="s">
        <v>62</v>
      </c>
      <c r="E2118" t="s">
        <v>63</v>
      </c>
      <c r="F2118">
        <v>22</v>
      </c>
      <c r="G2118">
        <v>215.1</v>
      </c>
      <c r="H2118">
        <v>91</v>
      </c>
      <c r="I2118">
        <v>36.57</v>
      </c>
      <c r="J2118">
        <v>138.9</v>
      </c>
      <c r="K2118">
        <v>102</v>
      </c>
      <c r="L2118">
        <v>11.81</v>
      </c>
      <c r="M2118">
        <v>146.2</v>
      </c>
      <c r="N2118">
        <v>109</v>
      </c>
      <c r="O2118">
        <v>6.58</v>
      </c>
      <c r="P2118">
        <v>12.4</v>
      </c>
      <c r="Q2118">
        <v>2</v>
      </c>
      <c r="R2118">
        <v>3.35</v>
      </c>
      <c r="S2118">
        <v>2</v>
      </c>
      <c r="T2118" t="b">
        <v>0</v>
      </c>
    </row>
    <row r="2119" spans="1:20">
      <c r="A2119" t="s">
        <v>75</v>
      </c>
      <c r="B2119">
        <v>89</v>
      </c>
      <c r="C2119">
        <v>415</v>
      </c>
      <c r="D2119" t="s">
        <v>62</v>
      </c>
      <c r="E2119" t="s">
        <v>63</v>
      </c>
      <c r="F2119">
        <v>35</v>
      </c>
      <c r="G2119">
        <v>174.4</v>
      </c>
      <c r="H2119">
        <v>108</v>
      </c>
      <c r="I2119">
        <v>29.65</v>
      </c>
      <c r="J2119">
        <v>196.7</v>
      </c>
      <c r="K2119">
        <v>100</v>
      </c>
      <c r="L2119">
        <v>16.72</v>
      </c>
      <c r="M2119">
        <v>127.4</v>
      </c>
      <c r="N2119">
        <v>74</v>
      </c>
      <c r="O2119">
        <v>5.73</v>
      </c>
      <c r="P2119">
        <v>11.8</v>
      </c>
      <c r="Q2119">
        <v>3</v>
      </c>
      <c r="R2119">
        <v>3.19</v>
      </c>
      <c r="S2119">
        <v>1</v>
      </c>
      <c r="T2119" t="b">
        <v>0</v>
      </c>
    </row>
    <row r="2120" spans="1:20">
      <c r="A2120" t="s">
        <v>73</v>
      </c>
      <c r="B2120">
        <v>63</v>
      </c>
      <c r="C2120">
        <v>415</v>
      </c>
      <c r="D2120" t="s">
        <v>62</v>
      </c>
      <c r="E2120" t="s">
        <v>62</v>
      </c>
      <c r="F2120">
        <v>0</v>
      </c>
      <c r="G2120">
        <v>180.5</v>
      </c>
      <c r="H2120">
        <v>126</v>
      </c>
      <c r="I2120">
        <v>30.69</v>
      </c>
      <c r="J2120">
        <v>230</v>
      </c>
      <c r="K2120">
        <v>98</v>
      </c>
      <c r="L2120">
        <v>19.55</v>
      </c>
      <c r="M2120">
        <v>232.5</v>
      </c>
      <c r="N2120">
        <v>73</v>
      </c>
      <c r="O2120">
        <v>10.46</v>
      </c>
      <c r="P2120">
        <v>10.6</v>
      </c>
      <c r="Q2120">
        <v>3</v>
      </c>
      <c r="R2120">
        <v>2.86</v>
      </c>
      <c r="S2120">
        <v>0</v>
      </c>
      <c r="T2120" t="b">
        <v>0</v>
      </c>
    </row>
    <row r="2121" spans="1:20">
      <c r="A2121" t="s">
        <v>67</v>
      </c>
      <c r="B2121">
        <v>102</v>
      </c>
      <c r="C2121">
        <v>415</v>
      </c>
      <c r="D2121" t="s">
        <v>62</v>
      </c>
      <c r="E2121" t="s">
        <v>62</v>
      </c>
      <c r="F2121">
        <v>0</v>
      </c>
      <c r="G2121">
        <v>123.1</v>
      </c>
      <c r="H2121">
        <v>106</v>
      </c>
      <c r="I2121">
        <v>20.93</v>
      </c>
      <c r="J2121">
        <v>182</v>
      </c>
      <c r="K2121">
        <v>102</v>
      </c>
      <c r="L2121">
        <v>15.47</v>
      </c>
      <c r="M2121">
        <v>244.6</v>
      </c>
      <c r="N2121">
        <v>75</v>
      </c>
      <c r="O2121">
        <v>11.01</v>
      </c>
      <c r="P2121">
        <v>12.6</v>
      </c>
      <c r="Q2121">
        <v>7</v>
      </c>
      <c r="R2121">
        <v>3.4</v>
      </c>
      <c r="S2121">
        <v>2</v>
      </c>
      <c r="T2121" t="b">
        <v>0</v>
      </c>
    </row>
    <row r="2122" spans="1:20">
      <c r="A2122" t="s">
        <v>99</v>
      </c>
      <c r="B2122">
        <v>104</v>
      </c>
      <c r="C2122">
        <v>408</v>
      </c>
      <c r="D2122" t="s">
        <v>62</v>
      </c>
      <c r="E2122" t="s">
        <v>62</v>
      </c>
      <c r="F2122">
        <v>0</v>
      </c>
      <c r="G2122">
        <v>200.2</v>
      </c>
      <c r="H2122">
        <v>92</v>
      </c>
      <c r="I2122">
        <v>34.03</v>
      </c>
      <c r="J2122">
        <v>118.7</v>
      </c>
      <c r="K2122">
        <v>87</v>
      </c>
      <c r="L2122">
        <v>10.09</v>
      </c>
      <c r="M2122">
        <v>236.6</v>
      </c>
      <c r="N2122">
        <v>65</v>
      </c>
      <c r="O2122">
        <v>10.65</v>
      </c>
      <c r="P2122">
        <v>6</v>
      </c>
      <c r="Q2122">
        <v>6</v>
      </c>
      <c r="R2122">
        <v>1.62</v>
      </c>
      <c r="S2122">
        <v>2</v>
      </c>
      <c r="T2122" t="b">
        <v>0</v>
      </c>
    </row>
    <row r="2123" spans="1:20">
      <c r="A2123" t="s">
        <v>76</v>
      </c>
      <c r="B2123">
        <v>63</v>
      </c>
      <c r="C2123">
        <v>415</v>
      </c>
      <c r="D2123" t="s">
        <v>62</v>
      </c>
      <c r="E2123" t="s">
        <v>63</v>
      </c>
      <c r="F2123">
        <v>33</v>
      </c>
      <c r="G2123">
        <v>184.2</v>
      </c>
      <c r="H2123">
        <v>111</v>
      </c>
      <c r="I2123">
        <v>31.31</v>
      </c>
      <c r="J2123">
        <v>312.6</v>
      </c>
      <c r="K2123">
        <v>89</v>
      </c>
      <c r="L2123">
        <v>26.57</v>
      </c>
      <c r="M2123">
        <v>264</v>
      </c>
      <c r="N2123">
        <v>55</v>
      </c>
      <c r="O2123">
        <v>11.88</v>
      </c>
      <c r="P2123">
        <v>12.2</v>
      </c>
      <c r="Q2123">
        <v>4</v>
      </c>
      <c r="R2123">
        <v>3.29</v>
      </c>
      <c r="S2123">
        <v>1</v>
      </c>
      <c r="T2123" t="b">
        <v>0</v>
      </c>
    </row>
    <row r="2124" spans="1:20">
      <c r="A2124" t="s">
        <v>107</v>
      </c>
      <c r="B2124">
        <v>105</v>
      </c>
      <c r="C2124">
        <v>415</v>
      </c>
      <c r="D2124" t="s">
        <v>62</v>
      </c>
      <c r="E2124" t="s">
        <v>63</v>
      </c>
      <c r="F2124">
        <v>24</v>
      </c>
      <c r="G2124">
        <v>274.7</v>
      </c>
      <c r="H2124">
        <v>99</v>
      </c>
      <c r="I2124">
        <v>46.7</v>
      </c>
      <c r="J2124">
        <v>193.5</v>
      </c>
      <c r="K2124">
        <v>118</v>
      </c>
      <c r="L2124">
        <v>16.45</v>
      </c>
      <c r="M2124">
        <v>299.6</v>
      </c>
      <c r="N2124">
        <v>109</v>
      </c>
      <c r="O2124">
        <v>13.48</v>
      </c>
      <c r="P2124">
        <v>10.8</v>
      </c>
      <c r="Q2124">
        <v>3</v>
      </c>
      <c r="R2124">
        <v>2.92</v>
      </c>
      <c r="S2124">
        <v>3</v>
      </c>
      <c r="T2124" t="b">
        <v>0</v>
      </c>
    </row>
    <row r="2125" spans="1:20">
      <c r="A2125" t="s">
        <v>105</v>
      </c>
      <c r="B2125">
        <v>68</v>
      </c>
      <c r="C2125">
        <v>415</v>
      </c>
      <c r="D2125" t="s">
        <v>63</v>
      </c>
      <c r="E2125" t="s">
        <v>63</v>
      </c>
      <c r="F2125">
        <v>39</v>
      </c>
      <c r="G2125">
        <v>142</v>
      </c>
      <c r="H2125">
        <v>140</v>
      </c>
      <c r="I2125">
        <v>24.14</v>
      </c>
      <c r="J2125">
        <v>241.6</v>
      </c>
      <c r="K2125">
        <v>89</v>
      </c>
      <c r="L2125">
        <v>20.54</v>
      </c>
      <c r="M2125">
        <v>302</v>
      </c>
      <c r="N2125">
        <v>72</v>
      </c>
      <c r="O2125">
        <v>13.59</v>
      </c>
      <c r="P2125">
        <v>11.3</v>
      </c>
      <c r="Q2125">
        <v>5</v>
      </c>
      <c r="R2125">
        <v>3.05</v>
      </c>
      <c r="S2125">
        <v>1</v>
      </c>
      <c r="T2125" t="b">
        <v>0</v>
      </c>
    </row>
    <row r="2126" spans="1:20">
      <c r="A2126" t="s">
        <v>82</v>
      </c>
      <c r="B2126">
        <v>63</v>
      </c>
      <c r="C2126">
        <v>408</v>
      </c>
      <c r="D2126" t="s">
        <v>63</v>
      </c>
      <c r="E2126" t="s">
        <v>63</v>
      </c>
      <c r="F2126">
        <v>21</v>
      </c>
      <c r="G2126">
        <v>151.5</v>
      </c>
      <c r="H2126">
        <v>99</v>
      </c>
      <c r="I2126">
        <v>25.76</v>
      </c>
      <c r="J2126">
        <v>147.8</v>
      </c>
      <c r="K2126">
        <v>89</v>
      </c>
      <c r="L2126">
        <v>12.56</v>
      </c>
      <c r="M2126">
        <v>210.4</v>
      </c>
      <c r="N2126">
        <v>114</v>
      </c>
      <c r="O2126">
        <v>9.47</v>
      </c>
      <c r="P2126">
        <v>10</v>
      </c>
      <c r="Q2126">
        <v>4</v>
      </c>
      <c r="R2126">
        <v>2.7</v>
      </c>
      <c r="S2126">
        <v>1</v>
      </c>
      <c r="T2126" t="b">
        <v>0</v>
      </c>
    </row>
    <row r="2127" spans="1:20">
      <c r="A2127" t="s">
        <v>61</v>
      </c>
      <c r="B2127">
        <v>91</v>
      </c>
      <c r="C2127">
        <v>408</v>
      </c>
      <c r="D2127" t="s">
        <v>63</v>
      </c>
      <c r="E2127" t="s">
        <v>62</v>
      </c>
      <c r="F2127">
        <v>0</v>
      </c>
      <c r="G2127">
        <v>246.4</v>
      </c>
      <c r="H2127">
        <v>110</v>
      </c>
      <c r="I2127">
        <v>41.89</v>
      </c>
      <c r="J2127">
        <v>182</v>
      </c>
      <c r="K2127">
        <v>98</v>
      </c>
      <c r="L2127">
        <v>15.47</v>
      </c>
      <c r="M2127">
        <v>157.6</v>
      </c>
      <c r="N2127">
        <v>106</v>
      </c>
      <c r="O2127">
        <v>7.09</v>
      </c>
      <c r="P2127">
        <v>12.1</v>
      </c>
      <c r="Q2127">
        <v>2</v>
      </c>
      <c r="R2127">
        <v>3.27</v>
      </c>
      <c r="S2127">
        <v>2</v>
      </c>
      <c r="T2127" t="b">
        <v>1</v>
      </c>
    </row>
    <row r="2128" spans="1:20">
      <c r="A2128" t="s">
        <v>100</v>
      </c>
      <c r="B2128">
        <v>101</v>
      </c>
      <c r="C2128">
        <v>415</v>
      </c>
      <c r="D2128" t="s">
        <v>62</v>
      </c>
      <c r="E2128" t="s">
        <v>62</v>
      </c>
      <c r="F2128">
        <v>0</v>
      </c>
      <c r="G2128">
        <v>232.7</v>
      </c>
      <c r="H2128">
        <v>114</v>
      </c>
      <c r="I2128">
        <v>39.56</v>
      </c>
      <c r="J2128">
        <v>186.4</v>
      </c>
      <c r="K2128">
        <v>123</v>
      </c>
      <c r="L2128">
        <v>15.84</v>
      </c>
      <c r="M2128">
        <v>153.3</v>
      </c>
      <c r="N2128">
        <v>122</v>
      </c>
      <c r="O2128">
        <v>6.9</v>
      </c>
      <c r="P2128">
        <v>11.5</v>
      </c>
      <c r="Q2128">
        <v>6</v>
      </c>
      <c r="R2128">
        <v>3.11</v>
      </c>
      <c r="S2128">
        <v>5</v>
      </c>
      <c r="T2128" t="b">
        <v>0</v>
      </c>
    </row>
    <row r="2129" spans="1:20">
      <c r="A2129" t="s">
        <v>111</v>
      </c>
      <c r="B2129">
        <v>116</v>
      </c>
      <c r="C2129">
        <v>408</v>
      </c>
      <c r="D2129" t="s">
        <v>62</v>
      </c>
      <c r="E2129" t="s">
        <v>62</v>
      </c>
      <c r="F2129">
        <v>0</v>
      </c>
      <c r="G2129">
        <v>288</v>
      </c>
      <c r="H2129">
        <v>120</v>
      </c>
      <c r="I2129">
        <v>48.96</v>
      </c>
      <c r="J2129">
        <v>255.8</v>
      </c>
      <c r="K2129">
        <v>90</v>
      </c>
      <c r="L2129">
        <v>21.74</v>
      </c>
      <c r="M2129">
        <v>233.4</v>
      </c>
      <c r="N2129">
        <v>99</v>
      </c>
      <c r="O2129">
        <v>10.5</v>
      </c>
      <c r="P2129">
        <v>13.4</v>
      </c>
      <c r="Q2129">
        <v>4</v>
      </c>
      <c r="R2129">
        <v>3.62</v>
      </c>
      <c r="S2129">
        <v>0</v>
      </c>
      <c r="T2129" t="b">
        <v>1</v>
      </c>
    </row>
    <row r="2130" spans="1:20">
      <c r="A2130" t="s">
        <v>82</v>
      </c>
      <c r="B2130">
        <v>131</v>
      </c>
      <c r="C2130">
        <v>415</v>
      </c>
      <c r="D2130" t="s">
        <v>62</v>
      </c>
      <c r="E2130" t="s">
        <v>63</v>
      </c>
      <c r="F2130">
        <v>23</v>
      </c>
      <c r="G2130">
        <v>170.8</v>
      </c>
      <c r="H2130">
        <v>145</v>
      </c>
      <c r="I2130">
        <v>29.04</v>
      </c>
      <c r="J2130">
        <v>236.7</v>
      </c>
      <c r="K2130">
        <v>93</v>
      </c>
      <c r="L2130">
        <v>20.12</v>
      </c>
      <c r="M2130">
        <v>294.5</v>
      </c>
      <c r="N2130">
        <v>100</v>
      </c>
      <c r="O2130">
        <v>13.25</v>
      </c>
      <c r="P2130">
        <v>12.7</v>
      </c>
      <c r="Q2130">
        <v>1</v>
      </c>
      <c r="R2130">
        <v>3.43</v>
      </c>
      <c r="S2130">
        <v>1</v>
      </c>
      <c r="T2130" t="b">
        <v>0</v>
      </c>
    </row>
    <row r="2131" spans="1:20">
      <c r="A2131" t="s">
        <v>102</v>
      </c>
      <c r="B2131">
        <v>84</v>
      </c>
      <c r="C2131">
        <v>415</v>
      </c>
      <c r="D2131" t="s">
        <v>62</v>
      </c>
      <c r="E2131" t="s">
        <v>62</v>
      </c>
      <c r="F2131">
        <v>0</v>
      </c>
      <c r="G2131">
        <v>216.1</v>
      </c>
      <c r="H2131">
        <v>114</v>
      </c>
      <c r="I2131">
        <v>36.74</v>
      </c>
      <c r="J2131">
        <v>197.5</v>
      </c>
      <c r="K2131">
        <v>107</v>
      </c>
      <c r="L2131">
        <v>16.79</v>
      </c>
      <c r="M2131">
        <v>217.8</v>
      </c>
      <c r="N2131">
        <v>104</v>
      </c>
      <c r="O2131">
        <v>9.8</v>
      </c>
      <c r="P2131">
        <v>9.8</v>
      </c>
      <c r="Q2131">
        <v>3</v>
      </c>
      <c r="R2131">
        <v>2.65</v>
      </c>
      <c r="S2131">
        <v>1</v>
      </c>
      <c r="T2131" t="b">
        <v>0</v>
      </c>
    </row>
    <row r="2132" spans="1:20">
      <c r="A2132" t="s">
        <v>85</v>
      </c>
      <c r="B2132">
        <v>104</v>
      </c>
      <c r="C2132">
        <v>415</v>
      </c>
      <c r="D2132" t="s">
        <v>62</v>
      </c>
      <c r="E2132" t="s">
        <v>62</v>
      </c>
      <c r="F2132">
        <v>0</v>
      </c>
      <c r="G2132">
        <v>138.7</v>
      </c>
      <c r="H2132">
        <v>100</v>
      </c>
      <c r="I2132">
        <v>23.58</v>
      </c>
      <c r="J2132">
        <v>215.4</v>
      </c>
      <c r="K2132">
        <v>58</v>
      </c>
      <c r="L2132">
        <v>18.31</v>
      </c>
      <c r="M2132">
        <v>164.3</v>
      </c>
      <c r="N2132">
        <v>98</v>
      </c>
      <c r="O2132">
        <v>7.39</v>
      </c>
      <c r="P2132">
        <v>4.9</v>
      </c>
      <c r="Q2132">
        <v>4</v>
      </c>
      <c r="R2132">
        <v>1.32</v>
      </c>
      <c r="S2132">
        <v>2</v>
      </c>
      <c r="T2132" t="b">
        <v>0</v>
      </c>
    </row>
    <row r="2133" spans="1:20">
      <c r="A2133" t="s">
        <v>81</v>
      </c>
      <c r="B2133">
        <v>108</v>
      </c>
      <c r="C2133">
        <v>510</v>
      </c>
      <c r="D2133" t="s">
        <v>62</v>
      </c>
      <c r="E2133" t="s">
        <v>62</v>
      </c>
      <c r="F2133">
        <v>0</v>
      </c>
      <c r="G2133">
        <v>210.7</v>
      </c>
      <c r="H2133">
        <v>112</v>
      </c>
      <c r="I2133">
        <v>35.82</v>
      </c>
      <c r="J2133">
        <v>238.7</v>
      </c>
      <c r="K2133">
        <v>73</v>
      </c>
      <c r="L2133">
        <v>20.29</v>
      </c>
      <c r="M2133">
        <v>253.6</v>
      </c>
      <c r="N2133">
        <v>90</v>
      </c>
      <c r="O2133">
        <v>11.41</v>
      </c>
      <c r="P2133">
        <v>9.2</v>
      </c>
      <c r="Q2133">
        <v>5</v>
      </c>
      <c r="R2133">
        <v>2.48</v>
      </c>
      <c r="S2133">
        <v>3</v>
      </c>
      <c r="T2133" t="b">
        <v>0</v>
      </c>
    </row>
    <row r="2134" spans="1:20">
      <c r="A2134" t="s">
        <v>106</v>
      </c>
      <c r="B2134">
        <v>111</v>
      </c>
      <c r="C2134">
        <v>415</v>
      </c>
      <c r="D2134" t="s">
        <v>62</v>
      </c>
      <c r="E2134" t="s">
        <v>62</v>
      </c>
      <c r="F2134">
        <v>0</v>
      </c>
      <c r="G2134">
        <v>181.8</v>
      </c>
      <c r="H2134">
        <v>117</v>
      </c>
      <c r="I2134">
        <v>30.91</v>
      </c>
      <c r="J2134">
        <v>158.1</v>
      </c>
      <c r="K2134">
        <v>91</v>
      </c>
      <c r="L2134">
        <v>13.44</v>
      </c>
      <c r="M2134">
        <v>266.2</v>
      </c>
      <c r="N2134">
        <v>123</v>
      </c>
      <c r="O2134">
        <v>11.98</v>
      </c>
      <c r="P2134">
        <v>9.7</v>
      </c>
      <c r="Q2134">
        <v>9</v>
      </c>
      <c r="R2134">
        <v>2.62</v>
      </c>
      <c r="S2134">
        <v>0</v>
      </c>
      <c r="T2134" t="b">
        <v>0</v>
      </c>
    </row>
    <row r="2135" spans="1:20">
      <c r="A2135" t="s">
        <v>66</v>
      </c>
      <c r="B2135">
        <v>155</v>
      </c>
      <c r="C2135">
        <v>408</v>
      </c>
      <c r="D2135" t="s">
        <v>62</v>
      </c>
      <c r="E2135" t="s">
        <v>63</v>
      </c>
      <c r="F2135">
        <v>30</v>
      </c>
      <c r="G2135">
        <v>61.6</v>
      </c>
      <c r="H2135">
        <v>103</v>
      </c>
      <c r="I2135">
        <v>10.47</v>
      </c>
      <c r="J2135">
        <v>255.1</v>
      </c>
      <c r="K2135">
        <v>110</v>
      </c>
      <c r="L2135">
        <v>21.68</v>
      </c>
      <c r="M2135">
        <v>225.9</v>
      </c>
      <c r="N2135">
        <v>96</v>
      </c>
      <c r="O2135">
        <v>10.17</v>
      </c>
      <c r="P2135">
        <v>12.4</v>
      </c>
      <c r="Q2135">
        <v>5</v>
      </c>
      <c r="R2135">
        <v>3.35</v>
      </c>
      <c r="S2135">
        <v>1</v>
      </c>
      <c r="T2135" t="b">
        <v>0</v>
      </c>
    </row>
    <row r="2136" spans="1:20">
      <c r="A2136" t="s">
        <v>108</v>
      </c>
      <c r="B2136">
        <v>66</v>
      </c>
      <c r="C2136">
        <v>510</v>
      </c>
      <c r="D2136" t="s">
        <v>62</v>
      </c>
      <c r="E2136" t="s">
        <v>62</v>
      </c>
      <c r="F2136">
        <v>0</v>
      </c>
      <c r="G2136">
        <v>207.7</v>
      </c>
      <c r="H2136">
        <v>85</v>
      </c>
      <c r="I2136">
        <v>35.31</v>
      </c>
      <c r="J2136">
        <v>196.7</v>
      </c>
      <c r="K2136">
        <v>112</v>
      </c>
      <c r="L2136">
        <v>16.72</v>
      </c>
      <c r="M2136">
        <v>261.7</v>
      </c>
      <c r="N2136">
        <v>83</v>
      </c>
      <c r="O2136">
        <v>11.78</v>
      </c>
      <c r="P2136">
        <v>6.8</v>
      </c>
      <c r="Q2136">
        <v>3</v>
      </c>
      <c r="R2136">
        <v>1.84</v>
      </c>
      <c r="S2136">
        <v>1</v>
      </c>
      <c r="T2136" t="b">
        <v>0</v>
      </c>
    </row>
    <row r="2137" spans="1:20">
      <c r="A2137" t="s">
        <v>84</v>
      </c>
      <c r="B2137">
        <v>64</v>
      </c>
      <c r="C2137">
        <v>510</v>
      </c>
      <c r="D2137" t="s">
        <v>62</v>
      </c>
      <c r="E2137" t="s">
        <v>62</v>
      </c>
      <c r="F2137">
        <v>0</v>
      </c>
      <c r="G2137">
        <v>219.2</v>
      </c>
      <c r="H2137">
        <v>73</v>
      </c>
      <c r="I2137">
        <v>37.26</v>
      </c>
      <c r="J2137">
        <v>167</v>
      </c>
      <c r="K2137">
        <v>65</v>
      </c>
      <c r="L2137">
        <v>14.2</v>
      </c>
      <c r="M2137">
        <v>161.4</v>
      </c>
      <c r="N2137">
        <v>119</v>
      </c>
      <c r="O2137">
        <v>7.26</v>
      </c>
      <c r="P2137">
        <v>10</v>
      </c>
      <c r="Q2137">
        <v>5</v>
      </c>
      <c r="R2137">
        <v>2.7</v>
      </c>
      <c r="S2137">
        <v>1</v>
      </c>
      <c r="T2137" t="b">
        <v>0</v>
      </c>
    </row>
    <row r="2138" spans="1:20">
      <c r="A2138" t="s">
        <v>64</v>
      </c>
      <c r="B2138">
        <v>69</v>
      </c>
      <c r="C2138">
        <v>415</v>
      </c>
      <c r="D2138" t="s">
        <v>62</v>
      </c>
      <c r="E2138" t="s">
        <v>62</v>
      </c>
      <c r="F2138">
        <v>0</v>
      </c>
      <c r="G2138">
        <v>227</v>
      </c>
      <c r="H2138">
        <v>122</v>
      </c>
      <c r="I2138">
        <v>38.59</v>
      </c>
      <c r="J2138">
        <v>258.7</v>
      </c>
      <c r="K2138">
        <v>111</v>
      </c>
      <c r="L2138">
        <v>21.99</v>
      </c>
      <c r="M2138">
        <v>169.7</v>
      </c>
      <c r="N2138">
        <v>87</v>
      </c>
      <c r="O2138">
        <v>7.64</v>
      </c>
      <c r="P2138">
        <v>8.9</v>
      </c>
      <c r="Q2138">
        <v>1</v>
      </c>
      <c r="R2138">
        <v>2.4</v>
      </c>
      <c r="S2138">
        <v>2</v>
      </c>
      <c r="T2138" t="b">
        <v>0</v>
      </c>
    </row>
    <row r="2139" spans="1:20">
      <c r="A2139" t="s">
        <v>105</v>
      </c>
      <c r="B2139">
        <v>101</v>
      </c>
      <c r="C2139">
        <v>415</v>
      </c>
      <c r="D2139" t="s">
        <v>62</v>
      </c>
      <c r="E2139" t="s">
        <v>62</v>
      </c>
      <c r="F2139">
        <v>0</v>
      </c>
      <c r="G2139">
        <v>257.3</v>
      </c>
      <c r="H2139">
        <v>84</v>
      </c>
      <c r="I2139">
        <v>43.74</v>
      </c>
      <c r="J2139">
        <v>184.8</v>
      </c>
      <c r="K2139">
        <v>115</v>
      </c>
      <c r="L2139">
        <v>15.71</v>
      </c>
      <c r="M2139">
        <v>108.9</v>
      </c>
      <c r="N2139">
        <v>109</v>
      </c>
      <c r="O2139">
        <v>4.9</v>
      </c>
      <c r="P2139">
        <v>13.5</v>
      </c>
      <c r="Q2139">
        <v>7</v>
      </c>
      <c r="R2139">
        <v>3.65</v>
      </c>
      <c r="S2139">
        <v>0</v>
      </c>
      <c r="T2139" t="b">
        <v>0</v>
      </c>
    </row>
    <row r="2140" spans="1:20">
      <c r="A2140" t="s">
        <v>66</v>
      </c>
      <c r="B2140">
        <v>15</v>
      </c>
      <c r="C2140">
        <v>415</v>
      </c>
      <c r="D2140" t="s">
        <v>62</v>
      </c>
      <c r="E2140" t="s">
        <v>62</v>
      </c>
      <c r="F2140">
        <v>0</v>
      </c>
      <c r="G2140">
        <v>121.1</v>
      </c>
      <c r="H2140">
        <v>130</v>
      </c>
      <c r="I2140">
        <v>20.59</v>
      </c>
      <c r="J2140">
        <v>216</v>
      </c>
      <c r="K2140">
        <v>86</v>
      </c>
      <c r="L2140">
        <v>18.36</v>
      </c>
      <c r="M2140">
        <v>235.1</v>
      </c>
      <c r="N2140">
        <v>33</v>
      </c>
      <c r="O2140">
        <v>10.58</v>
      </c>
      <c r="P2140">
        <v>16.1</v>
      </c>
      <c r="Q2140">
        <v>5</v>
      </c>
      <c r="R2140">
        <v>4.35</v>
      </c>
      <c r="S2140">
        <v>2</v>
      </c>
      <c r="T2140" t="b">
        <v>0</v>
      </c>
    </row>
    <row r="2141" spans="1:20">
      <c r="A2141" t="s">
        <v>65</v>
      </c>
      <c r="B2141">
        <v>88</v>
      </c>
      <c r="C2141">
        <v>415</v>
      </c>
      <c r="D2141" t="s">
        <v>62</v>
      </c>
      <c r="E2141" t="s">
        <v>62</v>
      </c>
      <c r="F2141">
        <v>0</v>
      </c>
      <c r="G2141">
        <v>301.5</v>
      </c>
      <c r="H2141">
        <v>136</v>
      </c>
      <c r="I2141">
        <v>51.26</v>
      </c>
      <c r="J2141">
        <v>257.7</v>
      </c>
      <c r="K2141">
        <v>72</v>
      </c>
      <c r="L2141">
        <v>21.9</v>
      </c>
      <c r="M2141">
        <v>132.9</v>
      </c>
      <c r="N2141">
        <v>118</v>
      </c>
      <c r="O2141">
        <v>5.98</v>
      </c>
      <c r="P2141">
        <v>13.4</v>
      </c>
      <c r="Q2141">
        <v>2</v>
      </c>
      <c r="R2141">
        <v>3.62</v>
      </c>
      <c r="S2141">
        <v>4</v>
      </c>
      <c r="T2141" t="b">
        <v>1</v>
      </c>
    </row>
    <row r="2142" spans="1:20">
      <c r="A2142" t="s">
        <v>75</v>
      </c>
      <c r="B2142">
        <v>197</v>
      </c>
      <c r="C2142">
        <v>415</v>
      </c>
      <c r="D2142" t="s">
        <v>62</v>
      </c>
      <c r="E2142" t="s">
        <v>62</v>
      </c>
      <c r="F2142">
        <v>0</v>
      </c>
      <c r="G2142">
        <v>233.9</v>
      </c>
      <c r="H2142">
        <v>96</v>
      </c>
      <c r="I2142">
        <v>39.76</v>
      </c>
      <c r="J2142">
        <v>218.9</v>
      </c>
      <c r="K2142">
        <v>111</v>
      </c>
      <c r="L2142">
        <v>18.61</v>
      </c>
      <c r="M2142">
        <v>182.9</v>
      </c>
      <c r="N2142">
        <v>109</v>
      </c>
      <c r="O2142">
        <v>8.23</v>
      </c>
      <c r="P2142">
        <v>9.5</v>
      </c>
      <c r="Q2142">
        <v>3</v>
      </c>
      <c r="R2142">
        <v>2.57</v>
      </c>
      <c r="S2142">
        <v>0</v>
      </c>
      <c r="T2142" t="b">
        <v>0</v>
      </c>
    </row>
    <row r="2143" spans="1:20">
      <c r="A2143" t="s">
        <v>79</v>
      </c>
      <c r="B2143">
        <v>50</v>
      </c>
      <c r="C2143">
        <v>415</v>
      </c>
      <c r="D2143" t="s">
        <v>63</v>
      </c>
      <c r="E2143" t="s">
        <v>62</v>
      </c>
      <c r="F2143">
        <v>0</v>
      </c>
      <c r="G2143">
        <v>99.6</v>
      </c>
      <c r="H2143">
        <v>108</v>
      </c>
      <c r="I2143">
        <v>16.93</v>
      </c>
      <c r="J2143">
        <v>308.7</v>
      </c>
      <c r="K2143">
        <v>102</v>
      </c>
      <c r="L2143">
        <v>26.24</v>
      </c>
      <c r="M2143">
        <v>161.2</v>
      </c>
      <c r="N2143">
        <v>62</v>
      </c>
      <c r="O2143">
        <v>7.25</v>
      </c>
      <c r="P2143">
        <v>13.7</v>
      </c>
      <c r="Q2143">
        <v>6</v>
      </c>
      <c r="R2143">
        <v>3.7</v>
      </c>
      <c r="S2143">
        <v>2</v>
      </c>
      <c r="T2143" t="b">
        <v>1</v>
      </c>
    </row>
    <row r="2144" spans="1:20">
      <c r="A2144" t="s">
        <v>79</v>
      </c>
      <c r="B2144">
        <v>172</v>
      </c>
      <c r="C2144">
        <v>510</v>
      </c>
      <c r="D2144" t="s">
        <v>62</v>
      </c>
      <c r="E2144" t="s">
        <v>62</v>
      </c>
      <c r="F2144">
        <v>0</v>
      </c>
      <c r="G2144">
        <v>169.8</v>
      </c>
      <c r="H2144">
        <v>123</v>
      </c>
      <c r="I2144">
        <v>28.87</v>
      </c>
      <c r="J2144">
        <v>183.1</v>
      </c>
      <c r="K2144">
        <v>94</v>
      </c>
      <c r="L2144">
        <v>15.56</v>
      </c>
      <c r="M2144">
        <v>395</v>
      </c>
      <c r="N2144">
        <v>72</v>
      </c>
      <c r="O2144">
        <v>17.77</v>
      </c>
      <c r="P2144">
        <v>12.7</v>
      </c>
      <c r="Q2144">
        <v>7</v>
      </c>
      <c r="R2144">
        <v>3.43</v>
      </c>
      <c r="S2144">
        <v>2</v>
      </c>
      <c r="T2144" t="b">
        <v>0</v>
      </c>
    </row>
    <row r="2145" spans="1:20">
      <c r="A2145" t="s">
        <v>103</v>
      </c>
      <c r="B2145">
        <v>188</v>
      </c>
      <c r="C2145">
        <v>415</v>
      </c>
      <c r="D2145" t="s">
        <v>63</v>
      </c>
      <c r="E2145" t="s">
        <v>63</v>
      </c>
      <c r="F2145">
        <v>26</v>
      </c>
      <c r="G2145">
        <v>198.8</v>
      </c>
      <c r="H2145">
        <v>115</v>
      </c>
      <c r="I2145">
        <v>33.8</v>
      </c>
      <c r="J2145">
        <v>166.6</v>
      </c>
      <c r="K2145">
        <v>67</v>
      </c>
      <c r="L2145">
        <v>14.16</v>
      </c>
      <c r="M2145">
        <v>198.5</v>
      </c>
      <c r="N2145">
        <v>118</v>
      </c>
      <c r="O2145">
        <v>8.93</v>
      </c>
      <c r="P2145">
        <v>14.4</v>
      </c>
      <c r="Q2145">
        <v>3</v>
      </c>
      <c r="R2145">
        <v>3.89</v>
      </c>
      <c r="S2145">
        <v>1</v>
      </c>
      <c r="T2145" t="b">
        <v>1</v>
      </c>
    </row>
    <row r="2146" spans="1:20">
      <c r="A2146" t="s">
        <v>81</v>
      </c>
      <c r="B2146">
        <v>85</v>
      </c>
      <c r="C2146">
        <v>408</v>
      </c>
      <c r="D2146" t="s">
        <v>63</v>
      </c>
      <c r="E2146" t="s">
        <v>62</v>
      </c>
      <c r="F2146">
        <v>0</v>
      </c>
      <c r="G2146">
        <v>116.2</v>
      </c>
      <c r="H2146">
        <v>86</v>
      </c>
      <c r="I2146">
        <v>19.75</v>
      </c>
      <c r="J2146">
        <v>229.7</v>
      </c>
      <c r="K2146">
        <v>127</v>
      </c>
      <c r="L2146">
        <v>19.52</v>
      </c>
      <c r="M2146">
        <v>204.2</v>
      </c>
      <c r="N2146">
        <v>109</v>
      </c>
      <c r="O2146">
        <v>9.19</v>
      </c>
      <c r="P2146">
        <v>10.1</v>
      </c>
      <c r="Q2146">
        <v>3</v>
      </c>
      <c r="R2146">
        <v>2.73</v>
      </c>
      <c r="S2146">
        <v>3</v>
      </c>
      <c r="T2146" t="b">
        <v>0</v>
      </c>
    </row>
    <row r="2147" spans="1:20">
      <c r="A2147" t="s">
        <v>73</v>
      </c>
      <c r="B2147">
        <v>103</v>
      </c>
      <c r="C2147">
        <v>510</v>
      </c>
      <c r="D2147" t="s">
        <v>63</v>
      </c>
      <c r="E2147" t="s">
        <v>62</v>
      </c>
      <c r="F2147">
        <v>0</v>
      </c>
      <c r="G2147">
        <v>255.9</v>
      </c>
      <c r="H2147">
        <v>128</v>
      </c>
      <c r="I2147">
        <v>43.5</v>
      </c>
      <c r="J2147">
        <v>140.9</v>
      </c>
      <c r="K2147">
        <v>92</v>
      </c>
      <c r="L2147">
        <v>11.98</v>
      </c>
      <c r="M2147">
        <v>308.9</v>
      </c>
      <c r="N2147">
        <v>130</v>
      </c>
      <c r="O2147">
        <v>13.9</v>
      </c>
      <c r="P2147">
        <v>12.1</v>
      </c>
      <c r="Q2147">
        <v>2</v>
      </c>
      <c r="R2147">
        <v>3.27</v>
      </c>
      <c r="S2147">
        <v>1</v>
      </c>
      <c r="T2147" t="b">
        <v>1</v>
      </c>
    </row>
    <row r="2148" spans="1:20">
      <c r="A2148" t="s">
        <v>65</v>
      </c>
      <c r="B2148">
        <v>136</v>
      </c>
      <c r="C2148">
        <v>408</v>
      </c>
      <c r="D2148" t="s">
        <v>62</v>
      </c>
      <c r="E2148" t="s">
        <v>63</v>
      </c>
      <c r="F2148">
        <v>27</v>
      </c>
      <c r="G2148">
        <v>187.7</v>
      </c>
      <c r="H2148">
        <v>84</v>
      </c>
      <c r="I2148">
        <v>31.91</v>
      </c>
      <c r="J2148">
        <v>221</v>
      </c>
      <c r="K2148">
        <v>147</v>
      </c>
      <c r="L2148">
        <v>18.79</v>
      </c>
      <c r="M2148">
        <v>145.7</v>
      </c>
      <c r="N2148">
        <v>110</v>
      </c>
      <c r="O2148">
        <v>6.56</v>
      </c>
      <c r="P2148">
        <v>10</v>
      </c>
      <c r="Q2148">
        <v>4</v>
      </c>
      <c r="R2148">
        <v>2.7</v>
      </c>
      <c r="S2148">
        <v>3</v>
      </c>
      <c r="T2148" t="b">
        <v>0</v>
      </c>
    </row>
    <row r="2149" spans="1:20">
      <c r="A2149" t="s">
        <v>84</v>
      </c>
      <c r="B2149">
        <v>155</v>
      </c>
      <c r="C2149">
        <v>408</v>
      </c>
      <c r="D2149" t="s">
        <v>62</v>
      </c>
      <c r="E2149" t="s">
        <v>63</v>
      </c>
      <c r="F2149">
        <v>21</v>
      </c>
      <c r="G2149">
        <v>195.9</v>
      </c>
      <c r="H2149">
        <v>91</v>
      </c>
      <c r="I2149">
        <v>33.3</v>
      </c>
      <c r="J2149">
        <v>213.9</v>
      </c>
      <c r="K2149">
        <v>84</v>
      </c>
      <c r="L2149">
        <v>18.18</v>
      </c>
      <c r="M2149">
        <v>88.2</v>
      </c>
      <c r="N2149">
        <v>111</v>
      </c>
      <c r="O2149">
        <v>3.97</v>
      </c>
      <c r="P2149">
        <v>8.6</v>
      </c>
      <c r="Q2149">
        <v>4</v>
      </c>
      <c r="R2149">
        <v>2.32</v>
      </c>
      <c r="S2149">
        <v>0</v>
      </c>
      <c r="T2149" t="b">
        <v>0</v>
      </c>
    </row>
    <row r="2150" spans="1:20">
      <c r="A2150" t="s">
        <v>71</v>
      </c>
      <c r="B2150">
        <v>145</v>
      </c>
      <c r="C2150">
        <v>415</v>
      </c>
      <c r="D2150" t="s">
        <v>62</v>
      </c>
      <c r="E2150" t="s">
        <v>62</v>
      </c>
      <c r="F2150">
        <v>0</v>
      </c>
      <c r="G2150">
        <v>129.4</v>
      </c>
      <c r="H2150">
        <v>97</v>
      </c>
      <c r="I2150">
        <v>22</v>
      </c>
      <c r="J2150">
        <v>185.4</v>
      </c>
      <c r="K2150">
        <v>101</v>
      </c>
      <c r="L2150">
        <v>15.76</v>
      </c>
      <c r="M2150">
        <v>204.7</v>
      </c>
      <c r="N2150">
        <v>106</v>
      </c>
      <c r="O2150">
        <v>9.21</v>
      </c>
      <c r="P2150">
        <v>1.1</v>
      </c>
      <c r="Q2150">
        <v>2</v>
      </c>
      <c r="R2150">
        <v>0.3</v>
      </c>
      <c r="S2150">
        <v>2</v>
      </c>
      <c r="T2150" t="b">
        <v>0</v>
      </c>
    </row>
    <row r="2151" spans="1:20">
      <c r="A2151" t="s">
        <v>85</v>
      </c>
      <c r="B2151">
        <v>116</v>
      </c>
      <c r="C2151">
        <v>510</v>
      </c>
      <c r="D2151" t="s">
        <v>62</v>
      </c>
      <c r="E2151" t="s">
        <v>63</v>
      </c>
      <c r="F2151">
        <v>12</v>
      </c>
      <c r="G2151">
        <v>221</v>
      </c>
      <c r="H2151">
        <v>108</v>
      </c>
      <c r="I2151">
        <v>37.57</v>
      </c>
      <c r="J2151">
        <v>151</v>
      </c>
      <c r="K2151">
        <v>118</v>
      </c>
      <c r="L2151">
        <v>12.84</v>
      </c>
      <c r="M2151">
        <v>179</v>
      </c>
      <c r="N2151">
        <v>80</v>
      </c>
      <c r="O2151">
        <v>8.06</v>
      </c>
      <c r="P2151">
        <v>9</v>
      </c>
      <c r="Q2151">
        <v>6</v>
      </c>
      <c r="R2151">
        <v>2.43</v>
      </c>
      <c r="S2151">
        <v>2</v>
      </c>
      <c r="T2151" t="b">
        <v>0</v>
      </c>
    </row>
    <row r="2152" spans="1:20">
      <c r="A2152" t="s">
        <v>111</v>
      </c>
      <c r="B2152">
        <v>152</v>
      </c>
      <c r="C2152">
        <v>408</v>
      </c>
      <c r="D2152" t="s">
        <v>62</v>
      </c>
      <c r="E2152" t="s">
        <v>62</v>
      </c>
      <c r="F2152">
        <v>0</v>
      </c>
      <c r="G2152">
        <v>140.5</v>
      </c>
      <c r="H2152">
        <v>92</v>
      </c>
      <c r="I2152">
        <v>23.89</v>
      </c>
      <c r="J2152">
        <v>186.8</v>
      </c>
      <c r="K2152">
        <v>96</v>
      </c>
      <c r="L2152">
        <v>15.88</v>
      </c>
      <c r="M2152">
        <v>227</v>
      </c>
      <c r="N2152">
        <v>89</v>
      </c>
      <c r="O2152">
        <v>10.22</v>
      </c>
      <c r="P2152">
        <v>9.5</v>
      </c>
      <c r="Q2152">
        <v>5</v>
      </c>
      <c r="R2152">
        <v>2.57</v>
      </c>
      <c r="S2152">
        <v>2</v>
      </c>
      <c r="T2152" t="b">
        <v>0</v>
      </c>
    </row>
    <row r="2153" spans="1:20">
      <c r="A2153" t="s">
        <v>109</v>
      </c>
      <c r="B2153">
        <v>65</v>
      </c>
      <c r="C2153">
        <v>415</v>
      </c>
      <c r="D2153" t="s">
        <v>63</v>
      </c>
      <c r="E2153" t="s">
        <v>62</v>
      </c>
      <c r="F2153">
        <v>0</v>
      </c>
      <c r="G2153">
        <v>277.9</v>
      </c>
      <c r="H2153">
        <v>123</v>
      </c>
      <c r="I2153">
        <v>47.24</v>
      </c>
      <c r="J2153">
        <v>155.8</v>
      </c>
      <c r="K2153">
        <v>112</v>
      </c>
      <c r="L2153">
        <v>13.24</v>
      </c>
      <c r="M2153">
        <v>256.9</v>
      </c>
      <c r="N2153">
        <v>71</v>
      </c>
      <c r="O2153">
        <v>11.56</v>
      </c>
      <c r="P2153">
        <v>9.2</v>
      </c>
      <c r="Q2153">
        <v>10</v>
      </c>
      <c r="R2153">
        <v>2.48</v>
      </c>
      <c r="S2153">
        <v>0</v>
      </c>
      <c r="T2153" t="b">
        <v>1</v>
      </c>
    </row>
    <row r="2154" spans="1:20">
      <c r="A2154" t="s">
        <v>115</v>
      </c>
      <c r="B2154">
        <v>180</v>
      </c>
      <c r="C2154">
        <v>415</v>
      </c>
      <c r="D2154" t="s">
        <v>62</v>
      </c>
      <c r="E2154" t="s">
        <v>62</v>
      </c>
      <c r="F2154">
        <v>0</v>
      </c>
      <c r="G2154">
        <v>224.9</v>
      </c>
      <c r="H2154">
        <v>105</v>
      </c>
      <c r="I2154">
        <v>38.23</v>
      </c>
      <c r="J2154">
        <v>250</v>
      </c>
      <c r="K2154">
        <v>101</v>
      </c>
      <c r="L2154">
        <v>21.25</v>
      </c>
      <c r="M2154">
        <v>216.1</v>
      </c>
      <c r="N2154">
        <v>73</v>
      </c>
      <c r="O2154">
        <v>9.72</v>
      </c>
      <c r="P2154">
        <v>6.7</v>
      </c>
      <c r="Q2154">
        <v>5</v>
      </c>
      <c r="R2154">
        <v>1.81</v>
      </c>
      <c r="S2154">
        <v>3</v>
      </c>
      <c r="T2154" t="b">
        <v>1</v>
      </c>
    </row>
    <row r="2155" spans="1:20">
      <c r="A2155" t="s">
        <v>86</v>
      </c>
      <c r="B2155">
        <v>67</v>
      </c>
      <c r="C2155">
        <v>415</v>
      </c>
      <c r="D2155" t="s">
        <v>62</v>
      </c>
      <c r="E2155" t="s">
        <v>62</v>
      </c>
      <c r="F2155">
        <v>0</v>
      </c>
      <c r="G2155">
        <v>109.1</v>
      </c>
      <c r="H2155">
        <v>117</v>
      </c>
      <c r="I2155">
        <v>18.55</v>
      </c>
      <c r="J2155">
        <v>217.4</v>
      </c>
      <c r="K2155">
        <v>124</v>
      </c>
      <c r="L2155">
        <v>18.48</v>
      </c>
      <c r="M2155">
        <v>188.4</v>
      </c>
      <c r="N2155">
        <v>141</v>
      </c>
      <c r="O2155">
        <v>8.48</v>
      </c>
      <c r="P2155">
        <v>12.8</v>
      </c>
      <c r="Q2155">
        <v>6</v>
      </c>
      <c r="R2155">
        <v>3.46</v>
      </c>
      <c r="S2155">
        <v>0</v>
      </c>
      <c r="T2155" t="b">
        <v>0</v>
      </c>
    </row>
    <row r="2156" spans="1:20">
      <c r="A2156" t="s">
        <v>94</v>
      </c>
      <c r="B2156">
        <v>60</v>
      </c>
      <c r="C2156">
        <v>415</v>
      </c>
      <c r="D2156" t="s">
        <v>62</v>
      </c>
      <c r="E2156" t="s">
        <v>62</v>
      </c>
      <c r="F2156">
        <v>0</v>
      </c>
      <c r="G2156">
        <v>207.8</v>
      </c>
      <c r="H2156">
        <v>109</v>
      </c>
      <c r="I2156">
        <v>35.33</v>
      </c>
      <c r="J2156">
        <v>123.5</v>
      </c>
      <c r="K2156">
        <v>112</v>
      </c>
      <c r="L2156">
        <v>10.5</v>
      </c>
      <c r="M2156">
        <v>291.6</v>
      </c>
      <c r="N2156">
        <v>115</v>
      </c>
      <c r="O2156">
        <v>13.12</v>
      </c>
      <c r="P2156">
        <v>5.7</v>
      </c>
      <c r="Q2156">
        <v>9</v>
      </c>
      <c r="R2156">
        <v>1.54</v>
      </c>
      <c r="S2156">
        <v>0</v>
      </c>
      <c r="T2156" t="b">
        <v>0</v>
      </c>
    </row>
    <row r="2157" spans="1:20">
      <c r="A2157" t="s">
        <v>75</v>
      </c>
      <c r="B2157">
        <v>44</v>
      </c>
      <c r="C2157">
        <v>415</v>
      </c>
      <c r="D2157" t="s">
        <v>62</v>
      </c>
      <c r="E2157" t="s">
        <v>62</v>
      </c>
      <c r="F2157">
        <v>0</v>
      </c>
      <c r="G2157">
        <v>308.6</v>
      </c>
      <c r="H2157">
        <v>139</v>
      </c>
      <c r="I2157">
        <v>52.46</v>
      </c>
      <c r="J2157">
        <v>150.8</v>
      </c>
      <c r="K2157">
        <v>94</v>
      </c>
      <c r="L2157">
        <v>12.82</v>
      </c>
      <c r="M2157">
        <v>198.7</v>
      </c>
      <c r="N2157">
        <v>66</v>
      </c>
      <c r="O2157">
        <v>8.94</v>
      </c>
      <c r="P2157">
        <v>7.3</v>
      </c>
      <c r="Q2157">
        <v>3</v>
      </c>
      <c r="R2157">
        <v>1.97</v>
      </c>
      <c r="S2157">
        <v>4</v>
      </c>
      <c r="T2157" t="b">
        <v>1</v>
      </c>
    </row>
    <row r="2158" spans="1:20">
      <c r="A2158" t="s">
        <v>108</v>
      </c>
      <c r="B2158">
        <v>25</v>
      </c>
      <c r="C2158">
        <v>510</v>
      </c>
      <c r="D2158" t="s">
        <v>62</v>
      </c>
      <c r="E2158" t="s">
        <v>62</v>
      </c>
      <c r="F2158">
        <v>0</v>
      </c>
      <c r="G2158">
        <v>242.6</v>
      </c>
      <c r="H2158">
        <v>69</v>
      </c>
      <c r="I2158">
        <v>41.24</v>
      </c>
      <c r="J2158">
        <v>209</v>
      </c>
      <c r="K2158">
        <v>117</v>
      </c>
      <c r="L2158">
        <v>17.77</v>
      </c>
      <c r="M2158">
        <v>219.7</v>
      </c>
      <c r="N2158">
        <v>82</v>
      </c>
      <c r="O2158">
        <v>9.89</v>
      </c>
      <c r="P2158">
        <v>14.4</v>
      </c>
      <c r="Q2158">
        <v>6</v>
      </c>
      <c r="R2158">
        <v>3.89</v>
      </c>
      <c r="S2158">
        <v>2</v>
      </c>
      <c r="T2158" t="b">
        <v>0</v>
      </c>
    </row>
    <row r="2159" spans="1:20">
      <c r="A2159" t="s">
        <v>85</v>
      </c>
      <c r="B2159">
        <v>145</v>
      </c>
      <c r="C2159">
        <v>408</v>
      </c>
      <c r="D2159" t="s">
        <v>62</v>
      </c>
      <c r="E2159" t="s">
        <v>62</v>
      </c>
      <c r="F2159">
        <v>0</v>
      </c>
      <c r="G2159">
        <v>229.6</v>
      </c>
      <c r="H2159">
        <v>82</v>
      </c>
      <c r="I2159">
        <v>39.03</v>
      </c>
      <c r="J2159">
        <v>138.1</v>
      </c>
      <c r="K2159">
        <v>103</v>
      </c>
      <c r="L2159">
        <v>11.74</v>
      </c>
      <c r="M2159">
        <v>250.8</v>
      </c>
      <c r="N2159">
        <v>109</v>
      </c>
      <c r="O2159">
        <v>11.29</v>
      </c>
      <c r="P2159">
        <v>3.3</v>
      </c>
      <c r="Q2159">
        <v>3</v>
      </c>
      <c r="R2159">
        <v>0.89</v>
      </c>
      <c r="S2159">
        <v>1</v>
      </c>
      <c r="T2159" t="b">
        <v>0</v>
      </c>
    </row>
    <row r="2160" spans="1:20">
      <c r="A2160" t="s">
        <v>93</v>
      </c>
      <c r="B2160">
        <v>122</v>
      </c>
      <c r="C2160">
        <v>510</v>
      </c>
      <c r="D2160" t="s">
        <v>62</v>
      </c>
      <c r="E2160" t="s">
        <v>63</v>
      </c>
      <c r="F2160">
        <v>28</v>
      </c>
      <c r="G2160">
        <v>166</v>
      </c>
      <c r="H2160">
        <v>62</v>
      </c>
      <c r="I2160">
        <v>28.22</v>
      </c>
      <c r="J2160">
        <v>233.9</v>
      </c>
      <c r="K2160">
        <v>88</v>
      </c>
      <c r="L2160">
        <v>19.88</v>
      </c>
      <c r="M2160">
        <v>170.1</v>
      </c>
      <c r="N2160">
        <v>84</v>
      </c>
      <c r="O2160">
        <v>7.65</v>
      </c>
      <c r="P2160">
        <v>7.7</v>
      </c>
      <c r="Q2160">
        <v>3</v>
      </c>
      <c r="R2160">
        <v>2.08</v>
      </c>
      <c r="S2160">
        <v>2</v>
      </c>
      <c r="T2160" t="b">
        <v>0</v>
      </c>
    </row>
    <row r="2161" spans="1:20">
      <c r="A2161" t="s">
        <v>111</v>
      </c>
      <c r="B2161">
        <v>121</v>
      </c>
      <c r="C2161">
        <v>415</v>
      </c>
      <c r="D2161" t="s">
        <v>62</v>
      </c>
      <c r="E2161" t="s">
        <v>62</v>
      </c>
      <c r="F2161">
        <v>0</v>
      </c>
      <c r="G2161">
        <v>144.8</v>
      </c>
      <c r="H2161">
        <v>126</v>
      </c>
      <c r="I2161">
        <v>24.62</v>
      </c>
      <c r="J2161">
        <v>200.6</v>
      </c>
      <c r="K2161">
        <v>82</v>
      </c>
      <c r="L2161">
        <v>17.05</v>
      </c>
      <c r="M2161">
        <v>208.8</v>
      </c>
      <c r="N2161">
        <v>81</v>
      </c>
      <c r="O2161">
        <v>9.4</v>
      </c>
      <c r="P2161">
        <v>13.3</v>
      </c>
      <c r="Q2161">
        <v>9</v>
      </c>
      <c r="R2161">
        <v>3.59</v>
      </c>
      <c r="S2161">
        <v>0</v>
      </c>
      <c r="T2161" t="b">
        <v>1</v>
      </c>
    </row>
    <row r="2162" spans="1:20">
      <c r="A2162" t="s">
        <v>105</v>
      </c>
      <c r="B2162">
        <v>55</v>
      </c>
      <c r="C2162">
        <v>510</v>
      </c>
      <c r="D2162" t="s">
        <v>63</v>
      </c>
      <c r="E2162" t="s">
        <v>62</v>
      </c>
      <c r="F2162">
        <v>0</v>
      </c>
      <c r="G2162">
        <v>106.1</v>
      </c>
      <c r="H2162">
        <v>77</v>
      </c>
      <c r="I2162">
        <v>18.04</v>
      </c>
      <c r="J2162">
        <v>123.5</v>
      </c>
      <c r="K2162">
        <v>100</v>
      </c>
      <c r="L2162">
        <v>10.5</v>
      </c>
      <c r="M2162">
        <v>96.4</v>
      </c>
      <c r="N2162">
        <v>92</v>
      </c>
      <c r="O2162">
        <v>4.34</v>
      </c>
      <c r="P2162">
        <v>12.9</v>
      </c>
      <c r="Q2162">
        <v>3</v>
      </c>
      <c r="R2162">
        <v>3.48</v>
      </c>
      <c r="S2162">
        <v>0</v>
      </c>
      <c r="T2162" t="b">
        <v>0</v>
      </c>
    </row>
    <row r="2163" spans="1:20">
      <c r="A2163" t="s">
        <v>116</v>
      </c>
      <c r="B2163">
        <v>77</v>
      </c>
      <c r="C2163">
        <v>415</v>
      </c>
      <c r="D2163" t="s">
        <v>62</v>
      </c>
      <c r="E2163" t="s">
        <v>62</v>
      </c>
      <c r="F2163">
        <v>0</v>
      </c>
      <c r="G2163">
        <v>221.8</v>
      </c>
      <c r="H2163">
        <v>84</v>
      </c>
      <c r="I2163">
        <v>37.71</v>
      </c>
      <c r="J2163">
        <v>166</v>
      </c>
      <c r="K2163">
        <v>125</v>
      </c>
      <c r="L2163">
        <v>14.11</v>
      </c>
      <c r="M2163">
        <v>210.2</v>
      </c>
      <c r="N2163">
        <v>72</v>
      </c>
      <c r="O2163">
        <v>9.46</v>
      </c>
      <c r="P2163">
        <v>13.2</v>
      </c>
      <c r="Q2163">
        <v>4</v>
      </c>
      <c r="R2163">
        <v>3.56</v>
      </c>
      <c r="S2163">
        <v>1</v>
      </c>
      <c r="T2163" t="b">
        <v>0</v>
      </c>
    </row>
    <row r="2164" spans="1:20">
      <c r="A2164" t="s">
        <v>94</v>
      </c>
      <c r="B2164">
        <v>12</v>
      </c>
      <c r="C2164">
        <v>415</v>
      </c>
      <c r="D2164" t="s">
        <v>62</v>
      </c>
      <c r="E2164" t="s">
        <v>62</v>
      </c>
      <c r="F2164">
        <v>0</v>
      </c>
      <c r="G2164">
        <v>204.6</v>
      </c>
      <c r="H2164">
        <v>98</v>
      </c>
      <c r="I2164">
        <v>34.78</v>
      </c>
      <c r="J2164">
        <v>212.5</v>
      </c>
      <c r="K2164">
        <v>90</v>
      </c>
      <c r="L2164">
        <v>18.06</v>
      </c>
      <c r="M2164">
        <v>182.1</v>
      </c>
      <c r="N2164">
        <v>95</v>
      </c>
      <c r="O2164">
        <v>8.19</v>
      </c>
      <c r="P2164">
        <v>9.8</v>
      </c>
      <c r="Q2164">
        <v>7</v>
      </c>
      <c r="R2164">
        <v>2.65</v>
      </c>
      <c r="S2164">
        <v>2</v>
      </c>
      <c r="T2164" t="b">
        <v>0</v>
      </c>
    </row>
    <row r="2165" spans="1:20">
      <c r="A2165" t="s">
        <v>94</v>
      </c>
      <c r="B2165">
        <v>64</v>
      </c>
      <c r="C2165">
        <v>510</v>
      </c>
      <c r="D2165" t="s">
        <v>62</v>
      </c>
      <c r="E2165" t="s">
        <v>62</v>
      </c>
      <c r="F2165">
        <v>0</v>
      </c>
      <c r="G2165">
        <v>213.5</v>
      </c>
      <c r="H2165">
        <v>93</v>
      </c>
      <c r="I2165">
        <v>36.3</v>
      </c>
      <c r="J2165">
        <v>166.6</v>
      </c>
      <c r="K2165">
        <v>114</v>
      </c>
      <c r="L2165">
        <v>14.16</v>
      </c>
      <c r="M2165">
        <v>122</v>
      </c>
      <c r="N2165">
        <v>78</v>
      </c>
      <c r="O2165">
        <v>5.49</v>
      </c>
      <c r="P2165">
        <v>14.1</v>
      </c>
      <c r="Q2165">
        <v>3</v>
      </c>
      <c r="R2165">
        <v>3.81</v>
      </c>
      <c r="S2165">
        <v>3</v>
      </c>
      <c r="T2165" t="b">
        <v>0</v>
      </c>
    </row>
    <row r="2166" spans="1:20">
      <c r="A2166" t="s">
        <v>104</v>
      </c>
      <c r="B2166">
        <v>92</v>
      </c>
      <c r="C2166">
        <v>415</v>
      </c>
      <c r="D2166" t="s">
        <v>62</v>
      </c>
      <c r="E2166" t="s">
        <v>63</v>
      </c>
      <c r="F2166">
        <v>44</v>
      </c>
      <c r="G2166">
        <v>152</v>
      </c>
      <c r="H2166">
        <v>95</v>
      </c>
      <c r="I2166">
        <v>25.84</v>
      </c>
      <c r="J2166">
        <v>274.9</v>
      </c>
      <c r="K2166">
        <v>73</v>
      </c>
      <c r="L2166">
        <v>23.37</v>
      </c>
      <c r="M2166">
        <v>162.4</v>
      </c>
      <c r="N2166">
        <v>121</v>
      </c>
      <c r="O2166">
        <v>7.31</v>
      </c>
      <c r="P2166">
        <v>10</v>
      </c>
      <c r="Q2166">
        <v>1</v>
      </c>
      <c r="R2166">
        <v>2.7</v>
      </c>
      <c r="S2166">
        <v>2</v>
      </c>
      <c r="T2166" t="b">
        <v>0</v>
      </c>
    </row>
    <row r="2167" spans="1:20">
      <c r="A2167" t="s">
        <v>102</v>
      </c>
      <c r="B2167">
        <v>125</v>
      </c>
      <c r="C2167">
        <v>415</v>
      </c>
      <c r="D2167" t="s">
        <v>63</v>
      </c>
      <c r="E2167" t="s">
        <v>63</v>
      </c>
      <c r="F2167">
        <v>29</v>
      </c>
      <c r="G2167">
        <v>260.8</v>
      </c>
      <c r="H2167">
        <v>81</v>
      </c>
      <c r="I2167">
        <v>44.34</v>
      </c>
      <c r="J2167">
        <v>163.7</v>
      </c>
      <c r="K2167">
        <v>112</v>
      </c>
      <c r="L2167">
        <v>13.91</v>
      </c>
      <c r="M2167">
        <v>271.7</v>
      </c>
      <c r="N2167">
        <v>117</v>
      </c>
      <c r="O2167">
        <v>12.23</v>
      </c>
      <c r="P2167">
        <v>17</v>
      </c>
      <c r="Q2167">
        <v>6</v>
      </c>
      <c r="R2167">
        <v>4.59</v>
      </c>
      <c r="S2167">
        <v>1</v>
      </c>
      <c r="T2167" t="b">
        <v>1</v>
      </c>
    </row>
    <row r="2168" spans="1:20">
      <c r="A2168" t="s">
        <v>66</v>
      </c>
      <c r="B2168">
        <v>160</v>
      </c>
      <c r="C2168">
        <v>408</v>
      </c>
      <c r="D2168" t="s">
        <v>62</v>
      </c>
      <c r="E2168" t="s">
        <v>62</v>
      </c>
      <c r="F2168">
        <v>0</v>
      </c>
      <c r="G2168">
        <v>166.4</v>
      </c>
      <c r="H2168">
        <v>117</v>
      </c>
      <c r="I2168">
        <v>28.29</v>
      </c>
      <c r="J2168">
        <v>317</v>
      </c>
      <c r="K2168">
        <v>129</v>
      </c>
      <c r="L2168">
        <v>26.95</v>
      </c>
      <c r="M2168">
        <v>160.4</v>
      </c>
      <c r="N2168">
        <v>121</v>
      </c>
      <c r="O2168">
        <v>7.22</v>
      </c>
      <c r="P2168">
        <v>10</v>
      </c>
      <c r="Q2168">
        <v>2</v>
      </c>
      <c r="R2168">
        <v>2.7</v>
      </c>
      <c r="S2168">
        <v>1</v>
      </c>
      <c r="T2168" t="b">
        <v>0</v>
      </c>
    </row>
    <row r="2169" spans="1:20">
      <c r="A2169" t="s">
        <v>61</v>
      </c>
      <c r="B2169">
        <v>79</v>
      </c>
      <c r="C2169">
        <v>415</v>
      </c>
      <c r="D2169" t="s">
        <v>62</v>
      </c>
      <c r="E2169" t="s">
        <v>62</v>
      </c>
      <c r="F2169">
        <v>0</v>
      </c>
      <c r="G2169">
        <v>177.9</v>
      </c>
      <c r="H2169">
        <v>83</v>
      </c>
      <c r="I2169">
        <v>30.24</v>
      </c>
      <c r="J2169">
        <v>167.3</v>
      </c>
      <c r="K2169">
        <v>84</v>
      </c>
      <c r="L2169">
        <v>14.22</v>
      </c>
      <c r="M2169">
        <v>223.7</v>
      </c>
      <c r="N2169">
        <v>142</v>
      </c>
      <c r="O2169">
        <v>10.07</v>
      </c>
      <c r="P2169">
        <v>15.2</v>
      </c>
      <c r="Q2169">
        <v>8</v>
      </c>
      <c r="R2169">
        <v>4.1</v>
      </c>
      <c r="S2169">
        <v>0</v>
      </c>
      <c r="T2169" t="b">
        <v>0</v>
      </c>
    </row>
    <row r="2170" spans="1:20">
      <c r="A2170" t="s">
        <v>73</v>
      </c>
      <c r="B2170">
        <v>36</v>
      </c>
      <c r="C2170">
        <v>415</v>
      </c>
      <c r="D2170" t="s">
        <v>62</v>
      </c>
      <c r="E2170" t="s">
        <v>62</v>
      </c>
      <c r="F2170">
        <v>0</v>
      </c>
      <c r="G2170">
        <v>235.1</v>
      </c>
      <c r="H2170">
        <v>97</v>
      </c>
      <c r="I2170">
        <v>39.97</v>
      </c>
      <c r="J2170">
        <v>196.8</v>
      </c>
      <c r="K2170">
        <v>104</v>
      </c>
      <c r="L2170">
        <v>16.73</v>
      </c>
      <c r="M2170">
        <v>259.7</v>
      </c>
      <c r="N2170">
        <v>110</v>
      </c>
      <c r="O2170">
        <v>11.69</v>
      </c>
      <c r="P2170">
        <v>7</v>
      </c>
      <c r="Q2170">
        <v>7</v>
      </c>
      <c r="R2170">
        <v>1.89</v>
      </c>
      <c r="S2170">
        <v>3</v>
      </c>
      <c r="T2170" t="b">
        <v>0</v>
      </c>
    </row>
    <row r="2171" spans="1:20">
      <c r="A2171" t="s">
        <v>86</v>
      </c>
      <c r="B2171">
        <v>138</v>
      </c>
      <c r="C2171">
        <v>408</v>
      </c>
      <c r="D2171" t="s">
        <v>63</v>
      </c>
      <c r="E2171" t="s">
        <v>62</v>
      </c>
      <c r="F2171">
        <v>0</v>
      </c>
      <c r="G2171">
        <v>268.4</v>
      </c>
      <c r="H2171">
        <v>81</v>
      </c>
      <c r="I2171">
        <v>45.63</v>
      </c>
      <c r="J2171">
        <v>174.4</v>
      </c>
      <c r="K2171">
        <v>115</v>
      </c>
      <c r="L2171">
        <v>14.82</v>
      </c>
      <c r="M2171">
        <v>193.5</v>
      </c>
      <c r="N2171">
        <v>96</v>
      </c>
      <c r="O2171">
        <v>8.71</v>
      </c>
      <c r="P2171">
        <v>11.6</v>
      </c>
      <c r="Q2171">
        <v>4</v>
      </c>
      <c r="R2171">
        <v>3.13</v>
      </c>
      <c r="S2171">
        <v>1</v>
      </c>
      <c r="T2171" t="b">
        <v>0</v>
      </c>
    </row>
    <row r="2172" spans="1:20">
      <c r="A2172" t="s">
        <v>93</v>
      </c>
      <c r="B2172">
        <v>72</v>
      </c>
      <c r="C2172">
        <v>408</v>
      </c>
      <c r="D2172" t="s">
        <v>62</v>
      </c>
      <c r="E2172" t="s">
        <v>62</v>
      </c>
      <c r="F2172">
        <v>0</v>
      </c>
      <c r="G2172">
        <v>179.9</v>
      </c>
      <c r="H2172">
        <v>113</v>
      </c>
      <c r="I2172">
        <v>30.58</v>
      </c>
      <c r="J2172">
        <v>149.8</v>
      </c>
      <c r="K2172">
        <v>112</v>
      </c>
      <c r="L2172">
        <v>12.73</v>
      </c>
      <c r="M2172">
        <v>168.2</v>
      </c>
      <c r="N2172">
        <v>79</v>
      </c>
      <c r="O2172">
        <v>7.57</v>
      </c>
      <c r="P2172">
        <v>9.8</v>
      </c>
      <c r="Q2172">
        <v>7</v>
      </c>
      <c r="R2172">
        <v>2.65</v>
      </c>
      <c r="S2172">
        <v>2</v>
      </c>
      <c r="T2172" t="b">
        <v>0</v>
      </c>
    </row>
    <row r="2173" spans="1:20">
      <c r="A2173" t="s">
        <v>110</v>
      </c>
      <c r="B2173">
        <v>74</v>
      </c>
      <c r="C2173">
        <v>415</v>
      </c>
      <c r="D2173" t="s">
        <v>62</v>
      </c>
      <c r="E2173" t="s">
        <v>62</v>
      </c>
      <c r="F2173">
        <v>0</v>
      </c>
      <c r="G2173">
        <v>314.1</v>
      </c>
      <c r="H2173">
        <v>86</v>
      </c>
      <c r="I2173">
        <v>53.4</v>
      </c>
      <c r="J2173">
        <v>222.4</v>
      </c>
      <c r="K2173">
        <v>99</v>
      </c>
      <c r="L2173">
        <v>18.9</v>
      </c>
      <c r="M2173">
        <v>259</v>
      </c>
      <c r="N2173">
        <v>121</v>
      </c>
      <c r="O2173">
        <v>11.66</v>
      </c>
      <c r="P2173">
        <v>12.3</v>
      </c>
      <c r="Q2173">
        <v>5</v>
      </c>
      <c r="R2173">
        <v>3.32</v>
      </c>
      <c r="S2173">
        <v>3</v>
      </c>
      <c r="T2173" t="b">
        <v>1</v>
      </c>
    </row>
    <row r="2174" spans="1:20">
      <c r="A2174" t="s">
        <v>110</v>
      </c>
      <c r="B2174">
        <v>134</v>
      </c>
      <c r="C2174">
        <v>415</v>
      </c>
      <c r="D2174" t="s">
        <v>62</v>
      </c>
      <c r="E2174" t="s">
        <v>63</v>
      </c>
      <c r="F2174">
        <v>41</v>
      </c>
      <c r="G2174">
        <v>162</v>
      </c>
      <c r="H2174">
        <v>82</v>
      </c>
      <c r="I2174">
        <v>27.54</v>
      </c>
      <c r="J2174">
        <v>324.7</v>
      </c>
      <c r="K2174">
        <v>77</v>
      </c>
      <c r="L2174">
        <v>27.6</v>
      </c>
      <c r="M2174">
        <v>160.1</v>
      </c>
      <c r="N2174">
        <v>112</v>
      </c>
      <c r="O2174">
        <v>7.2</v>
      </c>
      <c r="P2174">
        <v>11.9</v>
      </c>
      <c r="Q2174">
        <v>5</v>
      </c>
      <c r="R2174">
        <v>3.21</v>
      </c>
      <c r="S2174">
        <v>0</v>
      </c>
      <c r="T2174" t="b">
        <v>0</v>
      </c>
    </row>
    <row r="2175" spans="1:20">
      <c r="A2175" t="s">
        <v>68</v>
      </c>
      <c r="B2175">
        <v>145</v>
      </c>
      <c r="C2175">
        <v>415</v>
      </c>
      <c r="D2175" t="s">
        <v>62</v>
      </c>
      <c r="E2175" t="s">
        <v>62</v>
      </c>
      <c r="F2175">
        <v>0</v>
      </c>
      <c r="G2175">
        <v>175.8</v>
      </c>
      <c r="H2175">
        <v>89</v>
      </c>
      <c r="I2175">
        <v>29.89</v>
      </c>
      <c r="J2175">
        <v>274.3</v>
      </c>
      <c r="K2175">
        <v>119</v>
      </c>
      <c r="L2175">
        <v>23.32</v>
      </c>
      <c r="M2175">
        <v>226.6</v>
      </c>
      <c r="N2175">
        <v>69</v>
      </c>
      <c r="O2175">
        <v>10.2</v>
      </c>
      <c r="P2175">
        <v>12.4</v>
      </c>
      <c r="Q2175">
        <v>4</v>
      </c>
      <c r="R2175">
        <v>3.35</v>
      </c>
      <c r="S2175">
        <v>1</v>
      </c>
      <c r="T2175" t="b">
        <v>0</v>
      </c>
    </row>
    <row r="2176" spans="1:20">
      <c r="A2176" t="s">
        <v>67</v>
      </c>
      <c r="B2176">
        <v>136</v>
      </c>
      <c r="C2176">
        <v>510</v>
      </c>
      <c r="D2176" t="s">
        <v>62</v>
      </c>
      <c r="E2176" t="s">
        <v>62</v>
      </c>
      <c r="F2176">
        <v>0</v>
      </c>
      <c r="G2176">
        <v>109.4</v>
      </c>
      <c r="H2176">
        <v>91</v>
      </c>
      <c r="I2176">
        <v>18.6</v>
      </c>
      <c r="J2176">
        <v>207.5</v>
      </c>
      <c r="K2176">
        <v>111</v>
      </c>
      <c r="L2176">
        <v>17.64</v>
      </c>
      <c r="M2176">
        <v>135</v>
      </c>
      <c r="N2176">
        <v>107</v>
      </c>
      <c r="O2176">
        <v>6.08</v>
      </c>
      <c r="P2176">
        <v>11.6</v>
      </c>
      <c r="Q2176">
        <v>5</v>
      </c>
      <c r="R2176">
        <v>3.13</v>
      </c>
      <c r="S2176">
        <v>0</v>
      </c>
      <c r="T2176" t="b">
        <v>0</v>
      </c>
    </row>
    <row r="2177" spans="1:20">
      <c r="A2177" t="s">
        <v>93</v>
      </c>
      <c r="B2177">
        <v>66</v>
      </c>
      <c r="C2177">
        <v>415</v>
      </c>
      <c r="D2177" t="s">
        <v>63</v>
      </c>
      <c r="E2177" t="s">
        <v>62</v>
      </c>
      <c r="F2177">
        <v>0</v>
      </c>
      <c r="G2177">
        <v>208.7</v>
      </c>
      <c r="H2177">
        <v>84</v>
      </c>
      <c r="I2177">
        <v>35.48</v>
      </c>
      <c r="J2177">
        <v>173.3</v>
      </c>
      <c r="K2177">
        <v>88</v>
      </c>
      <c r="L2177">
        <v>14.73</v>
      </c>
      <c r="M2177">
        <v>264.7</v>
      </c>
      <c r="N2177">
        <v>107</v>
      </c>
      <c r="O2177">
        <v>11.91</v>
      </c>
      <c r="P2177">
        <v>8.3</v>
      </c>
      <c r="Q2177">
        <v>3</v>
      </c>
      <c r="R2177">
        <v>2.24</v>
      </c>
      <c r="S2177">
        <v>3</v>
      </c>
      <c r="T2177" t="b">
        <v>0</v>
      </c>
    </row>
    <row r="2178" spans="1:20">
      <c r="A2178" t="s">
        <v>78</v>
      </c>
      <c r="B2178">
        <v>152</v>
      </c>
      <c r="C2178">
        <v>510</v>
      </c>
      <c r="D2178" t="s">
        <v>62</v>
      </c>
      <c r="E2178" t="s">
        <v>63</v>
      </c>
      <c r="F2178">
        <v>20</v>
      </c>
      <c r="G2178">
        <v>214.6</v>
      </c>
      <c r="H2178">
        <v>108</v>
      </c>
      <c r="I2178">
        <v>36.48</v>
      </c>
      <c r="J2178">
        <v>96.6</v>
      </c>
      <c r="K2178">
        <v>82</v>
      </c>
      <c r="L2178">
        <v>8.21</v>
      </c>
      <c r="M2178">
        <v>170.7</v>
      </c>
      <c r="N2178">
        <v>145</v>
      </c>
      <c r="O2178">
        <v>7.68</v>
      </c>
      <c r="P2178">
        <v>7.9</v>
      </c>
      <c r="Q2178">
        <v>5</v>
      </c>
      <c r="R2178">
        <v>2.13</v>
      </c>
      <c r="S2178">
        <v>1</v>
      </c>
      <c r="T2178" t="b">
        <v>0</v>
      </c>
    </row>
    <row r="2179" spans="1:20">
      <c r="A2179" t="s">
        <v>116</v>
      </c>
      <c r="B2179">
        <v>162</v>
      </c>
      <c r="C2179">
        <v>408</v>
      </c>
      <c r="D2179" t="s">
        <v>62</v>
      </c>
      <c r="E2179" t="s">
        <v>62</v>
      </c>
      <c r="F2179">
        <v>0</v>
      </c>
      <c r="G2179">
        <v>49.2</v>
      </c>
      <c r="H2179">
        <v>121</v>
      </c>
      <c r="I2179">
        <v>8.36</v>
      </c>
      <c r="J2179">
        <v>143.9</v>
      </c>
      <c r="K2179">
        <v>136</v>
      </c>
      <c r="L2179">
        <v>12.23</v>
      </c>
      <c r="M2179">
        <v>203</v>
      </c>
      <c r="N2179">
        <v>97</v>
      </c>
      <c r="O2179">
        <v>9.14</v>
      </c>
      <c r="P2179">
        <v>12.1</v>
      </c>
      <c r="Q2179">
        <v>13</v>
      </c>
      <c r="R2179">
        <v>3.27</v>
      </c>
      <c r="S2179">
        <v>1</v>
      </c>
      <c r="T2179" t="b">
        <v>0</v>
      </c>
    </row>
    <row r="2180" spans="1:20">
      <c r="A2180" t="s">
        <v>94</v>
      </c>
      <c r="B2180">
        <v>72</v>
      </c>
      <c r="C2180">
        <v>510</v>
      </c>
      <c r="D2180" t="s">
        <v>62</v>
      </c>
      <c r="E2180" t="s">
        <v>62</v>
      </c>
      <c r="F2180">
        <v>0</v>
      </c>
      <c r="G2180">
        <v>141.3</v>
      </c>
      <c r="H2180">
        <v>133</v>
      </c>
      <c r="I2180">
        <v>24.02</v>
      </c>
      <c r="J2180">
        <v>134.9</v>
      </c>
      <c r="K2180">
        <v>96</v>
      </c>
      <c r="L2180">
        <v>11.47</v>
      </c>
      <c r="M2180">
        <v>227.5</v>
      </c>
      <c r="N2180">
        <v>97</v>
      </c>
      <c r="O2180">
        <v>10.24</v>
      </c>
      <c r="P2180">
        <v>11.2</v>
      </c>
      <c r="Q2180">
        <v>3</v>
      </c>
      <c r="R2180">
        <v>3.02</v>
      </c>
      <c r="S2180">
        <v>2</v>
      </c>
      <c r="T2180" t="b">
        <v>0</v>
      </c>
    </row>
    <row r="2181" spans="1:20">
      <c r="A2181" t="s">
        <v>114</v>
      </c>
      <c r="B2181">
        <v>101</v>
      </c>
      <c r="C2181">
        <v>415</v>
      </c>
      <c r="D2181" t="s">
        <v>62</v>
      </c>
      <c r="E2181" t="s">
        <v>62</v>
      </c>
      <c r="F2181">
        <v>0</v>
      </c>
      <c r="G2181">
        <v>253.2</v>
      </c>
      <c r="H2181">
        <v>89</v>
      </c>
      <c r="I2181">
        <v>43.04</v>
      </c>
      <c r="J2181">
        <v>237.9</v>
      </c>
      <c r="K2181">
        <v>114</v>
      </c>
      <c r="L2181">
        <v>20.22</v>
      </c>
      <c r="M2181">
        <v>154.3</v>
      </c>
      <c r="N2181">
        <v>85</v>
      </c>
      <c r="O2181">
        <v>6.94</v>
      </c>
      <c r="P2181">
        <v>9.7</v>
      </c>
      <c r="Q2181">
        <v>7</v>
      </c>
      <c r="R2181">
        <v>2.62</v>
      </c>
      <c r="S2181">
        <v>4</v>
      </c>
      <c r="T2181" t="b">
        <v>0</v>
      </c>
    </row>
    <row r="2182" spans="1:20">
      <c r="A2182" t="s">
        <v>71</v>
      </c>
      <c r="B2182">
        <v>125</v>
      </c>
      <c r="C2182">
        <v>415</v>
      </c>
      <c r="D2182" t="s">
        <v>62</v>
      </c>
      <c r="E2182" t="s">
        <v>62</v>
      </c>
      <c r="F2182">
        <v>0</v>
      </c>
      <c r="G2182">
        <v>206</v>
      </c>
      <c r="H2182">
        <v>128</v>
      </c>
      <c r="I2182">
        <v>35.02</v>
      </c>
      <c r="J2182">
        <v>198.1</v>
      </c>
      <c r="K2182">
        <v>71</v>
      </c>
      <c r="L2182">
        <v>16.84</v>
      </c>
      <c r="M2182">
        <v>135.9</v>
      </c>
      <c r="N2182">
        <v>116</v>
      </c>
      <c r="O2182">
        <v>6.12</v>
      </c>
      <c r="P2182">
        <v>13.2</v>
      </c>
      <c r="Q2182">
        <v>3</v>
      </c>
      <c r="R2182">
        <v>3.56</v>
      </c>
      <c r="S2182">
        <v>0</v>
      </c>
      <c r="T2182" t="b">
        <v>0</v>
      </c>
    </row>
    <row r="2183" spans="1:20">
      <c r="A2183" t="s">
        <v>73</v>
      </c>
      <c r="B2183">
        <v>46</v>
      </c>
      <c r="C2183">
        <v>408</v>
      </c>
      <c r="D2183" t="s">
        <v>62</v>
      </c>
      <c r="E2183" t="s">
        <v>62</v>
      </c>
      <c r="F2183">
        <v>0</v>
      </c>
      <c r="G2183">
        <v>40.4</v>
      </c>
      <c r="H2183">
        <v>105</v>
      </c>
      <c r="I2183">
        <v>6.87</v>
      </c>
      <c r="J2183">
        <v>172.4</v>
      </c>
      <c r="K2183">
        <v>83</v>
      </c>
      <c r="L2183">
        <v>14.65</v>
      </c>
      <c r="M2183">
        <v>145.1</v>
      </c>
      <c r="N2183">
        <v>89</v>
      </c>
      <c r="O2183">
        <v>6.53</v>
      </c>
      <c r="P2183">
        <v>9</v>
      </c>
      <c r="Q2183">
        <v>2</v>
      </c>
      <c r="R2183">
        <v>2.43</v>
      </c>
      <c r="S2183">
        <v>2</v>
      </c>
      <c r="T2183" t="b">
        <v>0</v>
      </c>
    </row>
    <row r="2184" spans="1:20">
      <c r="A2184" t="s">
        <v>110</v>
      </c>
      <c r="B2184">
        <v>132</v>
      </c>
      <c r="C2184">
        <v>408</v>
      </c>
      <c r="D2184" t="s">
        <v>62</v>
      </c>
      <c r="E2184" t="s">
        <v>62</v>
      </c>
      <c r="F2184">
        <v>0</v>
      </c>
      <c r="G2184">
        <v>291.2</v>
      </c>
      <c r="H2184">
        <v>104</v>
      </c>
      <c r="I2184">
        <v>49.5</v>
      </c>
      <c r="J2184">
        <v>234.2</v>
      </c>
      <c r="K2184">
        <v>132</v>
      </c>
      <c r="L2184">
        <v>19.91</v>
      </c>
      <c r="M2184">
        <v>191.7</v>
      </c>
      <c r="N2184">
        <v>87</v>
      </c>
      <c r="O2184">
        <v>8.63</v>
      </c>
      <c r="P2184">
        <v>8.9</v>
      </c>
      <c r="Q2184">
        <v>3</v>
      </c>
      <c r="R2184">
        <v>2.4</v>
      </c>
      <c r="S2184">
        <v>1</v>
      </c>
      <c r="T2184" t="b">
        <v>1</v>
      </c>
    </row>
    <row r="2185" spans="1:20">
      <c r="A2185" t="s">
        <v>108</v>
      </c>
      <c r="B2185">
        <v>193</v>
      </c>
      <c r="C2185">
        <v>415</v>
      </c>
      <c r="D2185" t="s">
        <v>62</v>
      </c>
      <c r="E2185" t="s">
        <v>63</v>
      </c>
      <c r="F2185">
        <v>31</v>
      </c>
      <c r="G2185">
        <v>71.2</v>
      </c>
      <c r="H2185">
        <v>58</v>
      </c>
      <c r="I2185">
        <v>12.1</v>
      </c>
      <c r="J2185">
        <v>124.7</v>
      </c>
      <c r="K2185">
        <v>105</v>
      </c>
      <c r="L2185">
        <v>10.6</v>
      </c>
      <c r="M2185">
        <v>155.5</v>
      </c>
      <c r="N2185">
        <v>108</v>
      </c>
      <c r="O2185">
        <v>7</v>
      </c>
      <c r="P2185">
        <v>11.7</v>
      </c>
      <c r="Q2185">
        <v>3</v>
      </c>
      <c r="R2185">
        <v>3.16</v>
      </c>
      <c r="S2185">
        <v>0</v>
      </c>
      <c r="T2185" t="b">
        <v>0</v>
      </c>
    </row>
    <row r="2186" spans="1:20">
      <c r="A2186" t="s">
        <v>71</v>
      </c>
      <c r="B2186">
        <v>63</v>
      </c>
      <c r="C2186">
        <v>510</v>
      </c>
      <c r="D2186" t="s">
        <v>62</v>
      </c>
      <c r="E2186" t="s">
        <v>62</v>
      </c>
      <c r="F2186">
        <v>0</v>
      </c>
      <c r="G2186">
        <v>261.8</v>
      </c>
      <c r="H2186">
        <v>69</v>
      </c>
      <c r="I2186">
        <v>44.51</v>
      </c>
      <c r="J2186">
        <v>245</v>
      </c>
      <c r="K2186">
        <v>135</v>
      </c>
      <c r="L2186">
        <v>20.83</v>
      </c>
      <c r="M2186">
        <v>202.1</v>
      </c>
      <c r="N2186">
        <v>94</v>
      </c>
      <c r="O2186">
        <v>9.09</v>
      </c>
      <c r="P2186">
        <v>14.7</v>
      </c>
      <c r="Q2186">
        <v>4</v>
      </c>
      <c r="R2186">
        <v>3.97</v>
      </c>
      <c r="S2186">
        <v>0</v>
      </c>
      <c r="T2186" t="b">
        <v>1</v>
      </c>
    </row>
    <row r="2187" spans="1:20">
      <c r="A2187" t="s">
        <v>84</v>
      </c>
      <c r="B2187">
        <v>124</v>
      </c>
      <c r="C2187">
        <v>510</v>
      </c>
      <c r="D2187" t="s">
        <v>62</v>
      </c>
      <c r="E2187" t="s">
        <v>62</v>
      </c>
      <c r="F2187">
        <v>0</v>
      </c>
      <c r="G2187">
        <v>191.3</v>
      </c>
      <c r="H2187">
        <v>134</v>
      </c>
      <c r="I2187">
        <v>32.52</v>
      </c>
      <c r="J2187">
        <v>261.5</v>
      </c>
      <c r="K2187">
        <v>113</v>
      </c>
      <c r="L2187">
        <v>22.23</v>
      </c>
      <c r="M2187">
        <v>182.3</v>
      </c>
      <c r="N2187">
        <v>111</v>
      </c>
      <c r="O2187">
        <v>8.2</v>
      </c>
      <c r="P2187">
        <v>10</v>
      </c>
      <c r="Q2187">
        <v>3</v>
      </c>
      <c r="R2187">
        <v>2.7</v>
      </c>
      <c r="S2187">
        <v>1</v>
      </c>
      <c r="T2187" t="b">
        <v>0</v>
      </c>
    </row>
    <row r="2188" spans="1:20">
      <c r="A2188" t="s">
        <v>105</v>
      </c>
      <c r="B2188">
        <v>144</v>
      </c>
      <c r="C2188">
        <v>415</v>
      </c>
      <c r="D2188" t="s">
        <v>62</v>
      </c>
      <c r="E2188" t="s">
        <v>62</v>
      </c>
      <c r="F2188">
        <v>0</v>
      </c>
      <c r="G2188">
        <v>133.3</v>
      </c>
      <c r="H2188">
        <v>101</v>
      </c>
      <c r="I2188">
        <v>22.66</v>
      </c>
      <c r="J2188">
        <v>255.5</v>
      </c>
      <c r="K2188">
        <v>127</v>
      </c>
      <c r="L2188">
        <v>21.72</v>
      </c>
      <c r="M2188">
        <v>228.6</v>
      </c>
      <c r="N2188">
        <v>68</v>
      </c>
      <c r="O2188">
        <v>10.29</v>
      </c>
      <c r="P2188">
        <v>11.6</v>
      </c>
      <c r="Q2188">
        <v>2</v>
      </c>
      <c r="R2188">
        <v>3.13</v>
      </c>
      <c r="S2188">
        <v>0</v>
      </c>
      <c r="T2188" t="b">
        <v>0</v>
      </c>
    </row>
    <row r="2189" spans="1:20">
      <c r="A2189" t="s">
        <v>87</v>
      </c>
      <c r="B2189">
        <v>97</v>
      </c>
      <c r="C2189">
        <v>408</v>
      </c>
      <c r="D2189" t="s">
        <v>62</v>
      </c>
      <c r="E2189" t="s">
        <v>63</v>
      </c>
      <c r="F2189">
        <v>28</v>
      </c>
      <c r="G2189">
        <v>283.1</v>
      </c>
      <c r="H2189">
        <v>93</v>
      </c>
      <c r="I2189">
        <v>48.13</v>
      </c>
      <c r="J2189">
        <v>185.4</v>
      </c>
      <c r="K2189">
        <v>98</v>
      </c>
      <c r="L2189">
        <v>15.76</v>
      </c>
      <c r="M2189">
        <v>312.8</v>
      </c>
      <c r="N2189">
        <v>78</v>
      </c>
      <c r="O2189">
        <v>14.08</v>
      </c>
      <c r="P2189">
        <v>6.1</v>
      </c>
      <c r="Q2189">
        <v>8</v>
      </c>
      <c r="R2189">
        <v>1.65</v>
      </c>
      <c r="S2189">
        <v>1</v>
      </c>
      <c r="T2189" t="b">
        <v>0</v>
      </c>
    </row>
    <row r="2190" spans="1:20">
      <c r="A2190" t="s">
        <v>71</v>
      </c>
      <c r="B2190">
        <v>137</v>
      </c>
      <c r="C2190">
        <v>510</v>
      </c>
      <c r="D2190" t="s">
        <v>62</v>
      </c>
      <c r="E2190" t="s">
        <v>63</v>
      </c>
      <c r="F2190">
        <v>50</v>
      </c>
      <c r="G2190">
        <v>186.5</v>
      </c>
      <c r="H2190">
        <v>94</v>
      </c>
      <c r="I2190">
        <v>31.71</v>
      </c>
      <c r="J2190">
        <v>178</v>
      </c>
      <c r="K2190">
        <v>106</v>
      </c>
      <c r="L2190">
        <v>15.13</v>
      </c>
      <c r="M2190">
        <v>215.6</v>
      </c>
      <c r="N2190">
        <v>100</v>
      </c>
      <c r="O2190">
        <v>9.7</v>
      </c>
      <c r="P2190">
        <v>12.1</v>
      </c>
      <c r="Q2190">
        <v>4</v>
      </c>
      <c r="R2190">
        <v>3.27</v>
      </c>
      <c r="S2190">
        <v>2</v>
      </c>
      <c r="T2190" t="b">
        <v>0</v>
      </c>
    </row>
    <row r="2191" spans="1:20">
      <c r="A2191" t="s">
        <v>86</v>
      </c>
      <c r="B2191">
        <v>142</v>
      </c>
      <c r="C2191">
        <v>415</v>
      </c>
      <c r="D2191" t="s">
        <v>62</v>
      </c>
      <c r="E2191" t="s">
        <v>63</v>
      </c>
      <c r="F2191">
        <v>38</v>
      </c>
      <c r="G2191">
        <v>163.3</v>
      </c>
      <c r="H2191">
        <v>104</v>
      </c>
      <c r="I2191">
        <v>27.76</v>
      </c>
      <c r="J2191">
        <v>136</v>
      </c>
      <c r="K2191">
        <v>114</v>
      </c>
      <c r="L2191">
        <v>11.56</v>
      </c>
      <c r="M2191">
        <v>249.1</v>
      </c>
      <c r="N2191">
        <v>127</v>
      </c>
      <c r="O2191">
        <v>11.21</v>
      </c>
      <c r="P2191">
        <v>4.3</v>
      </c>
      <c r="Q2191">
        <v>6</v>
      </c>
      <c r="R2191">
        <v>1.16</v>
      </c>
      <c r="S2191">
        <v>0</v>
      </c>
      <c r="T2191" t="b">
        <v>0</v>
      </c>
    </row>
    <row r="2192" spans="1:20">
      <c r="A2192" t="s">
        <v>87</v>
      </c>
      <c r="B2192">
        <v>119</v>
      </c>
      <c r="C2192">
        <v>415</v>
      </c>
      <c r="D2192" t="s">
        <v>62</v>
      </c>
      <c r="E2192" t="s">
        <v>63</v>
      </c>
      <c r="F2192">
        <v>19</v>
      </c>
      <c r="G2192">
        <v>178.1</v>
      </c>
      <c r="H2192">
        <v>110</v>
      </c>
      <c r="I2192">
        <v>30.28</v>
      </c>
      <c r="J2192">
        <v>212.8</v>
      </c>
      <c r="K2192">
        <v>100</v>
      </c>
      <c r="L2192">
        <v>18.09</v>
      </c>
      <c r="M2192">
        <v>226.3</v>
      </c>
      <c r="N2192">
        <v>123</v>
      </c>
      <c r="O2192">
        <v>10.18</v>
      </c>
      <c r="P2192">
        <v>10</v>
      </c>
      <c r="Q2192">
        <v>6</v>
      </c>
      <c r="R2192">
        <v>2.7</v>
      </c>
      <c r="S2192">
        <v>1</v>
      </c>
      <c r="T2192" t="b">
        <v>0</v>
      </c>
    </row>
    <row r="2193" spans="1:20">
      <c r="A2193" t="s">
        <v>110</v>
      </c>
      <c r="B2193">
        <v>158</v>
      </c>
      <c r="C2193">
        <v>415</v>
      </c>
      <c r="D2193" t="s">
        <v>62</v>
      </c>
      <c r="E2193" t="s">
        <v>62</v>
      </c>
      <c r="F2193">
        <v>0</v>
      </c>
      <c r="G2193">
        <v>195.9</v>
      </c>
      <c r="H2193">
        <v>103</v>
      </c>
      <c r="I2193">
        <v>33.3</v>
      </c>
      <c r="J2193">
        <v>89.1</v>
      </c>
      <c r="K2193">
        <v>95</v>
      </c>
      <c r="L2193">
        <v>7.57</v>
      </c>
      <c r="M2193">
        <v>302.2</v>
      </c>
      <c r="N2193">
        <v>82</v>
      </c>
      <c r="O2193">
        <v>13.6</v>
      </c>
      <c r="P2193">
        <v>10.3</v>
      </c>
      <c r="Q2193">
        <v>3</v>
      </c>
      <c r="R2193">
        <v>2.78</v>
      </c>
      <c r="S2193">
        <v>1</v>
      </c>
      <c r="T2193" t="b">
        <v>0</v>
      </c>
    </row>
    <row r="2194" spans="1:20">
      <c r="A2194" t="s">
        <v>115</v>
      </c>
      <c r="B2194">
        <v>50</v>
      </c>
      <c r="C2194">
        <v>415</v>
      </c>
      <c r="D2194" t="s">
        <v>62</v>
      </c>
      <c r="E2194" t="s">
        <v>62</v>
      </c>
      <c r="F2194">
        <v>0</v>
      </c>
      <c r="G2194">
        <v>295.3</v>
      </c>
      <c r="H2194">
        <v>127</v>
      </c>
      <c r="I2194">
        <v>50.2</v>
      </c>
      <c r="J2194">
        <v>127.4</v>
      </c>
      <c r="K2194">
        <v>100</v>
      </c>
      <c r="L2194">
        <v>10.83</v>
      </c>
      <c r="M2194">
        <v>166.8</v>
      </c>
      <c r="N2194">
        <v>105</v>
      </c>
      <c r="O2194">
        <v>7.51</v>
      </c>
      <c r="P2194">
        <v>9.6</v>
      </c>
      <c r="Q2194">
        <v>6</v>
      </c>
      <c r="R2194">
        <v>2.59</v>
      </c>
      <c r="S2194">
        <v>1</v>
      </c>
      <c r="T2194" t="b">
        <v>0</v>
      </c>
    </row>
    <row r="2195" spans="1:20">
      <c r="A2195" t="s">
        <v>88</v>
      </c>
      <c r="B2195">
        <v>98</v>
      </c>
      <c r="C2195">
        <v>408</v>
      </c>
      <c r="D2195" t="s">
        <v>62</v>
      </c>
      <c r="E2195" t="s">
        <v>62</v>
      </c>
      <c r="F2195">
        <v>0</v>
      </c>
      <c r="G2195">
        <v>136.1</v>
      </c>
      <c r="H2195">
        <v>82</v>
      </c>
      <c r="I2195">
        <v>23.14</v>
      </c>
      <c r="J2195">
        <v>156.3</v>
      </c>
      <c r="K2195">
        <v>118</v>
      </c>
      <c r="L2195">
        <v>13.29</v>
      </c>
      <c r="M2195">
        <v>158.8</v>
      </c>
      <c r="N2195">
        <v>83</v>
      </c>
      <c r="O2195">
        <v>7.15</v>
      </c>
      <c r="P2195">
        <v>10.1</v>
      </c>
      <c r="Q2195">
        <v>5</v>
      </c>
      <c r="R2195">
        <v>2.73</v>
      </c>
      <c r="S2195">
        <v>2</v>
      </c>
      <c r="T2195" t="b">
        <v>0</v>
      </c>
    </row>
    <row r="2196" spans="1:20">
      <c r="A2196" t="s">
        <v>114</v>
      </c>
      <c r="B2196">
        <v>101</v>
      </c>
      <c r="C2196">
        <v>415</v>
      </c>
      <c r="D2196" t="s">
        <v>62</v>
      </c>
      <c r="E2196" t="s">
        <v>63</v>
      </c>
      <c r="F2196">
        <v>24</v>
      </c>
      <c r="G2196">
        <v>114.1</v>
      </c>
      <c r="H2196">
        <v>95</v>
      </c>
      <c r="I2196">
        <v>19.4</v>
      </c>
      <c r="J2196">
        <v>161.5</v>
      </c>
      <c r="K2196">
        <v>86</v>
      </c>
      <c r="L2196">
        <v>13.73</v>
      </c>
      <c r="M2196">
        <v>176.3</v>
      </c>
      <c r="N2196">
        <v>90</v>
      </c>
      <c r="O2196">
        <v>7.93</v>
      </c>
      <c r="P2196">
        <v>13</v>
      </c>
      <c r="Q2196">
        <v>9</v>
      </c>
      <c r="R2196">
        <v>3.51</v>
      </c>
      <c r="S2196">
        <v>2</v>
      </c>
      <c r="T2196" t="b">
        <v>0</v>
      </c>
    </row>
    <row r="2197" spans="1:20">
      <c r="A2197" t="s">
        <v>71</v>
      </c>
      <c r="B2197">
        <v>51</v>
      </c>
      <c r="C2197">
        <v>408</v>
      </c>
      <c r="D2197" t="s">
        <v>62</v>
      </c>
      <c r="E2197" t="s">
        <v>62</v>
      </c>
      <c r="F2197">
        <v>0</v>
      </c>
      <c r="G2197">
        <v>169.3</v>
      </c>
      <c r="H2197">
        <v>111</v>
      </c>
      <c r="I2197">
        <v>28.78</v>
      </c>
      <c r="J2197">
        <v>139.5</v>
      </c>
      <c r="K2197">
        <v>69</v>
      </c>
      <c r="L2197">
        <v>11.86</v>
      </c>
      <c r="M2197">
        <v>197</v>
      </c>
      <c r="N2197">
        <v>87</v>
      </c>
      <c r="O2197">
        <v>8.87</v>
      </c>
      <c r="P2197">
        <v>12</v>
      </c>
      <c r="Q2197">
        <v>3</v>
      </c>
      <c r="R2197">
        <v>3.24</v>
      </c>
      <c r="S2197">
        <v>0</v>
      </c>
      <c r="T2197" t="b">
        <v>0</v>
      </c>
    </row>
    <row r="2198" spans="1:20">
      <c r="A2198" t="s">
        <v>100</v>
      </c>
      <c r="B2198">
        <v>117</v>
      </c>
      <c r="C2198">
        <v>510</v>
      </c>
      <c r="D2198" t="s">
        <v>62</v>
      </c>
      <c r="E2198" t="s">
        <v>62</v>
      </c>
      <c r="F2198">
        <v>0</v>
      </c>
      <c r="G2198">
        <v>214.4</v>
      </c>
      <c r="H2198">
        <v>94</v>
      </c>
      <c r="I2198">
        <v>36.45</v>
      </c>
      <c r="J2198">
        <v>138</v>
      </c>
      <c r="K2198">
        <v>149</v>
      </c>
      <c r="L2198">
        <v>11.73</v>
      </c>
      <c r="M2198">
        <v>148.7</v>
      </c>
      <c r="N2198">
        <v>102</v>
      </c>
      <c r="O2198">
        <v>6.69</v>
      </c>
      <c r="P2198">
        <v>9.9</v>
      </c>
      <c r="Q2198">
        <v>1</v>
      </c>
      <c r="R2198">
        <v>2.67</v>
      </c>
      <c r="S2198">
        <v>2</v>
      </c>
      <c r="T2198" t="b">
        <v>0</v>
      </c>
    </row>
    <row r="2199" spans="1:20">
      <c r="A2199" t="s">
        <v>113</v>
      </c>
      <c r="B2199">
        <v>92</v>
      </c>
      <c r="C2199">
        <v>415</v>
      </c>
      <c r="D2199" t="s">
        <v>63</v>
      </c>
      <c r="E2199" t="s">
        <v>62</v>
      </c>
      <c r="F2199">
        <v>0</v>
      </c>
      <c r="G2199">
        <v>255.8</v>
      </c>
      <c r="H2199">
        <v>125</v>
      </c>
      <c r="I2199">
        <v>43.49</v>
      </c>
      <c r="J2199">
        <v>142.7</v>
      </c>
      <c r="K2199">
        <v>111</v>
      </c>
      <c r="L2199">
        <v>12.13</v>
      </c>
      <c r="M2199">
        <v>181.2</v>
      </c>
      <c r="N2199">
        <v>101</v>
      </c>
      <c r="O2199">
        <v>8.15</v>
      </c>
      <c r="P2199">
        <v>11.7</v>
      </c>
      <c r="Q2199">
        <v>3</v>
      </c>
      <c r="R2199">
        <v>3.16</v>
      </c>
      <c r="S2199">
        <v>0</v>
      </c>
      <c r="T2199" t="b">
        <v>0</v>
      </c>
    </row>
    <row r="2200" spans="1:20">
      <c r="A2200" t="s">
        <v>110</v>
      </c>
      <c r="B2200">
        <v>86</v>
      </c>
      <c r="C2200">
        <v>408</v>
      </c>
      <c r="D2200" t="s">
        <v>62</v>
      </c>
      <c r="E2200" t="s">
        <v>62</v>
      </c>
      <c r="F2200">
        <v>0</v>
      </c>
      <c r="G2200">
        <v>148.2</v>
      </c>
      <c r="H2200">
        <v>71</v>
      </c>
      <c r="I2200">
        <v>25.19</v>
      </c>
      <c r="J2200">
        <v>285.1</v>
      </c>
      <c r="K2200">
        <v>91</v>
      </c>
      <c r="L2200">
        <v>24.23</v>
      </c>
      <c r="M2200">
        <v>166.4</v>
      </c>
      <c r="N2200">
        <v>155</v>
      </c>
      <c r="O2200">
        <v>7.49</v>
      </c>
      <c r="P2200">
        <v>6.2</v>
      </c>
      <c r="Q2200">
        <v>3</v>
      </c>
      <c r="R2200">
        <v>1.67</v>
      </c>
      <c r="S2200">
        <v>2</v>
      </c>
      <c r="T2200" t="b">
        <v>0</v>
      </c>
    </row>
    <row r="2201" spans="1:20">
      <c r="A2201" t="s">
        <v>85</v>
      </c>
      <c r="B2201">
        <v>122</v>
      </c>
      <c r="C2201">
        <v>415</v>
      </c>
      <c r="D2201" t="s">
        <v>62</v>
      </c>
      <c r="E2201" t="s">
        <v>62</v>
      </c>
      <c r="F2201">
        <v>0</v>
      </c>
      <c r="G2201">
        <v>119.3</v>
      </c>
      <c r="H2201">
        <v>93</v>
      </c>
      <c r="I2201">
        <v>20.28</v>
      </c>
      <c r="J2201">
        <v>223.9</v>
      </c>
      <c r="K2201">
        <v>103</v>
      </c>
      <c r="L2201">
        <v>19.03</v>
      </c>
      <c r="M2201">
        <v>211.9</v>
      </c>
      <c r="N2201">
        <v>122</v>
      </c>
      <c r="O2201">
        <v>9.54</v>
      </c>
      <c r="P2201">
        <v>8.7</v>
      </c>
      <c r="Q2201">
        <v>4</v>
      </c>
      <c r="R2201">
        <v>2.35</v>
      </c>
      <c r="S2201">
        <v>2</v>
      </c>
      <c r="T2201" t="b">
        <v>0</v>
      </c>
    </row>
    <row r="2202" spans="1:20">
      <c r="A2202" t="s">
        <v>65</v>
      </c>
      <c r="B2202">
        <v>156</v>
      </c>
      <c r="C2202">
        <v>408</v>
      </c>
      <c r="D2202" t="s">
        <v>62</v>
      </c>
      <c r="E2202" t="s">
        <v>63</v>
      </c>
      <c r="F2202">
        <v>27</v>
      </c>
      <c r="G2202">
        <v>192.3</v>
      </c>
      <c r="H2202">
        <v>137</v>
      </c>
      <c r="I2202">
        <v>32.69</v>
      </c>
      <c r="J2202">
        <v>199.9</v>
      </c>
      <c r="K2202">
        <v>115</v>
      </c>
      <c r="L2202">
        <v>16.99</v>
      </c>
      <c r="M2202">
        <v>244.2</v>
      </c>
      <c r="N2202">
        <v>112</v>
      </c>
      <c r="O2202">
        <v>10.99</v>
      </c>
      <c r="P2202">
        <v>14.8</v>
      </c>
      <c r="Q2202">
        <v>8</v>
      </c>
      <c r="R2202">
        <v>4</v>
      </c>
      <c r="S2202">
        <v>1</v>
      </c>
      <c r="T2202" t="b">
        <v>0</v>
      </c>
    </row>
    <row r="2203" spans="1:20">
      <c r="A2203" t="s">
        <v>65</v>
      </c>
      <c r="B2203">
        <v>127</v>
      </c>
      <c r="C2203">
        <v>510</v>
      </c>
      <c r="D2203" t="s">
        <v>62</v>
      </c>
      <c r="E2203" t="s">
        <v>62</v>
      </c>
      <c r="F2203">
        <v>0</v>
      </c>
      <c r="G2203">
        <v>245.2</v>
      </c>
      <c r="H2203">
        <v>91</v>
      </c>
      <c r="I2203">
        <v>41.68</v>
      </c>
      <c r="J2203">
        <v>217.2</v>
      </c>
      <c r="K2203">
        <v>92</v>
      </c>
      <c r="L2203">
        <v>18.46</v>
      </c>
      <c r="M2203">
        <v>243.1</v>
      </c>
      <c r="N2203">
        <v>128</v>
      </c>
      <c r="O2203">
        <v>10.94</v>
      </c>
      <c r="P2203">
        <v>13.9</v>
      </c>
      <c r="Q2203">
        <v>6</v>
      </c>
      <c r="R2203">
        <v>3.75</v>
      </c>
      <c r="S2203">
        <v>0</v>
      </c>
      <c r="T2203" t="b">
        <v>1</v>
      </c>
    </row>
    <row r="2204" spans="1:20">
      <c r="A2204" t="s">
        <v>100</v>
      </c>
      <c r="B2204">
        <v>130</v>
      </c>
      <c r="C2204">
        <v>408</v>
      </c>
      <c r="D2204" t="s">
        <v>63</v>
      </c>
      <c r="E2204" t="s">
        <v>62</v>
      </c>
      <c r="F2204">
        <v>0</v>
      </c>
      <c r="G2204">
        <v>216.2</v>
      </c>
      <c r="H2204">
        <v>106</v>
      </c>
      <c r="I2204">
        <v>36.75</v>
      </c>
      <c r="J2204">
        <v>363.7</v>
      </c>
      <c r="K2204">
        <v>86</v>
      </c>
      <c r="L2204">
        <v>30.91</v>
      </c>
      <c r="M2204">
        <v>126.7</v>
      </c>
      <c r="N2204">
        <v>123</v>
      </c>
      <c r="O2204">
        <v>5.7</v>
      </c>
      <c r="P2204">
        <v>16.9</v>
      </c>
      <c r="Q2204">
        <v>2</v>
      </c>
      <c r="R2204">
        <v>4.56</v>
      </c>
      <c r="S2204">
        <v>5</v>
      </c>
      <c r="T2204" t="b">
        <v>1</v>
      </c>
    </row>
    <row r="2205" spans="1:20">
      <c r="A2205" t="s">
        <v>103</v>
      </c>
      <c r="B2205">
        <v>158</v>
      </c>
      <c r="C2205">
        <v>408</v>
      </c>
      <c r="D2205" t="s">
        <v>62</v>
      </c>
      <c r="E2205" t="s">
        <v>62</v>
      </c>
      <c r="F2205">
        <v>0</v>
      </c>
      <c r="G2205">
        <v>172.4</v>
      </c>
      <c r="H2205">
        <v>114</v>
      </c>
      <c r="I2205">
        <v>29.31</v>
      </c>
      <c r="J2205">
        <v>256.6</v>
      </c>
      <c r="K2205">
        <v>69</v>
      </c>
      <c r="L2205">
        <v>21.81</v>
      </c>
      <c r="M2205">
        <v>235.3</v>
      </c>
      <c r="N2205">
        <v>104</v>
      </c>
      <c r="O2205">
        <v>10.59</v>
      </c>
      <c r="P2205">
        <v>0</v>
      </c>
      <c r="Q2205">
        <v>0</v>
      </c>
      <c r="R2205">
        <v>0</v>
      </c>
      <c r="S2205">
        <v>2</v>
      </c>
      <c r="T2205" t="b">
        <v>0</v>
      </c>
    </row>
    <row r="2206" spans="1:20">
      <c r="A2206" t="s">
        <v>109</v>
      </c>
      <c r="B2206">
        <v>145</v>
      </c>
      <c r="C2206">
        <v>510</v>
      </c>
      <c r="D2206" t="s">
        <v>63</v>
      </c>
      <c r="E2206" t="s">
        <v>63</v>
      </c>
      <c r="F2206">
        <v>30</v>
      </c>
      <c r="G2206">
        <v>175.3</v>
      </c>
      <c r="H2206">
        <v>107</v>
      </c>
      <c r="I2206">
        <v>29.8</v>
      </c>
      <c r="J2206">
        <v>153.3</v>
      </c>
      <c r="K2206">
        <v>116</v>
      </c>
      <c r="L2206">
        <v>13.03</v>
      </c>
      <c r="M2206">
        <v>233.6</v>
      </c>
      <c r="N2206">
        <v>85</v>
      </c>
      <c r="O2206">
        <v>10.51</v>
      </c>
      <c r="P2206">
        <v>11.1</v>
      </c>
      <c r="Q2206">
        <v>3</v>
      </c>
      <c r="R2206">
        <v>3</v>
      </c>
      <c r="S2206">
        <v>1</v>
      </c>
      <c r="T2206" t="b">
        <v>0</v>
      </c>
    </row>
    <row r="2207" spans="1:20">
      <c r="A2207" t="s">
        <v>80</v>
      </c>
      <c r="B2207">
        <v>90</v>
      </c>
      <c r="C2207">
        <v>415</v>
      </c>
      <c r="D2207" t="s">
        <v>63</v>
      </c>
      <c r="E2207" t="s">
        <v>63</v>
      </c>
      <c r="F2207">
        <v>26</v>
      </c>
      <c r="G2207">
        <v>169</v>
      </c>
      <c r="H2207">
        <v>104</v>
      </c>
      <c r="I2207">
        <v>28.73</v>
      </c>
      <c r="J2207">
        <v>188.8</v>
      </c>
      <c r="K2207">
        <v>104</v>
      </c>
      <c r="L2207">
        <v>16.05</v>
      </c>
      <c r="M2207">
        <v>213.3</v>
      </c>
      <c r="N2207">
        <v>76</v>
      </c>
      <c r="O2207">
        <v>9.6</v>
      </c>
      <c r="P2207">
        <v>13.3</v>
      </c>
      <c r="Q2207">
        <v>3</v>
      </c>
      <c r="R2207">
        <v>3.59</v>
      </c>
      <c r="S2207">
        <v>0</v>
      </c>
      <c r="T2207" t="b">
        <v>1</v>
      </c>
    </row>
    <row r="2208" spans="1:20">
      <c r="A2208" t="s">
        <v>66</v>
      </c>
      <c r="B2208">
        <v>127</v>
      </c>
      <c r="C2208">
        <v>510</v>
      </c>
      <c r="D2208" t="s">
        <v>62</v>
      </c>
      <c r="E2208" t="s">
        <v>63</v>
      </c>
      <c r="F2208">
        <v>27</v>
      </c>
      <c r="G2208">
        <v>2.6</v>
      </c>
      <c r="H2208">
        <v>113</v>
      </c>
      <c r="I2208">
        <v>0.44</v>
      </c>
      <c r="J2208">
        <v>254</v>
      </c>
      <c r="K2208">
        <v>102</v>
      </c>
      <c r="L2208">
        <v>21.59</v>
      </c>
      <c r="M2208">
        <v>242.7</v>
      </c>
      <c r="N2208">
        <v>156</v>
      </c>
      <c r="O2208">
        <v>10.92</v>
      </c>
      <c r="P2208">
        <v>9.2</v>
      </c>
      <c r="Q2208">
        <v>5</v>
      </c>
      <c r="R2208">
        <v>2.48</v>
      </c>
      <c r="S2208">
        <v>3</v>
      </c>
      <c r="T2208" t="b">
        <v>0</v>
      </c>
    </row>
    <row r="2209" spans="1:20">
      <c r="A2209" t="s">
        <v>77</v>
      </c>
      <c r="B2209">
        <v>109</v>
      </c>
      <c r="C2209">
        <v>415</v>
      </c>
      <c r="D2209" t="s">
        <v>62</v>
      </c>
      <c r="E2209" t="s">
        <v>62</v>
      </c>
      <c r="F2209">
        <v>0</v>
      </c>
      <c r="G2209">
        <v>184.1</v>
      </c>
      <c r="H2209">
        <v>143</v>
      </c>
      <c r="I2209">
        <v>31.3</v>
      </c>
      <c r="J2209">
        <v>211.7</v>
      </c>
      <c r="K2209">
        <v>105</v>
      </c>
      <c r="L2209">
        <v>17.99</v>
      </c>
      <c r="M2209">
        <v>243</v>
      </c>
      <c r="N2209">
        <v>116</v>
      </c>
      <c r="O2209">
        <v>10.93</v>
      </c>
      <c r="P2209">
        <v>9.9</v>
      </c>
      <c r="Q2209">
        <v>2</v>
      </c>
      <c r="R2209">
        <v>2.67</v>
      </c>
      <c r="S2209">
        <v>1</v>
      </c>
      <c r="T2209" t="b">
        <v>0</v>
      </c>
    </row>
    <row r="2210" spans="1:20">
      <c r="A2210" t="s">
        <v>67</v>
      </c>
      <c r="B2210">
        <v>88</v>
      </c>
      <c r="C2210">
        <v>415</v>
      </c>
      <c r="D2210" t="s">
        <v>62</v>
      </c>
      <c r="E2210" t="s">
        <v>62</v>
      </c>
      <c r="F2210">
        <v>0</v>
      </c>
      <c r="G2210">
        <v>181.9</v>
      </c>
      <c r="H2210">
        <v>90</v>
      </c>
      <c r="I2210">
        <v>30.92</v>
      </c>
      <c r="J2210">
        <v>151.5</v>
      </c>
      <c r="K2210">
        <v>87</v>
      </c>
      <c r="L2210">
        <v>12.88</v>
      </c>
      <c r="M2210">
        <v>143</v>
      </c>
      <c r="N2210">
        <v>100</v>
      </c>
      <c r="O2210">
        <v>6.44</v>
      </c>
      <c r="P2210">
        <v>7.5</v>
      </c>
      <c r="Q2210">
        <v>3</v>
      </c>
      <c r="R2210">
        <v>2.03</v>
      </c>
      <c r="S2210">
        <v>1</v>
      </c>
      <c r="T2210" t="b">
        <v>0</v>
      </c>
    </row>
    <row r="2211" spans="1:20">
      <c r="A2211" t="s">
        <v>85</v>
      </c>
      <c r="B2211">
        <v>101</v>
      </c>
      <c r="C2211">
        <v>510</v>
      </c>
      <c r="D2211" t="s">
        <v>62</v>
      </c>
      <c r="E2211" t="s">
        <v>63</v>
      </c>
      <c r="F2211">
        <v>9</v>
      </c>
      <c r="G2211">
        <v>160.1</v>
      </c>
      <c r="H2211">
        <v>116</v>
      </c>
      <c r="I2211">
        <v>27.22</v>
      </c>
      <c r="J2211">
        <v>210</v>
      </c>
      <c r="K2211">
        <v>121</v>
      </c>
      <c r="L2211">
        <v>17.85</v>
      </c>
      <c r="M2211">
        <v>139.1</v>
      </c>
      <c r="N2211">
        <v>65</v>
      </c>
      <c r="O2211">
        <v>6.26</v>
      </c>
      <c r="P2211">
        <v>10.8</v>
      </c>
      <c r="Q2211">
        <v>9</v>
      </c>
      <c r="R2211">
        <v>2.92</v>
      </c>
      <c r="S2211">
        <v>0</v>
      </c>
      <c r="T2211" t="b">
        <v>0</v>
      </c>
    </row>
    <row r="2212" spans="1:20">
      <c r="A2212" t="s">
        <v>79</v>
      </c>
      <c r="B2212">
        <v>21</v>
      </c>
      <c r="C2212">
        <v>415</v>
      </c>
      <c r="D2212" t="s">
        <v>62</v>
      </c>
      <c r="E2212" t="s">
        <v>62</v>
      </c>
      <c r="F2212">
        <v>0</v>
      </c>
      <c r="G2212">
        <v>223.2</v>
      </c>
      <c r="H2212">
        <v>142</v>
      </c>
      <c r="I2212">
        <v>37.94</v>
      </c>
      <c r="J2212">
        <v>216.5</v>
      </c>
      <c r="K2212">
        <v>114</v>
      </c>
      <c r="L2212">
        <v>18.4</v>
      </c>
      <c r="M2212">
        <v>214.7</v>
      </c>
      <c r="N2212">
        <v>111</v>
      </c>
      <c r="O2212">
        <v>9.66</v>
      </c>
      <c r="P2212">
        <v>12.4</v>
      </c>
      <c r="Q2212">
        <v>2</v>
      </c>
      <c r="R2212">
        <v>3.35</v>
      </c>
      <c r="S2212">
        <v>1</v>
      </c>
      <c r="T2212" t="b">
        <v>0</v>
      </c>
    </row>
    <row r="2213" spans="1:20">
      <c r="A2213" t="s">
        <v>71</v>
      </c>
      <c r="B2213">
        <v>145</v>
      </c>
      <c r="C2213">
        <v>408</v>
      </c>
      <c r="D2213" t="s">
        <v>62</v>
      </c>
      <c r="E2213" t="s">
        <v>63</v>
      </c>
      <c r="F2213">
        <v>31</v>
      </c>
      <c r="G2213">
        <v>216</v>
      </c>
      <c r="H2213">
        <v>94</v>
      </c>
      <c r="I2213">
        <v>36.72</v>
      </c>
      <c r="J2213">
        <v>225.1</v>
      </c>
      <c r="K2213">
        <v>123</v>
      </c>
      <c r="L2213">
        <v>19.13</v>
      </c>
      <c r="M2213">
        <v>234.7</v>
      </c>
      <c r="N2213">
        <v>109</v>
      </c>
      <c r="O2213">
        <v>10.56</v>
      </c>
      <c r="P2213">
        <v>10.7</v>
      </c>
      <c r="Q2213">
        <v>1</v>
      </c>
      <c r="R2213">
        <v>2.89</v>
      </c>
      <c r="S2213">
        <v>2</v>
      </c>
      <c r="T2213" t="b">
        <v>0</v>
      </c>
    </row>
    <row r="2214" spans="1:20">
      <c r="A2214" t="s">
        <v>98</v>
      </c>
      <c r="B2214">
        <v>33</v>
      </c>
      <c r="C2214">
        <v>408</v>
      </c>
      <c r="D2214" t="s">
        <v>62</v>
      </c>
      <c r="E2214" t="s">
        <v>62</v>
      </c>
      <c r="F2214">
        <v>0</v>
      </c>
      <c r="G2214">
        <v>159.5</v>
      </c>
      <c r="H2214">
        <v>115</v>
      </c>
      <c r="I2214">
        <v>27.12</v>
      </c>
      <c r="J2214">
        <v>195.4</v>
      </c>
      <c r="K2214">
        <v>118</v>
      </c>
      <c r="L2214">
        <v>16.61</v>
      </c>
      <c r="M2214">
        <v>102.4</v>
      </c>
      <c r="N2214">
        <v>86</v>
      </c>
      <c r="O2214">
        <v>4.61</v>
      </c>
      <c r="P2214">
        <v>7.1</v>
      </c>
      <c r="Q2214">
        <v>7</v>
      </c>
      <c r="R2214">
        <v>1.92</v>
      </c>
      <c r="S2214">
        <v>1</v>
      </c>
      <c r="T2214" t="b">
        <v>0</v>
      </c>
    </row>
    <row r="2215" spans="1:20">
      <c r="A2215" t="s">
        <v>113</v>
      </c>
      <c r="B2215">
        <v>61</v>
      </c>
      <c r="C2215">
        <v>408</v>
      </c>
      <c r="D2215" t="s">
        <v>62</v>
      </c>
      <c r="E2215" t="s">
        <v>63</v>
      </c>
      <c r="F2215">
        <v>40</v>
      </c>
      <c r="G2215">
        <v>105</v>
      </c>
      <c r="H2215">
        <v>78</v>
      </c>
      <c r="I2215">
        <v>17.85</v>
      </c>
      <c r="J2215">
        <v>180.6</v>
      </c>
      <c r="K2215">
        <v>100</v>
      </c>
      <c r="L2215">
        <v>15.35</v>
      </c>
      <c r="M2215">
        <v>174.1</v>
      </c>
      <c r="N2215">
        <v>115</v>
      </c>
      <c r="O2215">
        <v>7.83</v>
      </c>
      <c r="P2215">
        <v>10.2</v>
      </c>
      <c r="Q2215">
        <v>2</v>
      </c>
      <c r="R2215">
        <v>2.75</v>
      </c>
      <c r="S2215">
        <v>2</v>
      </c>
      <c r="T2215" t="b">
        <v>1</v>
      </c>
    </row>
    <row r="2216" spans="1:20">
      <c r="A2216" t="s">
        <v>82</v>
      </c>
      <c r="B2216">
        <v>107</v>
      </c>
      <c r="C2216">
        <v>415</v>
      </c>
      <c r="D2216" t="s">
        <v>62</v>
      </c>
      <c r="E2216" t="s">
        <v>62</v>
      </c>
      <c r="F2216">
        <v>0</v>
      </c>
      <c r="G2216">
        <v>204.5</v>
      </c>
      <c r="H2216">
        <v>108</v>
      </c>
      <c r="I2216">
        <v>34.77</v>
      </c>
      <c r="J2216">
        <v>162.4</v>
      </c>
      <c r="K2216">
        <v>110</v>
      </c>
      <c r="L2216">
        <v>13.8</v>
      </c>
      <c r="M2216">
        <v>155</v>
      </c>
      <c r="N2216">
        <v>102</v>
      </c>
      <c r="O2216">
        <v>6.98</v>
      </c>
      <c r="P2216">
        <v>13.4</v>
      </c>
      <c r="Q2216">
        <v>1</v>
      </c>
      <c r="R2216">
        <v>3.62</v>
      </c>
      <c r="S2216">
        <v>3</v>
      </c>
      <c r="T2216" t="b">
        <v>0</v>
      </c>
    </row>
    <row r="2217" spans="1:20">
      <c r="A2217" t="s">
        <v>91</v>
      </c>
      <c r="B2217">
        <v>147</v>
      </c>
      <c r="C2217">
        <v>408</v>
      </c>
      <c r="D2217" t="s">
        <v>62</v>
      </c>
      <c r="E2217" t="s">
        <v>62</v>
      </c>
      <c r="F2217">
        <v>0</v>
      </c>
      <c r="G2217">
        <v>274</v>
      </c>
      <c r="H2217">
        <v>92</v>
      </c>
      <c r="I2217">
        <v>46.58</v>
      </c>
      <c r="J2217">
        <v>231.8</v>
      </c>
      <c r="K2217">
        <v>82</v>
      </c>
      <c r="L2217">
        <v>19.7</v>
      </c>
      <c r="M2217">
        <v>283.6</v>
      </c>
      <c r="N2217">
        <v>83</v>
      </c>
      <c r="O2217">
        <v>12.76</v>
      </c>
      <c r="P2217">
        <v>6.2</v>
      </c>
      <c r="Q2217">
        <v>1</v>
      </c>
      <c r="R2217">
        <v>1.67</v>
      </c>
      <c r="S2217">
        <v>0</v>
      </c>
      <c r="T2217" t="b">
        <v>1</v>
      </c>
    </row>
    <row r="2218" spans="1:20">
      <c r="A2218" t="s">
        <v>67</v>
      </c>
      <c r="B2218">
        <v>95</v>
      </c>
      <c r="C2218">
        <v>415</v>
      </c>
      <c r="D2218" t="s">
        <v>62</v>
      </c>
      <c r="E2218" t="s">
        <v>62</v>
      </c>
      <c r="F2218">
        <v>0</v>
      </c>
      <c r="G2218">
        <v>229.9</v>
      </c>
      <c r="H2218">
        <v>116</v>
      </c>
      <c r="I2218">
        <v>39.08</v>
      </c>
      <c r="J2218">
        <v>202.4</v>
      </c>
      <c r="K2218">
        <v>110</v>
      </c>
      <c r="L2218">
        <v>17.2</v>
      </c>
      <c r="M2218">
        <v>171.4</v>
      </c>
      <c r="N2218">
        <v>105</v>
      </c>
      <c r="O2218">
        <v>7.71</v>
      </c>
      <c r="P2218">
        <v>14.2</v>
      </c>
      <c r="Q2218">
        <v>6</v>
      </c>
      <c r="R2218">
        <v>3.83</v>
      </c>
      <c r="S2218">
        <v>1</v>
      </c>
      <c r="T2218" t="b">
        <v>0</v>
      </c>
    </row>
    <row r="2219" spans="1:20">
      <c r="A2219" t="s">
        <v>110</v>
      </c>
      <c r="B2219">
        <v>128</v>
      </c>
      <c r="C2219">
        <v>415</v>
      </c>
      <c r="D2219" t="s">
        <v>62</v>
      </c>
      <c r="E2219" t="s">
        <v>62</v>
      </c>
      <c r="F2219">
        <v>0</v>
      </c>
      <c r="G2219">
        <v>179.4</v>
      </c>
      <c r="H2219">
        <v>94</v>
      </c>
      <c r="I2219">
        <v>30.5</v>
      </c>
      <c r="J2219">
        <v>270.4</v>
      </c>
      <c r="K2219">
        <v>92</v>
      </c>
      <c r="L2219">
        <v>22.98</v>
      </c>
      <c r="M2219">
        <v>191</v>
      </c>
      <c r="N2219">
        <v>88</v>
      </c>
      <c r="O2219">
        <v>8.59</v>
      </c>
      <c r="P2219">
        <v>7.9</v>
      </c>
      <c r="Q2219">
        <v>4</v>
      </c>
      <c r="R2219">
        <v>2.13</v>
      </c>
      <c r="S2219">
        <v>0</v>
      </c>
      <c r="T2219" t="b">
        <v>0</v>
      </c>
    </row>
    <row r="2220" spans="1:20">
      <c r="A2220" t="s">
        <v>64</v>
      </c>
      <c r="B2220">
        <v>134</v>
      </c>
      <c r="C2220">
        <v>415</v>
      </c>
      <c r="D2220" t="s">
        <v>62</v>
      </c>
      <c r="E2220" t="s">
        <v>62</v>
      </c>
      <c r="F2220">
        <v>0</v>
      </c>
      <c r="G2220">
        <v>7.8</v>
      </c>
      <c r="H2220">
        <v>86</v>
      </c>
      <c r="I2220">
        <v>1.33</v>
      </c>
      <c r="J2220">
        <v>171.4</v>
      </c>
      <c r="K2220">
        <v>100</v>
      </c>
      <c r="L2220">
        <v>14.57</v>
      </c>
      <c r="M2220">
        <v>186.5</v>
      </c>
      <c r="N2220">
        <v>80</v>
      </c>
      <c r="O2220">
        <v>8.39</v>
      </c>
      <c r="P2220">
        <v>12.9</v>
      </c>
      <c r="Q2220">
        <v>2</v>
      </c>
      <c r="R2220">
        <v>3.48</v>
      </c>
      <c r="S2220">
        <v>2</v>
      </c>
      <c r="T2220" t="b">
        <v>0</v>
      </c>
    </row>
    <row r="2221" spans="1:20">
      <c r="A2221" t="s">
        <v>96</v>
      </c>
      <c r="B2221">
        <v>96</v>
      </c>
      <c r="C2221">
        <v>415</v>
      </c>
      <c r="D2221" t="s">
        <v>62</v>
      </c>
      <c r="E2221" t="s">
        <v>63</v>
      </c>
      <c r="F2221">
        <v>23</v>
      </c>
      <c r="G2221">
        <v>183.1</v>
      </c>
      <c r="H2221">
        <v>88</v>
      </c>
      <c r="I2221">
        <v>31.13</v>
      </c>
      <c r="J2221">
        <v>147.4</v>
      </c>
      <c r="K2221">
        <v>89</v>
      </c>
      <c r="L2221">
        <v>12.53</v>
      </c>
      <c r="M2221">
        <v>350.2</v>
      </c>
      <c r="N2221">
        <v>108</v>
      </c>
      <c r="O2221">
        <v>15.76</v>
      </c>
      <c r="P2221">
        <v>11.3</v>
      </c>
      <c r="Q2221">
        <v>7</v>
      </c>
      <c r="R2221">
        <v>3.05</v>
      </c>
      <c r="S2221">
        <v>1</v>
      </c>
      <c r="T2221" t="b">
        <v>0</v>
      </c>
    </row>
    <row r="2222" spans="1:20">
      <c r="A2222" t="s">
        <v>111</v>
      </c>
      <c r="B2222">
        <v>107</v>
      </c>
      <c r="C2222">
        <v>415</v>
      </c>
      <c r="D2222" t="s">
        <v>62</v>
      </c>
      <c r="E2222" t="s">
        <v>62</v>
      </c>
      <c r="F2222">
        <v>0</v>
      </c>
      <c r="G2222">
        <v>206.9</v>
      </c>
      <c r="H2222">
        <v>79</v>
      </c>
      <c r="I2222">
        <v>35.17</v>
      </c>
      <c r="J2222">
        <v>262.4</v>
      </c>
      <c r="K2222">
        <v>117</v>
      </c>
      <c r="L2222">
        <v>22.3</v>
      </c>
      <c r="M2222">
        <v>149.3</v>
      </c>
      <c r="N2222">
        <v>69</v>
      </c>
      <c r="O2222">
        <v>6.72</v>
      </c>
      <c r="P2222">
        <v>10.7</v>
      </c>
      <c r="Q2222">
        <v>3</v>
      </c>
      <c r="R2222">
        <v>2.89</v>
      </c>
      <c r="S2222">
        <v>0</v>
      </c>
      <c r="T2222" t="b">
        <v>0</v>
      </c>
    </row>
    <row r="2223" spans="1:20">
      <c r="A2223" t="s">
        <v>61</v>
      </c>
      <c r="B2223">
        <v>123</v>
      </c>
      <c r="C2223">
        <v>415</v>
      </c>
      <c r="D2223" t="s">
        <v>62</v>
      </c>
      <c r="E2223" t="s">
        <v>62</v>
      </c>
      <c r="F2223">
        <v>0</v>
      </c>
      <c r="G2223">
        <v>140</v>
      </c>
      <c r="H2223">
        <v>106</v>
      </c>
      <c r="I2223">
        <v>23.8</v>
      </c>
      <c r="J2223">
        <v>153.7</v>
      </c>
      <c r="K2223">
        <v>101</v>
      </c>
      <c r="L2223">
        <v>13.06</v>
      </c>
      <c r="M2223">
        <v>50.1</v>
      </c>
      <c r="N2223">
        <v>87</v>
      </c>
      <c r="O2223">
        <v>2.25</v>
      </c>
      <c r="P2223">
        <v>12.5</v>
      </c>
      <c r="Q2223">
        <v>1</v>
      </c>
      <c r="R2223">
        <v>3.38</v>
      </c>
      <c r="S2223">
        <v>2</v>
      </c>
      <c r="T2223" t="b">
        <v>0</v>
      </c>
    </row>
    <row r="2224" spans="1:20">
      <c r="A2224" t="s">
        <v>66</v>
      </c>
      <c r="B2224">
        <v>35</v>
      </c>
      <c r="C2224">
        <v>415</v>
      </c>
      <c r="D2224" t="s">
        <v>62</v>
      </c>
      <c r="E2224" t="s">
        <v>62</v>
      </c>
      <c r="F2224">
        <v>0</v>
      </c>
      <c r="G2224">
        <v>179.2</v>
      </c>
      <c r="H2224">
        <v>59</v>
      </c>
      <c r="I2224">
        <v>30.46</v>
      </c>
      <c r="J2224">
        <v>283.3</v>
      </c>
      <c r="K2224">
        <v>101</v>
      </c>
      <c r="L2224">
        <v>24.08</v>
      </c>
      <c r="M2224">
        <v>285.4</v>
      </c>
      <c r="N2224">
        <v>83</v>
      </c>
      <c r="O2224">
        <v>12.84</v>
      </c>
      <c r="P2224">
        <v>5.8</v>
      </c>
      <c r="Q2224">
        <v>7</v>
      </c>
      <c r="R2224">
        <v>1.57</v>
      </c>
      <c r="S2224">
        <v>2</v>
      </c>
      <c r="T2224" t="b">
        <v>0</v>
      </c>
    </row>
    <row r="2225" spans="1:20">
      <c r="A2225" t="s">
        <v>86</v>
      </c>
      <c r="B2225">
        <v>137</v>
      </c>
      <c r="C2225">
        <v>408</v>
      </c>
      <c r="D2225" t="s">
        <v>63</v>
      </c>
      <c r="E2225" t="s">
        <v>62</v>
      </c>
      <c r="F2225">
        <v>0</v>
      </c>
      <c r="G2225">
        <v>237.3</v>
      </c>
      <c r="H2225">
        <v>103</v>
      </c>
      <c r="I2225">
        <v>40.34</v>
      </c>
      <c r="J2225">
        <v>176.7</v>
      </c>
      <c r="K2225">
        <v>84</v>
      </c>
      <c r="L2225">
        <v>15.02</v>
      </c>
      <c r="M2225">
        <v>263.4</v>
      </c>
      <c r="N2225">
        <v>81</v>
      </c>
      <c r="O2225">
        <v>11.85</v>
      </c>
      <c r="P2225">
        <v>14.2</v>
      </c>
      <c r="Q2225">
        <v>4</v>
      </c>
      <c r="R2225">
        <v>3.83</v>
      </c>
      <c r="S2225">
        <v>0</v>
      </c>
      <c r="T2225" t="b">
        <v>1</v>
      </c>
    </row>
    <row r="2226" spans="1:20">
      <c r="A2226" t="s">
        <v>112</v>
      </c>
      <c r="B2226">
        <v>88</v>
      </c>
      <c r="C2226">
        <v>415</v>
      </c>
      <c r="D2226" t="s">
        <v>62</v>
      </c>
      <c r="E2226" t="s">
        <v>62</v>
      </c>
      <c r="F2226">
        <v>0</v>
      </c>
      <c r="G2226">
        <v>181.5</v>
      </c>
      <c r="H2226">
        <v>116</v>
      </c>
      <c r="I2226">
        <v>30.86</v>
      </c>
      <c r="J2226">
        <v>187</v>
      </c>
      <c r="K2226">
        <v>119</v>
      </c>
      <c r="L2226">
        <v>15.9</v>
      </c>
      <c r="M2226">
        <v>220.3</v>
      </c>
      <c r="N2226">
        <v>96</v>
      </c>
      <c r="O2226">
        <v>9.91</v>
      </c>
      <c r="P2226">
        <v>10.5</v>
      </c>
      <c r="Q2226">
        <v>7</v>
      </c>
      <c r="R2226">
        <v>2.84</v>
      </c>
      <c r="S2226">
        <v>1</v>
      </c>
      <c r="T2226" t="b">
        <v>0</v>
      </c>
    </row>
    <row r="2227" spans="1:20">
      <c r="A2227" t="s">
        <v>100</v>
      </c>
      <c r="B2227">
        <v>116</v>
      </c>
      <c r="C2227">
        <v>408</v>
      </c>
      <c r="D2227" t="s">
        <v>62</v>
      </c>
      <c r="E2227" t="s">
        <v>63</v>
      </c>
      <c r="F2227">
        <v>19</v>
      </c>
      <c r="G2227">
        <v>155.7</v>
      </c>
      <c r="H2227">
        <v>104</v>
      </c>
      <c r="I2227">
        <v>26.47</v>
      </c>
      <c r="J2227">
        <v>185.4</v>
      </c>
      <c r="K2227">
        <v>118</v>
      </c>
      <c r="L2227">
        <v>15.76</v>
      </c>
      <c r="M2227">
        <v>192.7</v>
      </c>
      <c r="N2227">
        <v>116</v>
      </c>
      <c r="O2227">
        <v>8.67</v>
      </c>
      <c r="P2227">
        <v>8.2</v>
      </c>
      <c r="Q2227">
        <v>2</v>
      </c>
      <c r="R2227">
        <v>2.21</v>
      </c>
      <c r="S2227">
        <v>3</v>
      </c>
      <c r="T2227" t="b">
        <v>0</v>
      </c>
    </row>
    <row r="2228" spans="1:20">
      <c r="A2228" t="s">
        <v>73</v>
      </c>
      <c r="B2228">
        <v>123</v>
      </c>
      <c r="C2228">
        <v>510</v>
      </c>
      <c r="D2228" t="s">
        <v>62</v>
      </c>
      <c r="E2228" t="s">
        <v>63</v>
      </c>
      <c r="F2228">
        <v>23</v>
      </c>
      <c r="G2228">
        <v>245</v>
      </c>
      <c r="H2228">
        <v>88</v>
      </c>
      <c r="I2228">
        <v>41.65</v>
      </c>
      <c r="J2228">
        <v>265</v>
      </c>
      <c r="K2228">
        <v>105</v>
      </c>
      <c r="L2228">
        <v>22.53</v>
      </c>
      <c r="M2228">
        <v>239.7</v>
      </c>
      <c r="N2228">
        <v>108</v>
      </c>
      <c r="O2228">
        <v>10.79</v>
      </c>
      <c r="P2228">
        <v>14.9</v>
      </c>
      <c r="Q2228">
        <v>3</v>
      </c>
      <c r="R2228">
        <v>4.02</v>
      </c>
      <c r="S2228">
        <v>2</v>
      </c>
      <c r="T2228" t="b">
        <v>0</v>
      </c>
    </row>
    <row r="2229" spans="1:20">
      <c r="A2229" t="s">
        <v>79</v>
      </c>
      <c r="B2229">
        <v>146</v>
      </c>
      <c r="C2229">
        <v>415</v>
      </c>
      <c r="D2229" t="s">
        <v>63</v>
      </c>
      <c r="E2229" t="s">
        <v>62</v>
      </c>
      <c r="F2229">
        <v>0</v>
      </c>
      <c r="G2229">
        <v>111.1</v>
      </c>
      <c r="H2229">
        <v>126</v>
      </c>
      <c r="I2229">
        <v>18.89</v>
      </c>
      <c r="J2229">
        <v>313.4</v>
      </c>
      <c r="K2229">
        <v>95</v>
      </c>
      <c r="L2229">
        <v>26.64</v>
      </c>
      <c r="M2229">
        <v>215.7</v>
      </c>
      <c r="N2229">
        <v>82</v>
      </c>
      <c r="O2229">
        <v>9.71</v>
      </c>
      <c r="P2229">
        <v>10.5</v>
      </c>
      <c r="Q2229">
        <v>6</v>
      </c>
      <c r="R2229">
        <v>2.84</v>
      </c>
      <c r="S2229">
        <v>1</v>
      </c>
      <c r="T2229" t="b">
        <v>0</v>
      </c>
    </row>
    <row r="2230" spans="1:20">
      <c r="A2230" t="s">
        <v>107</v>
      </c>
      <c r="B2230">
        <v>106</v>
      </c>
      <c r="C2230">
        <v>510</v>
      </c>
      <c r="D2230" t="s">
        <v>62</v>
      </c>
      <c r="E2230" t="s">
        <v>63</v>
      </c>
      <c r="F2230">
        <v>9</v>
      </c>
      <c r="G2230">
        <v>88.5</v>
      </c>
      <c r="H2230">
        <v>100</v>
      </c>
      <c r="I2230">
        <v>15.05</v>
      </c>
      <c r="J2230">
        <v>324.8</v>
      </c>
      <c r="K2230">
        <v>109</v>
      </c>
      <c r="L2230">
        <v>27.61</v>
      </c>
      <c r="M2230">
        <v>79.9</v>
      </c>
      <c r="N2230">
        <v>86</v>
      </c>
      <c r="O2230">
        <v>3.6</v>
      </c>
      <c r="P2230">
        <v>8.2</v>
      </c>
      <c r="Q2230">
        <v>4</v>
      </c>
      <c r="R2230">
        <v>2.21</v>
      </c>
      <c r="S2230">
        <v>3</v>
      </c>
      <c r="T2230" t="b">
        <v>0</v>
      </c>
    </row>
    <row r="2231" spans="1:20">
      <c r="A2231" t="s">
        <v>104</v>
      </c>
      <c r="B2231">
        <v>121</v>
      </c>
      <c r="C2231">
        <v>408</v>
      </c>
      <c r="D2231" t="s">
        <v>62</v>
      </c>
      <c r="E2231" t="s">
        <v>63</v>
      </c>
      <c r="F2231">
        <v>44</v>
      </c>
      <c r="G2231">
        <v>116</v>
      </c>
      <c r="H2231">
        <v>85</v>
      </c>
      <c r="I2231">
        <v>19.72</v>
      </c>
      <c r="J2231">
        <v>150.1</v>
      </c>
      <c r="K2231">
        <v>120</v>
      </c>
      <c r="L2231">
        <v>12.76</v>
      </c>
      <c r="M2231">
        <v>246.8</v>
      </c>
      <c r="N2231">
        <v>98</v>
      </c>
      <c r="O2231">
        <v>11.11</v>
      </c>
      <c r="P2231">
        <v>12</v>
      </c>
      <c r="Q2231">
        <v>2</v>
      </c>
      <c r="R2231">
        <v>3.24</v>
      </c>
      <c r="S2231">
        <v>1</v>
      </c>
      <c r="T2231" t="b">
        <v>0</v>
      </c>
    </row>
    <row r="2232" spans="1:20">
      <c r="A2232" t="s">
        <v>93</v>
      </c>
      <c r="B2232">
        <v>137</v>
      </c>
      <c r="C2232">
        <v>510</v>
      </c>
      <c r="D2232" t="s">
        <v>62</v>
      </c>
      <c r="E2232" t="s">
        <v>62</v>
      </c>
      <c r="F2232">
        <v>0</v>
      </c>
      <c r="G2232">
        <v>155.5</v>
      </c>
      <c r="H2232">
        <v>81</v>
      </c>
      <c r="I2232">
        <v>26.44</v>
      </c>
      <c r="J2232">
        <v>133.1</v>
      </c>
      <c r="K2232">
        <v>94</v>
      </c>
      <c r="L2232">
        <v>11.31</v>
      </c>
      <c r="M2232">
        <v>253.1</v>
      </c>
      <c r="N2232">
        <v>77</v>
      </c>
      <c r="O2232">
        <v>11.39</v>
      </c>
      <c r="P2232">
        <v>9.1</v>
      </c>
      <c r="Q2232">
        <v>2</v>
      </c>
      <c r="R2232">
        <v>2.46</v>
      </c>
      <c r="S2232">
        <v>1</v>
      </c>
      <c r="T2232" t="b">
        <v>0</v>
      </c>
    </row>
    <row r="2233" spans="1:20">
      <c r="A2233" t="s">
        <v>84</v>
      </c>
      <c r="B2233">
        <v>67</v>
      </c>
      <c r="C2233">
        <v>510</v>
      </c>
      <c r="D2233" t="s">
        <v>62</v>
      </c>
      <c r="E2233" t="s">
        <v>63</v>
      </c>
      <c r="F2233">
        <v>31</v>
      </c>
      <c r="G2233">
        <v>175.2</v>
      </c>
      <c r="H2233">
        <v>68</v>
      </c>
      <c r="I2233">
        <v>29.78</v>
      </c>
      <c r="J2233">
        <v>199.2</v>
      </c>
      <c r="K2233">
        <v>73</v>
      </c>
      <c r="L2233">
        <v>16.93</v>
      </c>
      <c r="M2233">
        <v>219.8</v>
      </c>
      <c r="N2233">
        <v>99</v>
      </c>
      <c r="O2233">
        <v>9.89</v>
      </c>
      <c r="P2233">
        <v>13.2</v>
      </c>
      <c r="Q2233">
        <v>6</v>
      </c>
      <c r="R2233">
        <v>3.56</v>
      </c>
      <c r="S2233">
        <v>1</v>
      </c>
      <c r="T2233" t="b">
        <v>0</v>
      </c>
    </row>
    <row r="2234" spans="1:20">
      <c r="A2234" t="s">
        <v>93</v>
      </c>
      <c r="B2234">
        <v>161</v>
      </c>
      <c r="C2234">
        <v>408</v>
      </c>
      <c r="D2234" t="s">
        <v>62</v>
      </c>
      <c r="E2234" t="s">
        <v>62</v>
      </c>
      <c r="F2234">
        <v>0</v>
      </c>
      <c r="G2234">
        <v>154.7</v>
      </c>
      <c r="H2234">
        <v>84</v>
      </c>
      <c r="I2234">
        <v>26.3</v>
      </c>
      <c r="J2234">
        <v>177.8</v>
      </c>
      <c r="K2234">
        <v>125</v>
      </c>
      <c r="L2234">
        <v>15.11</v>
      </c>
      <c r="M2234">
        <v>172.9</v>
      </c>
      <c r="N2234">
        <v>90</v>
      </c>
      <c r="O2234">
        <v>7.78</v>
      </c>
      <c r="P2234">
        <v>5.9</v>
      </c>
      <c r="Q2234">
        <v>2</v>
      </c>
      <c r="R2234">
        <v>1.59</v>
      </c>
      <c r="S2234">
        <v>4</v>
      </c>
      <c r="T2234" t="b">
        <v>1</v>
      </c>
    </row>
    <row r="2235" spans="1:20">
      <c r="A2235" t="s">
        <v>108</v>
      </c>
      <c r="B2235">
        <v>62</v>
      </c>
      <c r="C2235">
        <v>415</v>
      </c>
      <c r="D2235" t="s">
        <v>63</v>
      </c>
      <c r="E2235" t="s">
        <v>63</v>
      </c>
      <c r="F2235">
        <v>32</v>
      </c>
      <c r="G2235">
        <v>218.4</v>
      </c>
      <c r="H2235">
        <v>93</v>
      </c>
      <c r="I2235">
        <v>37.13</v>
      </c>
      <c r="J2235">
        <v>236.7</v>
      </c>
      <c r="K2235">
        <v>132</v>
      </c>
      <c r="L2235">
        <v>20.12</v>
      </c>
      <c r="M2235">
        <v>192.2</v>
      </c>
      <c r="N2235">
        <v>137</v>
      </c>
      <c r="O2235">
        <v>8.65</v>
      </c>
      <c r="P2235">
        <v>13.2</v>
      </c>
      <c r="Q2235">
        <v>3</v>
      </c>
      <c r="R2235">
        <v>3.56</v>
      </c>
      <c r="S2235">
        <v>0</v>
      </c>
      <c r="T2235" t="b">
        <v>1</v>
      </c>
    </row>
    <row r="2236" spans="1:20">
      <c r="A2236" t="s">
        <v>85</v>
      </c>
      <c r="B2236">
        <v>120</v>
      </c>
      <c r="C2236">
        <v>415</v>
      </c>
      <c r="D2236" t="s">
        <v>62</v>
      </c>
      <c r="E2236" t="s">
        <v>63</v>
      </c>
      <c r="F2236">
        <v>24</v>
      </c>
      <c r="G2236">
        <v>227.5</v>
      </c>
      <c r="H2236">
        <v>81</v>
      </c>
      <c r="I2236">
        <v>38.68</v>
      </c>
      <c r="J2236">
        <v>234.9</v>
      </c>
      <c r="K2236">
        <v>71</v>
      </c>
      <c r="L2236">
        <v>19.97</v>
      </c>
      <c r="M2236">
        <v>166.4</v>
      </c>
      <c r="N2236">
        <v>128</v>
      </c>
      <c r="O2236">
        <v>7.49</v>
      </c>
      <c r="P2236">
        <v>9</v>
      </c>
      <c r="Q2236">
        <v>13</v>
      </c>
      <c r="R2236">
        <v>2.43</v>
      </c>
      <c r="S2236">
        <v>1</v>
      </c>
      <c r="T2236" t="b">
        <v>0</v>
      </c>
    </row>
    <row r="2237" spans="1:20">
      <c r="A2237" t="s">
        <v>96</v>
      </c>
      <c r="B2237">
        <v>130</v>
      </c>
      <c r="C2237">
        <v>408</v>
      </c>
      <c r="D2237" t="s">
        <v>62</v>
      </c>
      <c r="E2237" t="s">
        <v>63</v>
      </c>
      <c r="F2237">
        <v>30</v>
      </c>
      <c r="G2237">
        <v>185</v>
      </c>
      <c r="H2237">
        <v>117</v>
      </c>
      <c r="I2237">
        <v>31.45</v>
      </c>
      <c r="J2237">
        <v>249.5</v>
      </c>
      <c r="K2237">
        <v>141</v>
      </c>
      <c r="L2237">
        <v>21.21</v>
      </c>
      <c r="M2237">
        <v>157.8</v>
      </c>
      <c r="N2237">
        <v>103</v>
      </c>
      <c r="O2237">
        <v>7.1</v>
      </c>
      <c r="P2237">
        <v>7.4</v>
      </c>
      <c r="Q2237">
        <v>7</v>
      </c>
      <c r="R2237">
        <v>2</v>
      </c>
      <c r="S2237">
        <v>0</v>
      </c>
      <c r="T2237" t="b">
        <v>0</v>
      </c>
    </row>
    <row r="2238" spans="1:20">
      <c r="A2238" t="s">
        <v>93</v>
      </c>
      <c r="B2238">
        <v>20</v>
      </c>
      <c r="C2238">
        <v>408</v>
      </c>
      <c r="D2238" t="s">
        <v>62</v>
      </c>
      <c r="E2238" t="s">
        <v>62</v>
      </c>
      <c r="F2238">
        <v>0</v>
      </c>
      <c r="G2238">
        <v>186.8</v>
      </c>
      <c r="H2238">
        <v>89</v>
      </c>
      <c r="I2238">
        <v>31.76</v>
      </c>
      <c r="J2238">
        <v>253.4</v>
      </c>
      <c r="K2238">
        <v>51</v>
      </c>
      <c r="L2238">
        <v>21.54</v>
      </c>
      <c r="M2238">
        <v>273.1</v>
      </c>
      <c r="N2238">
        <v>105</v>
      </c>
      <c r="O2238">
        <v>12.29</v>
      </c>
      <c r="P2238">
        <v>12.3</v>
      </c>
      <c r="Q2238">
        <v>6</v>
      </c>
      <c r="R2238">
        <v>3.32</v>
      </c>
      <c r="S2238">
        <v>2</v>
      </c>
      <c r="T2238" t="b">
        <v>0</v>
      </c>
    </row>
    <row r="2239" spans="1:20">
      <c r="A2239" t="s">
        <v>98</v>
      </c>
      <c r="B2239">
        <v>112</v>
      </c>
      <c r="C2239">
        <v>415</v>
      </c>
      <c r="D2239" t="s">
        <v>62</v>
      </c>
      <c r="E2239" t="s">
        <v>62</v>
      </c>
      <c r="F2239">
        <v>0</v>
      </c>
      <c r="G2239">
        <v>208.7</v>
      </c>
      <c r="H2239">
        <v>150</v>
      </c>
      <c r="I2239">
        <v>35.48</v>
      </c>
      <c r="J2239">
        <v>212.8</v>
      </c>
      <c r="K2239">
        <v>104</v>
      </c>
      <c r="L2239">
        <v>18.09</v>
      </c>
      <c r="M2239">
        <v>178.1</v>
      </c>
      <c r="N2239">
        <v>98</v>
      </c>
      <c r="O2239">
        <v>8.01</v>
      </c>
      <c r="P2239">
        <v>8.5</v>
      </c>
      <c r="Q2239">
        <v>4</v>
      </c>
      <c r="R2239">
        <v>2.3</v>
      </c>
      <c r="S2239">
        <v>0</v>
      </c>
      <c r="T2239" t="b">
        <v>0</v>
      </c>
    </row>
    <row r="2240" spans="1:20">
      <c r="A2240" t="s">
        <v>96</v>
      </c>
      <c r="B2240">
        <v>77</v>
      </c>
      <c r="C2240">
        <v>408</v>
      </c>
      <c r="D2240" t="s">
        <v>62</v>
      </c>
      <c r="E2240" t="s">
        <v>62</v>
      </c>
      <c r="F2240">
        <v>0</v>
      </c>
      <c r="G2240">
        <v>185.9</v>
      </c>
      <c r="H2240">
        <v>95</v>
      </c>
      <c r="I2240">
        <v>31.6</v>
      </c>
      <c r="J2240">
        <v>212</v>
      </c>
      <c r="K2240">
        <v>98</v>
      </c>
      <c r="L2240">
        <v>18.02</v>
      </c>
      <c r="M2240">
        <v>282.3</v>
      </c>
      <c r="N2240">
        <v>81</v>
      </c>
      <c r="O2240">
        <v>12.7</v>
      </c>
      <c r="P2240">
        <v>11.3</v>
      </c>
      <c r="Q2240">
        <v>4</v>
      </c>
      <c r="R2240">
        <v>3.05</v>
      </c>
      <c r="S2240">
        <v>3</v>
      </c>
      <c r="T2240" t="b">
        <v>0</v>
      </c>
    </row>
    <row r="2241" spans="1:20">
      <c r="A2241" t="s">
        <v>111</v>
      </c>
      <c r="B2241">
        <v>109</v>
      </c>
      <c r="C2241">
        <v>415</v>
      </c>
      <c r="D2241" t="s">
        <v>62</v>
      </c>
      <c r="E2241" t="s">
        <v>62</v>
      </c>
      <c r="F2241">
        <v>0</v>
      </c>
      <c r="G2241">
        <v>222.5</v>
      </c>
      <c r="H2241">
        <v>74</v>
      </c>
      <c r="I2241">
        <v>37.83</v>
      </c>
      <c r="J2241">
        <v>169.7</v>
      </c>
      <c r="K2241">
        <v>75</v>
      </c>
      <c r="L2241">
        <v>14.42</v>
      </c>
      <c r="M2241">
        <v>264.3</v>
      </c>
      <c r="N2241">
        <v>94</v>
      </c>
      <c r="O2241">
        <v>11.89</v>
      </c>
      <c r="P2241">
        <v>9</v>
      </c>
      <c r="Q2241">
        <v>3</v>
      </c>
      <c r="R2241">
        <v>2.43</v>
      </c>
      <c r="S2241">
        <v>2</v>
      </c>
      <c r="T2241" t="b">
        <v>0</v>
      </c>
    </row>
    <row r="2242" spans="1:20">
      <c r="A2242" t="s">
        <v>96</v>
      </c>
      <c r="B2242">
        <v>108</v>
      </c>
      <c r="C2242">
        <v>415</v>
      </c>
      <c r="D2242" t="s">
        <v>62</v>
      </c>
      <c r="E2242" t="s">
        <v>62</v>
      </c>
      <c r="F2242">
        <v>0</v>
      </c>
      <c r="G2242">
        <v>201.1</v>
      </c>
      <c r="H2242">
        <v>101</v>
      </c>
      <c r="I2242">
        <v>34.19</v>
      </c>
      <c r="J2242">
        <v>170.7</v>
      </c>
      <c r="K2242">
        <v>86</v>
      </c>
      <c r="L2242">
        <v>14.51</v>
      </c>
      <c r="M2242">
        <v>237.4</v>
      </c>
      <c r="N2242">
        <v>113</v>
      </c>
      <c r="O2242">
        <v>10.68</v>
      </c>
      <c r="P2242">
        <v>11.6</v>
      </c>
      <c r="Q2242">
        <v>3</v>
      </c>
      <c r="R2242">
        <v>3.13</v>
      </c>
      <c r="S2242">
        <v>3</v>
      </c>
      <c r="T2242" t="b">
        <v>0</v>
      </c>
    </row>
    <row r="2243" spans="1:20">
      <c r="A2243" t="s">
        <v>75</v>
      </c>
      <c r="B2243">
        <v>79</v>
      </c>
      <c r="C2243">
        <v>415</v>
      </c>
      <c r="D2243" t="s">
        <v>62</v>
      </c>
      <c r="E2243" t="s">
        <v>63</v>
      </c>
      <c r="F2243">
        <v>17</v>
      </c>
      <c r="G2243">
        <v>167.9</v>
      </c>
      <c r="H2243">
        <v>114</v>
      </c>
      <c r="I2243">
        <v>28.54</v>
      </c>
      <c r="J2243">
        <v>243.7</v>
      </c>
      <c r="K2243">
        <v>93</v>
      </c>
      <c r="L2243">
        <v>20.71</v>
      </c>
      <c r="M2243">
        <v>211.9</v>
      </c>
      <c r="N2243">
        <v>114</v>
      </c>
      <c r="O2243">
        <v>9.54</v>
      </c>
      <c r="P2243">
        <v>9.1</v>
      </c>
      <c r="Q2243">
        <v>2</v>
      </c>
      <c r="R2243">
        <v>2.46</v>
      </c>
      <c r="S2243">
        <v>1</v>
      </c>
      <c r="T2243" t="b">
        <v>0</v>
      </c>
    </row>
    <row r="2244" spans="1:20">
      <c r="A2244" t="s">
        <v>102</v>
      </c>
      <c r="B2244">
        <v>38</v>
      </c>
      <c r="C2244">
        <v>510</v>
      </c>
      <c r="D2244" t="s">
        <v>62</v>
      </c>
      <c r="E2244" t="s">
        <v>62</v>
      </c>
      <c r="F2244">
        <v>0</v>
      </c>
      <c r="G2244">
        <v>175.7</v>
      </c>
      <c r="H2244">
        <v>109</v>
      </c>
      <c r="I2244">
        <v>29.87</v>
      </c>
      <c r="J2244">
        <v>211.8</v>
      </c>
      <c r="K2244">
        <v>97</v>
      </c>
      <c r="L2244">
        <v>18</v>
      </c>
      <c r="M2244">
        <v>137.9</v>
      </c>
      <c r="N2244">
        <v>109</v>
      </c>
      <c r="O2244">
        <v>6.21</v>
      </c>
      <c r="P2244">
        <v>9.2</v>
      </c>
      <c r="Q2244">
        <v>3</v>
      </c>
      <c r="R2244">
        <v>2.48</v>
      </c>
      <c r="S2244">
        <v>5</v>
      </c>
      <c r="T2244" t="b">
        <v>1</v>
      </c>
    </row>
    <row r="2245" spans="1:20">
      <c r="A2245" t="s">
        <v>92</v>
      </c>
      <c r="B2245">
        <v>109</v>
      </c>
      <c r="C2245">
        <v>415</v>
      </c>
      <c r="D2245" t="s">
        <v>62</v>
      </c>
      <c r="E2245" t="s">
        <v>63</v>
      </c>
      <c r="F2245">
        <v>29</v>
      </c>
      <c r="G2245">
        <v>111.2</v>
      </c>
      <c r="H2245">
        <v>90</v>
      </c>
      <c r="I2245">
        <v>18.9</v>
      </c>
      <c r="J2245">
        <v>263.5</v>
      </c>
      <c r="K2245">
        <v>98</v>
      </c>
      <c r="L2245">
        <v>22.4</v>
      </c>
      <c r="M2245">
        <v>224.7</v>
      </c>
      <c r="N2245">
        <v>128</v>
      </c>
      <c r="O2245">
        <v>10.11</v>
      </c>
      <c r="P2245">
        <v>9</v>
      </c>
      <c r="Q2245">
        <v>6</v>
      </c>
      <c r="R2245">
        <v>2.43</v>
      </c>
      <c r="S2245">
        <v>6</v>
      </c>
      <c r="T2245" t="b">
        <v>1</v>
      </c>
    </row>
    <row r="2246" spans="1:20">
      <c r="A2246" t="s">
        <v>109</v>
      </c>
      <c r="B2246">
        <v>78</v>
      </c>
      <c r="C2246">
        <v>415</v>
      </c>
      <c r="D2246" t="s">
        <v>62</v>
      </c>
      <c r="E2246" t="s">
        <v>62</v>
      </c>
      <c r="F2246">
        <v>0</v>
      </c>
      <c r="G2246">
        <v>87.7</v>
      </c>
      <c r="H2246">
        <v>74</v>
      </c>
      <c r="I2246">
        <v>14.91</v>
      </c>
      <c r="J2246">
        <v>214.8</v>
      </c>
      <c r="K2246">
        <v>58</v>
      </c>
      <c r="L2246">
        <v>18.26</v>
      </c>
      <c r="M2246">
        <v>201.3</v>
      </c>
      <c r="N2246">
        <v>147</v>
      </c>
      <c r="O2246">
        <v>9.06</v>
      </c>
      <c r="P2246">
        <v>10.8</v>
      </c>
      <c r="Q2246">
        <v>6</v>
      </c>
      <c r="R2246">
        <v>2.92</v>
      </c>
      <c r="S2246">
        <v>1</v>
      </c>
      <c r="T2246" t="b">
        <v>0</v>
      </c>
    </row>
    <row r="2247" spans="1:20">
      <c r="A2247" t="s">
        <v>102</v>
      </c>
      <c r="B2247">
        <v>134</v>
      </c>
      <c r="C2247">
        <v>415</v>
      </c>
      <c r="D2247" t="s">
        <v>62</v>
      </c>
      <c r="E2247" t="s">
        <v>62</v>
      </c>
      <c r="F2247">
        <v>0</v>
      </c>
      <c r="G2247">
        <v>244.1</v>
      </c>
      <c r="H2247">
        <v>99</v>
      </c>
      <c r="I2247">
        <v>41.5</v>
      </c>
      <c r="J2247">
        <v>246.9</v>
      </c>
      <c r="K2247">
        <v>111</v>
      </c>
      <c r="L2247">
        <v>20.99</v>
      </c>
      <c r="M2247">
        <v>200</v>
      </c>
      <c r="N2247">
        <v>133</v>
      </c>
      <c r="O2247">
        <v>9</v>
      </c>
      <c r="P2247">
        <v>7.2</v>
      </c>
      <c r="Q2247">
        <v>2</v>
      </c>
      <c r="R2247">
        <v>1.94</v>
      </c>
      <c r="S2247">
        <v>0</v>
      </c>
      <c r="T2247" t="b">
        <v>0</v>
      </c>
    </row>
    <row r="2248" spans="1:20">
      <c r="A2248" t="s">
        <v>101</v>
      </c>
      <c r="B2248">
        <v>47</v>
      </c>
      <c r="C2248">
        <v>415</v>
      </c>
      <c r="D2248" t="s">
        <v>62</v>
      </c>
      <c r="E2248" t="s">
        <v>63</v>
      </c>
      <c r="F2248">
        <v>27</v>
      </c>
      <c r="G2248">
        <v>165</v>
      </c>
      <c r="H2248">
        <v>89</v>
      </c>
      <c r="I2248">
        <v>28.05</v>
      </c>
      <c r="J2248">
        <v>127.3</v>
      </c>
      <c r="K2248">
        <v>118</v>
      </c>
      <c r="L2248">
        <v>10.82</v>
      </c>
      <c r="M2248">
        <v>284.4</v>
      </c>
      <c r="N2248">
        <v>95</v>
      </c>
      <c r="O2248">
        <v>12.8</v>
      </c>
      <c r="P2248">
        <v>7.7</v>
      </c>
      <c r="Q2248">
        <v>4</v>
      </c>
      <c r="R2248">
        <v>2.08</v>
      </c>
      <c r="S2248">
        <v>2</v>
      </c>
      <c r="T2248" t="b">
        <v>0</v>
      </c>
    </row>
    <row r="2249" spans="1:20">
      <c r="A2249" t="s">
        <v>109</v>
      </c>
      <c r="B2249">
        <v>59</v>
      </c>
      <c r="C2249">
        <v>408</v>
      </c>
      <c r="D2249" t="s">
        <v>62</v>
      </c>
      <c r="E2249" t="s">
        <v>63</v>
      </c>
      <c r="F2249">
        <v>27</v>
      </c>
      <c r="G2249">
        <v>127.4</v>
      </c>
      <c r="H2249">
        <v>110</v>
      </c>
      <c r="I2249">
        <v>21.66</v>
      </c>
      <c r="J2249">
        <v>103.3</v>
      </c>
      <c r="K2249">
        <v>99</v>
      </c>
      <c r="L2249">
        <v>8.78</v>
      </c>
      <c r="M2249">
        <v>164.2</v>
      </c>
      <c r="N2249">
        <v>73</v>
      </c>
      <c r="O2249">
        <v>7.39</v>
      </c>
      <c r="P2249">
        <v>9.1</v>
      </c>
      <c r="Q2249">
        <v>3</v>
      </c>
      <c r="R2249">
        <v>2.46</v>
      </c>
      <c r="S2249">
        <v>0</v>
      </c>
      <c r="T2249" t="b">
        <v>0</v>
      </c>
    </row>
    <row r="2250" spans="1:20">
      <c r="A2250" t="s">
        <v>77</v>
      </c>
      <c r="B2250">
        <v>151</v>
      </c>
      <c r="C2250">
        <v>415</v>
      </c>
      <c r="D2250" t="s">
        <v>62</v>
      </c>
      <c r="E2250" t="s">
        <v>62</v>
      </c>
      <c r="F2250">
        <v>0</v>
      </c>
      <c r="G2250">
        <v>194.8</v>
      </c>
      <c r="H2250">
        <v>106</v>
      </c>
      <c r="I2250">
        <v>33.12</v>
      </c>
      <c r="J2250">
        <v>292.7</v>
      </c>
      <c r="K2250">
        <v>103</v>
      </c>
      <c r="L2250">
        <v>24.88</v>
      </c>
      <c r="M2250">
        <v>224.6</v>
      </c>
      <c r="N2250">
        <v>82</v>
      </c>
      <c r="O2250">
        <v>10.11</v>
      </c>
      <c r="P2250">
        <v>5.5</v>
      </c>
      <c r="Q2250">
        <v>3</v>
      </c>
      <c r="R2250">
        <v>1.49</v>
      </c>
      <c r="S2250">
        <v>0</v>
      </c>
      <c r="T2250" t="b">
        <v>0</v>
      </c>
    </row>
    <row r="2251" spans="1:20">
      <c r="A2251" t="s">
        <v>100</v>
      </c>
      <c r="B2251">
        <v>129</v>
      </c>
      <c r="C2251">
        <v>415</v>
      </c>
      <c r="D2251" t="s">
        <v>62</v>
      </c>
      <c r="E2251" t="s">
        <v>62</v>
      </c>
      <c r="F2251">
        <v>0</v>
      </c>
      <c r="G2251">
        <v>54.7</v>
      </c>
      <c r="H2251">
        <v>131</v>
      </c>
      <c r="I2251">
        <v>9.3</v>
      </c>
      <c r="J2251">
        <v>256.1</v>
      </c>
      <c r="K2251">
        <v>105</v>
      </c>
      <c r="L2251">
        <v>21.77</v>
      </c>
      <c r="M2251">
        <v>176.6</v>
      </c>
      <c r="N2251">
        <v>135</v>
      </c>
      <c r="O2251">
        <v>7.95</v>
      </c>
      <c r="P2251">
        <v>11.1</v>
      </c>
      <c r="Q2251">
        <v>4</v>
      </c>
      <c r="R2251">
        <v>3</v>
      </c>
      <c r="S2251">
        <v>1</v>
      </c>
      <c r="T2251" t="b">
        <v>0</v>
      </c>
    </row>
    <row r="2252" spans="1:20">
      <c r="A2252" t="s">
        <v>79</v>
      </c>
      <c r="B2252">
        <v>107</v>
      </c>
      <c r="C2252">
        <v>510</v>
      </c>
      <c r="D2252" t="s">
        <v>62</v>
      </c>
      <c r="E2252" t="s">
        <v>63</v>
      </c>
      <c r="F2252">
        <v>27</v>
      </c>
      <c r="G2252">
        <v>283.4</v>
      </c>
      <c r="H2252">
        <v>104</v>
      </c>
      <c r="I2252">
        <v>48.18</v>
      </c>
      <c r="J2252">
        <v>224.1</v>
      </c>
      <c r="K2252">
        <v>152</v>
      </c>
      <c r="L2252">
        <v>19.05</v>
      </c>
      <c r="M2252">
        <v>241.3</v>
      </c>
      <c r="N2252">
        <v>63</v>
      </c>
      <c r="O2252">
        <v>10.86</v>
      </c>
      <c r="P2252">
        <v>14.4</v>
      </c>
      <c r="Q2252">
        <v>7</v>
      </c>
      <c r="R2252">
        <v>3.89</v>
      </c>
      <c r="S2252">
        <v>2</v>
      </c>
      <c r="T2252" t="b">
        <v>0</v>
      </c>
    </row>
    <row r="2253" spans="1:20">
      <c r="A2253" t="s">
        <v>76</v>
      </c>
      <c r="B2253">
        <v>137</v>
      </c>
      <c r="C2253">
        <v>408</v>
      </c>
      <c r="D2253" t="s">
        <v>63</v>
      </c>
      <c r="E2253" t="s">
        <v>62</v>
      </c>
      <c r="F2253">
        <v>0</v>
      </c>
      <c r="G2253">
        <v>258</v>
      </c>
      <c r="H2253">
        <v>112</v>
      </c>
      <c r="I2253">
        <v>43.86</v>
      </c>
      <c r="J2253">
        <v>246.5</v>
      </c>
      <c r="K2253">
        <v>117</v>
      </c>
      <c r="L2253">
        <v>20.95</v>
      </c>
      <c r="M2253">
        <v>173.2</v>
      </c>
      <c r="N2253">
        <v>100</v>
      </c>
      <c r="O2253">
        <v>7.79</v>
      </c>
      <c r="P2253">
        <v>10.9</v>
      </c>
      <c r="Q2253">
        <v>3</v>
      </c>
      <c r="R2253">
        <v>2.94</v>
      </c>
      <c r="S2253">
        <v>0</v>
      </c>
      <c r="T2253" t="b">
        <v>1</v>
      </c>
    </row>
    <row r="2254" spans="1:20">
      <c r="A2254" t="s">
        <v>110</v>
      </c>
      <c r="B2254">
        <v>76</v>
      </c>
      <c r="C2254">
        <v>510</v>
      </c>
      <c r="D2254" t="s">
        <v>62</v>
      </c>
      <c r="E2254" t="s">
        <v>62</v>
      </c>
      <c r="F2254">
        <v>0</v>
      </c>
      <c r="G2254">
        <v>90.5</v>
      </c>
      <c r="H2254">
        <v>142</v>
      </c>
      <c r="I2254">
        <v>15.39</v>
      </c>
      <c r="J2254">
        <v>211.7</v>
      </c>
      <c r="K2254">
        <v>75</v>
      </c>
      <c r="L2254">
        <v>17.99</v>
      </c>
      <c r="M2254">
        <v>194.9</v>
      </c>
      <c r="N2254">
        <v>76</v>
      </c>
      <c r="O2254">
        <v>8.77</v>
      </c>
      <c r="P2254">
        <v>9.3</v>
      </c>
      <c r="Q2254">
        <v>2</v>
      </c>
      <c r="R2254">
        <v>2.51</v>
      </c>
      <c r="S2254">
        <v>1</v>
      </c>
      <c r="T2254" t="b">
        <v>0</v>
      </c>
    </row>
    <row r="2255" spans="1:20">
      <c r="A2255" t="s">
        <v>114</v>
      </c>
      <c r="B2255">
        <v>24</v>
      </c>
      <c r="C2255">
        <v>415</v>
      </c>
      <c r="D2255" t="s">
        <v>62</v>
      </c>
      <c r="E2255" t="s">
        <v>62</v>
      </c>
      <c r="F2255">
        <v>0</v>
      </c>
      <c r="G2255">
        <v>235.6</v>
      </c>
      <c r="H2255">
        <v>132</v>
      </c>
      <c r="I2255">
        <v>40.05</v>
      </c>
      <c r="J2255">
        <v>115.9</v>
      </c>
      <c r="K2255">
        <v>129</v>
      </c>
      <c r="L2255">
        <v>9.85</v>
      </c>
      <c r="M2255">
        <v>185.4</v>
      </c>
      <c r="N2255">
        <v>136</v>
      </c>
      <c r="O2255">
        <v>8.34</v>
      </c>
      <c r="P2255">
        <v>16.2</v>
      </c>
      <c r="Q2255">
        <v>2</v>
      </c>
      <c r="R2255">
        <v>4.37</v>
      </c>
      <c r="S2255">
        <v>0</v>
      </c>
      <c r="T2255" t="b">
        <v>0</v>
      </c>
    </row>
    <row r="2256" spans="1:20">
      <c r="A2256" t="s">
        <v>100</v>
      </c>
      <c r="B2256">
        <v>169</v>
      </c>
      <c r="C2256">
        <v>408</v>
      </c>
      <c r="D2256" t="s">
        <v>62</v>
      </c>
      <c r="E2256" t="s">
        <v>62</v>
      </c>
      <c r="F2256">
        <v>0</v>
      </c>
      <c r="G2256">
        <v>142.5</v>
      </c>
      <c r="H2256">
        <v>82</v>
      </c>
      <c r="I2256">
        <v>24.23</v>
      </c>
      <c r="J2256">
        <v>231.4</v>
      </c>
      <c r="K2256">
        <v>110</v>
      </c>
      <c r="L2256">
        <v>19.67</v>
      </c>
      <c r="M2256">
        <v>131.2</v>
      </c>
      <c r="N2256">
        <v>67</v>
      </c>
      <c r="O2256">
        <v>5.9</v>
      </c>
      <c r="P2256">
        <v>10</v>
      </c>
      <c r="Q2256">
        <v>4</v>
      </c>
      <c r="R2256">
        <v>2.7</v>
      </c>
      <c r="S2256">
        <v>2</v>
      </c>
      <c r="T2256" t="b">
        <v>0</v>
      </c>
    </row>
    <row r="2257" spans="1:20">
      <c r="A2257" t="s">
        <v>102</v>
      </c>
      <c r="B2257">
        <v>30</v>
      </c>
      <c r="C2257">
        <v>408</v>
      </c>
      <c r="D2257" t="s">
        <v>62</v>
      </c>
      <c r="E2257" t="s">
        <v>62</v>
      </c>
      <c r="F2257">
        <v>0</v>
      </c>
      <c r="G2257">
        <v>54</v>
      </c>
      <c r="H2257">
        <v>68</v>
      </c>
      <c r="I2257">
        <v>9.18</v>
      </c>
      <c r="J2257">
        <v>179.3</v>
      </c>
      <c r="K2257">
        <v>96</v>
      </c>
      <c r="L2257">
        <v>15.24</v>
      </c>
      <c r="M2257">
        <v>247.2</v>
      </c>
      <c r="N2257">
        <v>101</v>
      </c>
      <c r="O2257">
        <v>11.12</v>
      </c>
      <c r="P2257">
        <v>10.2</v>
      </c>
      <c r="Q2257">
        <v>8</v>
      </c>
      <c r="R2257">
        <v>2.75</v>
      </c>
      <c r="S2257">
        <v>1</v>
      </c>
      <c r="T2257" t="b">
        <v>0</v>
      </c>
    </row>
    <row r="2258" spans="1:20">
      <c r="A2258" t="s">
        <v>71</v>
      </c>
      <c r="B2258">
        <v>70</v>
      </c>
      <c r="C2258">
        <v>415</v>
      </c>
      <c r="D2258" t="s">
        <v>62</v>
      </c>
      <c r="E2258" t="s">
        <v>62</v>
      </c>
      <c r="F2258">
        <v>0</v>
      </c>
      <c r="G2258">
        <v>214.8</v>
      </c>
      <c r="H2258">
        <v>87</v>
      </c>
      <c r="I2258">
        <v>36.52</v>
      </c>
      <c r="J2258">
        <v>131</v>
      </c>
      <c r="K2258">
        <v>114</v>
      </c>
      <c r="L2258">
        <v>11.14</v>
      </c>
      <c r="M2258">
        <v>216.9</v>
      </c>
      <c r="N2258">
        <v>104</v>
      </c>
      <c r="O2258">
        <v>9.76</v>
      </c>
      <c r="P2258">
        <v>9.4</v>
      </c>
      <c r="Q2258">
        <v>3</v>
      </c>
      <c r="R2258">
        <v>2.54</v>
      </c>
      <c r="S2258">
        <v>3</v>
      </c>
      <c r="T2258" t="b">
        <v>0</v>
      </c>
    </row>
    <row r="2259" spans="1:20">
      <c r="A2259" t="s">
        <v>99</v>
      </c>
      <c r="B2259">
        <v>52</v>
      </c>
      <c r="C2259">
        <v>510</v>
      </c>
      <c r="D2259" t="s">
        <v>63</v>
      </c>
      <c r="E2259" t="s">
        <v>62</v>
      </c>
      <c r="F2259">
        <v>0</v>
      </c>
      <c r="G2259">
        <v>251.4</v>
      </c>
      <c r="H2259">
        <v>118</v>
      </c>
      <c r="I2259">
        <v>42.74</v>
      </c>
      <c r="J2259">
        <v>196.6</v>
      </c>
      <c r="K2259">
        <v>80</v>
      </c>
      <c r="L2259">
        <v>16.71</v>
      </c>
      <c r="M2259">
        <v>192</v>
      </c>
      <c r="N2259">
        <v>53</v>
      </c>
      <c r="O2259">
        <v>8.64</v>
      </c>
      <c r="P2259">
        <v>11</v>
      </c>
      <c r="Q2259">
        <v>2</v>
      </c>
      <c r="R2259">
        <v>2.97</v>
      </c>
      <c r="S2259">
        <v>0</v>
      </c>
      <c r="T2259" t="b">
        <v>1</v>
      </c>
    </row>
    <row r="2260" spans="1:20">
      <c r="A2260" t="s">
        <v>114</v>
      </c>
      <c r="B2260">
        <v>3</v>
      </c>
      <c r="C2260">
        <v>408</v>
      </c>
      <c r="D2260" t="s">
        <v>62</v>
      </c>
      <c r="E2260" t="s">
        <v>62</v>
      </c>
      <c r="F2260">
        <v>0</v>
      </c>
      <c r="G2260">
        <v>139</v>
      </c>
      <c r="H2260">
        <v>99</v>
      </c>
      <c r="I2260">
        <v>23.63</v>
      </c>
      <c r="J2260">
        <v>250.7</v>
      </c>
      <c r="K2260">
        <v>108</v>
      </c>
      <c r="L2260">
        <v>21.31</v>
      </c>
      <c r="M2260">
        <v>286.2</v>
      </c>
      <c r="N2260">
        <v>87</v>
      </c>
      <c r="O2260">
        <v>12.88</v>
      </c>
      <c r="P2260">
        <v>6.1</v>
      </c>
      <c r="Q2260">
        <v>3</v>
      </c>
      <c r="R2260">
        <v>1.65</v>
      </c>
      <c r="S2260">
        <v>4</v>
      </c>
      <c r="T2260" t="b">
        <v>0</v>
      </c>
    </row>
    <row r="2261" spans="1:20">
      <c r="A2261" t="s">
        <v>109</v>
      </c>
      <c r="B2261">
        <v>38</v>
      </c>
      <c r="C2261">
        <v>415</v>
      </c>
      <c r="D2261" t="s">
        <v>62</v>
      </c>
      <c r="E2261" t="s">
        <v>62</v>
      </c>
      <c r="F2261">
        <v>0</v>
      </c>
      <c r="G2261">
        <v>117.3</v>
      </c>
      <c r="H2261">
        <v>114</v>
      </c>
      <c r="I2261">
        <v>19.94</v>
      </c>
      <c r="J2261">
        <v>208.7</v>
      </c>
      <c r="K2261">
        <v>105</v>
      </c>
      <c r="L2261">
        <v>17.74</v>
      </c>
      <c r="M2261">
        <v>203.4</v>
      </c>
      <c r="N2261">
        <v>98</v>
      </c>
      <c r="O2261">
        <v>9.15</v>
      </c>
      <c r="P2261">
        <v>14.4</v>
      </c>
      <c r="Q2261">
        <v>2</v>
      </c>
      <c r="R2261">
        <v>3.89</v>
      </c>
      <c r="S2261">
        <v>2</v>
      </c>
      <c r="T2261" t="b">
        <v>0</v>
      </c>
    </row>
    <row r="2262" spans="1:20">
      <c r="A2262" t="s">
        <v>106</v>
      </c>
      <c r="B2262">
        <v>104</v>
      </c>
      <c r="C2262">
        <v>415</v>
      </c>
      <c r="D2262" t="s">
        <v>62</v>
      </c>
      <c r="E2262" t="s">
        <v>62</v>
      </c>
      <c r="F2262">
        <v>0</v>
      </c>
      <c r="G2262">
        <v>264</v>
      </c>
      <c r="H2262">
        <v>108</v>
      </c>
      <c r="I2262">
        <v>44.88</v>
      </c>
      <c r="J2262">
        <v>132.2</v>
      </c>
      <c r="K2262">
        <v>75</v>
      </c>
      <c r="L2262">
        <v>11.24</v>
      </c>
      <c r="M2262">
        <v>177.7</v>
      </c>
      <c r="N2262">
        <v>91</v>
      </c>
      <c r="O2262">
        <v>8</v>
      </c>
      <c r="P2262">
        <v>10.6</v>
      </c>
      <c r="Q2262">
        <v>8</v>
      </c>
      <c r="R2262">
        <v>2.86</v>
      </c>
      <c r="S2262">
        <v>3</v>
      </c>
      <c r="T2262" t="b">
        <v>0</v>
      </c>
    </row>
    <row r="2263" spans="1:20">
      <c r="A2263" t="s">
        <v>88</v>
      </c>
      <c r="B2263">
        <v>27</v>
      </c>
      <c r="C2263">
        <v>408</v>
      </c>
      <c r="D2263" t="s">
        <v>62</v>
      </c>
      <c r="E2263" t="s">
        <v>62</v>
      </c>
      <c r="F2263">
        <v>0</v>
      </c>
      <c r="G2263">
        <v>82.6</v>
      </c>
      <c r="H2263">
        <v>105</v>
      </c>
      <c r="I2263">
        <v>14.04</v>
      </c>
      <c r="J2263">
        <v>204</v>
      </c>
      <c r="K2263">
        <v>99</v>
      </c>
      <c r="L2263">
        <v>17.34</v>
      </c>
      <c r="M2263">
        <v>224.2</v>
      </c>
      <c r="N2263">
        <v>122</v>
      </c>
      <c r="O2263">
        <v>10.09</v>
      </c>
      <c r="P2263">
        <v>9.1</v>
      </c>
      <c r="Q2263">
        <v>4</v>
      </c>
      <c r="R2263">
        <v>2.46</v>
      </c>
      <c r="S2263">
        <v>1</v>
      </c>
      <c r="T2263" t="b">
        <v>0</v>
      </c>
    </row>
    <row r="2264" spans="1:20">
      <c r="A2264" t="s">
        <v>68</v>
      </c>
      <c r="B2264">
        <v>13</v>
      </c>
      <c r="C2264">
        <v>408</v>
      </c>
      <c r="D2264" t="s">
        <v>62</v>
      </c>
      <c r="E2264" t="s">
        <v>62</v>
      </c>
      <c r="F2264">
        <v>0</v>
      </c>
      <c r="G2264">
        <v>220.4</v>
      </c>
      <c r="H2264">
        <v>100</v>
      </c>
      <c r="I2264">
        <v>37.47</v>
      </c>
      <c r="J2264">
        <v>211.2</v>
      </c>
      <c r="K2264">
        <v>79</v>
      </c>
      <c r="L2264">
        <v>17.95</v>
      </c>
      <c r="M2264">
        <v>259.3</v>
      </c>
      <c r="N2264">
        <v>112</v>
      </c>
      <c r="O2264">
        <v>11.67</v>
      </c>
      <c r="P2264">
        <v>13.6</v>
      </c>
      <c r="Q2264">
        <v>8</v>
      </c>
      <c r="R2264">
        <v>3.67</v>
      </c>
      <c r="S2264">
        <v>2</v>
      </c>
      <c r="T2264" t="b">
        <v>0</v>
      </c>
    </row>
    <row r="2265" spans="1:20">
      <c r="A2265" t="s">
        <v>90</v>
      </c>
      <c r="B2265">
        <v>52</v>
      </c>
      <c r="C2265">
        <v>408</v>
      </c>
      <c r="D2265" t="s">
        <v>62</v>
      </c>
      <c r="E2265" t="s">
        <v>62</v>
      </c>
      <c r="F2265">
        <v>0</v>
      </c>
      <c r="G2265">
        <v>217</v>
      </c>
      <c r="H2265">
        <v>104</v>
      </c>
      <c r="I2265">
        <v>36.89</v>
      </c>
      <c r="J2265">
        <v>152.3</v>
      </c>
      <c r="K2265">
        <v>83</v>
      </c>
      <c r="L2265">
        <v>12.95</v>
      </c>
      <c r="M2265">
        <v>134.3</v>
      </c>
      <c r="N2265">
        <v>109</v>
      </c>
      <c r="O2265">
        <v>6.04</v>
      </c>
      <c r="P2265">
        <v>11.8</v>
      </c>
      <c r="Q2265">
        <v>4</v>
      </c>
      <c r="R2265">
        <v>3.19</v>
      </c>
      <c r="S2265">
        <v>2</v>
      </c>
      <c r="T2265" t="b">
        <v>0</v>
      </c>
    </row>
    <row r="2266" spans="1:20">
      <c r="A2266" t="s">
        <v>99</v>
      </c>
      <c r="B2266">
        <v>114</v>
      </c>
      <c r="C2266">
        <v>415</v>
      </c>
      <c r="D2266" t="s">
        <v>62</v>
      </c>
      <c r="E2266" t="s">
        <v>63</v>
      </c>
      <c r="F2266">
        <v>25</v>
      </c>
      <c r="G2266">
        <v>129</v>
      </c>
      <c r="H2266">
        <v>77</v>
      </c>
      <c r="I2266">
        <v>21.93</v>
      </c>
      <c r="J2266">
        <v>290</v>
      </c>
      <c r="K2266">
        <v>110</v>
      </c>
      <c r="L2266">
        <v>24.65</v>
      </c>
      <c r="M2266">
        <v>177.1</v>
      </c>
      <c r="N2266">
        <v>110</v>
      </c>
      <c r="O2266">
        <v>7.97</v>
      </c>
      <c r="P2266">
        <v>11.6</v>
      </c>
      <c r="Q2266">
        <v>5</v>
      </c>
      <c r="R2266">
        <v>3.13</v>
      </c>
      <c r="S2266">
        <v>1</v>
      </c>
      <c r="T2266" t="b">
        <v>0</v>
      </c>
    </row>
    <row r="2267" spans="1:20">
      <c r="A2267" t="s">
        <v>82</v>
      </c>
      <c r="B2267">
        <v>156</v>
      </c>
      <c r="C2267">
        <v>408</v>
      </c>
      <c r="D2267" t="s">
        <v>62</v>
      </c>
      <c r="E2267" t="s">
        <v>62</v>
      </c>
      <c r="F2267">
        <v>0</v>
      </c>
      <c r="G2267">
        <v>150.5</v>
      </c>
      <c r="H2267">
        <v>106</v>
      </c>
      <c r="I2267">
        <v>25.59</v>
      </c>
      <c r="J2267">
        <v>152.9</v>
      </c>
      <c r="K2267">
        <v>112</v>
      </c>
      <c r="L2267">
        <v>13</v>
      </c>
      <c r="M2267">
        <v>215.9</v>
      </c>
      <c r="N2267">
        <v>86</v>
      </c>
      <c r="O2267">
        <v>9.72</v>
      </c>
      <c r="P2267">
        <v>3.5</v>
      </c>
      <c r="Q2267">
        <v>3</v>
      </c>
      <c r="R2267">
        <v>0.95</v>
      </c>
      <c r="S2267">
        <v>1</v>
      </c>
      <c r="T2267" t="b">
        <v>0</v>
      </c>
    </row>
    <row r="2268" spans="1:20">
      <c r="A2268" t="s">
        <v>71</v>
      </c>
      <c r="B2268">
        <v>62</v>
      </c>
      <c r="C2268">
        <v>415</v>
      </c>
      <c r="D2268" t="s">
        <v>62</v>
      </c>
      <c r="E2268" t="s">
        <v>62</v>
      </c>
      <c r="F2268">
        <v>0</v>
      </c>
      <c r="G2268">
        <v>189.5</v>
      </c>
      <c r="H2268">
        <v>122</v>
      </c>
      <c r="I2268">
        <v>32.22</v>
      </c>
      <c r="J2268">
        <v>103.8</v>
      </c>
      <c r="K2268">
        <v>95</v>
      </c>
      <c r="L2268">
        <v>8.82</v>
      </c>
      <c r="M2268">
        <v>180.6</v>
      </c>
      <c r="N2268">
        <v>106</v>
      </c>
      <c r="O2268">
        <v>8.13</v>
      </c>
      <c r="P2268">
        <v>10.8</v>
      </c>
      <c r="Q2268">
        <v>5</v>
      </c>
      <c r="R2268">
        <v>2.92</v>
      </c>
      <c r="S2268">
        <v>2</v>
      </c>
      <c r="T2268" t="b">
        <v>0</v>
      </c>
    </row>
    <row r="2269" spans="1:20">
      <c r="A2269" t="s">
        <v>108</v>
      </c>
      <c r="B2269">
        <v>52</v>
      </c>
      <c r="C2269">
        <v>510</v>
      </c>
      <c r="D2269" t="s">
        <v>62</v>
      </c>
      <c r="E2269" t="s">
        <v>62</v>
      </c>
      <c r="F2269">
        <v>0</v>
      </c>
      <c r="G2269">
        <v>129.3</v>
      </c>
      <c r="H2269">
        <v>80</v>
      </c>
      <c r="I2269">
        <v>21.98</v>
      </c>
      <c r="J2269">
        <v>142.7</v>
      </c>
      <c r="K2269">
        <v>101</v>
      </c>
      <c r="L2269">
        <v>12.13</v>
      </c>
      <c r="M2269">
        <v>258.3</v>
      </c>
      <c r="N2269">
        <v>89</v>
      </c>
      <c r="O2269">
        <v>11.62</v>
      </c>
      <c r="P2269">
        <v>12.3</v>
      </c>
      <c r="Q2269">
        <v>4</v>
      </c>
      <c r="R2269">
        <v>3.32</v>
      </c>
      <c r="S2269">
        <v>3</v>
      </c>
      <c r="T2269" t="b">
        <v>0</v>
      </c>
    </row>
    <row r="2270" spans="1:20">
      <c r="A2270" t="s">
        <v>87</v>
      </c>
      <c r="B2270">
        <v>146</v>
      </c>
      <c r="C2270">
        <v>510</v>
      </c>
      <c r="D2270" t="s">
        <v>62</v>
      </c>
      <c r="E2270" t="s">
        <v>62</v>
      </c>
      <c r="F2270">
        <v>0</v>
      </c>
      <c r="G2270">
        <v>115.6</v>
      </c>
      <c r="H2270">
        <v>77</v>
      </c>
      <c r="I2270">
        <v>19.65</v>
      </c>
      <c r="J2270">
        <v>213.6</v>
      </c>
      <c r="K2270">
        <v>100</v>
      </c>
      <c r="L2270">
        <v>18.16</v>
      </c>
      <c r="M2270">
        <v>218.4</v>
      </c>
      <c r="N2270">
        <v>72</v>
      </c>
      <c r="O2270">
        <v>9.83</v>
      </c>
      <c r="P2270">
        <v>10.7</v>
      </c>
      <c r="Q2270">
        <v>6</v>
      </c>
      <c r="R2270">
        <v>2.89</v>
      </c>
      <c r="S2270">
        <v>1</v>
      </c>
      <c r="T2270" t="b">
        <v>0</v>
      </c>
    </row>
    <row r="2271" spans="1:20">
      <c r="A2271" t="s">
        <v>73</v>
      </c>
      <c r="B2271">
        <v>120</v>
      </c>
      <c r="C2271">
        <v>415</v>
      </c>
      <c r="D2271" t="s">
        <v>62</v>
      </c>
      <c r="E2271" t="s">
        <v>63</v>
      </c>
      <c r="F2271">
        <v>23</v>
      </c>
      <c r="G2271">
        <v>221.9</v>
      </c>
      <c r="H2271">
        <v>114</v>
      </c>
      <c r="I2271">
        <v>37.72</v>
      </c>
      <c r="J2271">
        <v>254.7</v>
      </c>
      <c r="K2271">
        <v>84</v>
      </c>
      <c r="L2271">
        <v>21.65</v>
      </c>
      <c r="M2271">
        <v>250.5</v>
      </c>
      <c r="N2271">
        <v>117</v>
      </c>
      <c r="O2271">
        <v>11.27</v>
      </c>
      <c r="P2271">
        <v>7.2</v>
      </c>
      <c r="Q2271">
        <v>5</v>
      </c>
      <c r="R2271">
        <v>1.94</v>
      </c>
      <c r="S2271">
        <v>2</v>
      </c>
      <c r="T2271" t="b">
        <v>0</v>
      </c>
    </row>
    <row r="2272" spans="1:20">
      <c r="A2272" t="s">
        <v>93</v>
      </c>
      <c r="B2272">
        <v>90</v>
      </c>
      <c r="C2272">
        <v>408</v>
      </c>
      <c r="D2272" t="s">
        <v>62</v>
      </c>
      <c r="E2272" t="s">
        <v>62</v>
      </c>
      <c r="F2272">
        <v>0</v>
      </c>
      <c r="G2272">
        <v>61.3</v>
      </c>
      <c r="H2272">
        <v>91</v>
      </c>
      <c r="I2272">
        <v>10.42</v>
      </c>
      <c r="J2272">
        <v>194.4</v>
      </c>
      <c r="K2272">
        <v>94</v>
      </c>
      <c r="L2272">
        <v>16.52</v>
      </c>
      <c r="M2272">
        <v>143.1</v>
      </c>
      <c r="N2272">
        <v>80</v>
      </c>
      <c r="O2272">
        <v>6.44</v>
      </c>
      <c r="P2272">
        <v>11.4</v>
      </c>
      <c r="Q2272">
        <v>9</v>
      </c>
      <c r="R2272">
        <v>3.08</v>
      </c>
      <c r="S2272">
        <v>1</v>
      </c>
      <c r="T2272" t="b">
        <v>0</v>
      </c>
    </row>
    <row r="2273" spans="1:20">
      <c r="A2273" t="s">
        <v>103</v>
      </c>
      <c r="B2273">
        <v>147</v>
      </c>
      <c r="C2273">
        <v>408</v>
      </c>
      <c r="D2273" t="s">
        <v>63</v>
      </c>
      <c r="E2273" t="s">
        <v>62</v>
      </c>
      <c r="F2273">
        <v>0</v>
      </c>
      <c r="G2273">
        <v>183.8</v>
      </c>
      <c r="H2273">
        <v>113</v>
      </c>
      <c r="I2273">
        <v>31.25</v>
      </c>
      <c r="J2273">
        <v>164.7</v>
      </c>
      <c r="K2273">
        <v>110</v>
      </c>
      <c r="L2273">
        <v>14</v>
      </c>
      <c r="M2273">
        <v>111</v>
      </c>
      <c r="N2273">
        <v>87</v>
      </c>
      <c r="O2273">
        <v>5</v>
      </c>
      <c r="P2273">
        <v>10.1</v>
      </c>
      <c r="Q2273">
        <v>4</v>
      </c>
      <c r="R2273">
        <v>2.73</v>
      </c>
      <c r="S2273">
        <v>1</v>
      </c>
      <c r="T2273" t="b">
        <v>0</v>
      </c>
    </row>
    <row r="2274" spans="1:20">
      <c r="A2274" t="s">
        <v>85</v>
      </c>
      <c r="B2274">
        <v>159</v>
      </c>
      <c r="C2274">
        <v>415</v>
      </c>
      <c r="D2274" t="s">
        <v>62</v>
      </c>
      <c r="E2274" t="s">
        <v>62</v>
      </c>
      <c r="F2274">
        <v>0</v>
      </c>
      <c r="G2274">
        <v>167.4</v>
      </c>
      <c r="H2274">
        <v>68</v>
      </c>
      <c r="I2274">
        <v>28.46</v>
      </c>
      <c r="J2274">
        <v>143.8</v>
      </c>
      <c r="K2274">
        <v>74</v>
      </c>
      <c r="L2274">
        <v>12.22</v>
      </c>
      <c r="M2274">
        <v>140.1</v>
      </c>
      <c r="N2274">
        <v>111</v>
      </c>
      <c r="O2274">
        <v>6.3</v>
      </c>
      <c r="P2274">
        <v>10.3</v>
      </c>
      <c r="Q2274">
        <v>3</v>
      </c>
      <c r="R2274">
        <v>2.78</v>
      </c>
      <c r="S2274">
        <v>0</v>
      </c>
      <c r="T2274" t="b">
        <v>1</v>
      </c>
    </row>
    <row r="2275" spans="1:20">
      <c r="A2275" t="s">
        <v>86</v>
      </c>
      <c r="B2275">
        <v>74</v>
      </c>
      <c r="C2275">
        <v>510</v>
      </c>
      <c r="D2275" t="s">
        <v>62</v>
      </c>
      <c r="E2275" t="s">
        <v>63</v>
      </c>
      <c r="F2275">
        <v>27</v>
      </c>
      <c r="G2275">
        <v>154.1</v>
      </c>
      <c r="H2275">
        <v>122</v>
      </c>
      <c r="I2275">
        <v>26.2</v>
      </c>
      <c r="J2275">
        <v>195.3</v>
      </c>
      <c r="K2275">
        <v>150</v>
      </c>
      <c r="L2275">
        <v>16.6</v>
      </c>
      <c r="M2275">
        <v>276.7</v>
      </c>
      <c r="N2275">
        <v>86</v>
      </c>
      <c r="O2275">
        <v>12.45</v>
      </c>
      <c r="P2275">
        <v>13.2</v>
      </c>
      <c r="Q2275">
        <v>2</v>
      </c>
      <c r="R2275">
        <v>3.56</v>
      </c>
      <c r="S2275">
        <v>4</v>
      </c>
      <c r="T2275" t="b">
        <v>0</v>
      </c>
    </row>
    <row r="2276" spans="1:20">
      <c r="A2276" t="s">
        <v>110</v>
      </c>
      <c r="B2276">
        <v>87</v>
      </c>
      <c r="C2276">
        <v>415</v>
      </c>
      <c r="D2276" t="s">
        <v>62</v>
      </c>
      <c r="E2276" t="s">
        <v>62</v>
      </c>
      <c r="F2276">
        <v>0</v>
      </c>
      <c r="G2276">
        <v>198.3</v>
      </c>
      <c r="H2276">
        <v>80</v>
      </c>
      <c r="I2276">
        <v>33.71</v>
      </c>
      <c r="J2276">
        <v>187</v>
      </c>
      <c r="K2276">
        <v>89</v>
      </c>
      <c r="L2276">
        <v>15.9</v>
      </c>
      <c r="M2276">
        <v>133.5</v>
      </c>
      <c r="N2276">
        <v>96</v>
      </c>
      <c r="O2276">
        <v>6.01</v>
      </c>
      <c r="P2276">
        <v>16.6</v>
      </c>
      <c r="Q2276">
        <v>4</v>
      </c>
      <c r="R2276">
        <v>4.48</v>
      </c>
      <c r="S2276">
        <v>2</v>
      </c>
      <c r="T2276" t="b">
        <v>0</v>
      </c>
    </row>
    <row r="2277" spans="1:20">
      <c r="A2277" t="s">
        <v>79</v>
      </c>
      <c r="B2277">
        <v>99</v>
      </c>
      <c r="C2277">
        <v>510</v>
      </c>
      <c r="D2277" t="s">
        <v>62</v>
      </c>
      <c r="E2277" t="s">
        <v>62</v>
      </c>
      <c r="F2277">
        <v>0</v>
      </c>
      <c r="G2277">
        <v>128.3</v>
      </c>
      <c r="H2277">
        <v>78</v>
      </c>
      <c r="I2277">
        <v>21.81</v>
      </c>
      <c r="J2277">
        <v>215.3</v>
      </c>
      <c r="K2277">
        <v>120</v>
      </c>
      <c r="L2277">
        <v>18.3</v>
      </c>
      <c r="M2277">
        <v>143.7</v>
      </c>
      <c r="N2277">
        <v>140</v>
      </c>
      <c r="O2277">
        <v>6.47</v>
      </c>
      <c r="P2277">
        <v>14.3</v>
      </c>
      <c r="Q2277">
        <v>9</v>
      </c>
      <c r="R2277">
        <v>3.86</v>
      </c>
      <c r="S2277">
        <v>2</v>
      </c>
      <c r="T2277" t="b">
        <v>0</v>
      </c>
    </row>
    <row r="2278" spans="1:20">
      <c r="A2278" t="s">
        <v>99</v>
      </c>
      <c r="B2278">
        <v>131</v>
      </c>
      <c r="C2278">
        <v>510</v>
      </c>
      <c r="D2278" t="s">
        <v>62</v>
      </c>
      <c r="E2278" t="s">
        <v>62</v>
      </c>
      <c r="F2278">
        <v>0</v>
      </c>
      <c r="G2278">
        <v>187.9</v>
      </c>
      <c r="H2278">
        <v>110</v>
      </c>
      <c r="I2278">
        <v>31.94</v>
      </c>
      <c r="J2278">
        <v>200.5</v>
      </c>
      <c r="K2278">
        <v>101</v>
      </c>
      <c r="L2278">
        <v>17.04</v>
      </c>
      <c r="M2278">
        <v>202.6</v>
      </c>
      <c r="N2278">
        <v>125</v>
      </c>
      <c r="O2278">
        <v>9.12</v>
      </c>
      <c r="P2278">
        <v>10.2</v>
      </c>
      <c r="Q2278">
        <v>11</v>
      </c>
      <c r="R2278">
        <v>2.75</v>
      </c>
      <c r="S2278">
        <v>2</v>
      </c>
      <c r="T2278" t="b">
        <v>0</v>
      </c>
    </row>
    <row r="2279" spans="1:20">
      <c r="A2279" t="s">
        <v>67</v>
      </c>
      <c r="B2279">
        <v>89</v>
      </c>
      <c r="C2279">
        <v>510</v>
      </c>
      <c r="D2279" t="s">
        <v>62</v>
      </c>
      <c r="E2279" t="s">
        <v>62</v>
      </c>
      <c r="F2279">
        <v>0</v>
      </c>
      <c r="G2279">
        <v>129.2</v>
      </c>
      <c r="H2279">
        <v>71</v>
      </c>
      <c r="I2279">
        <v>21.96</v>
      </c>
      <c r="J2279">
        <v>214.1</v>
      </c>
      <c r="K2279">
        <v>68</v>
      </c>
      <c r="L2279">
        <v>18.2</v>
      </c>
      <c r="M2279">
        <v>214.9</v>
      </c>
      <c r="N2279">
        <v>100</v>
      </c>
      <c r="O2279">
        <v>9.67</v>
      </c>
      <c r="P2279">
        <v>10.3</v>
      </c>
      <c r="Q2279">
        <v>4</v>
      </c>
      <c r="R2279">
        <v>2.78</v>
      </c>
      <c r="S2279">
        <v>5</v>
      </c>
      <c r="T2279" t="b">
        <v>1</v>
      </c>
    </row>
    <row r="2280" spans="1:20">
      <c r="A2280" t="s">
        <v>109</v>
      </c>
      <c r="B2280">
        <v>123</v>
      </c>
      <c r="C2280">
        <v>415</v>
      </c>
      <c r="D2280" t="s">
        <v>63</v>
      </c>
      <c r="E2280" t="s">
        <v>62</v>
      </c>
      <c r="F2280">
        <v>0</v>
      </c>
      <c r="G2280">
        <v>125.5</v>
      </c>
      <c r="H2280">
        <v>106</v>
      </c>
      <c r="I2280">
        <v>21.34</v>
      </c>
      <c r="J2280">
        <v>128.9</v>
      </c>
      <c r="K2280">
        <v>96</v>
      </c>
      <c r="L2280">
        <v>10.96</v>
      </c>
      <c r="M2280">
        <v>251.9</v>
      </c>
      <c r="N2280">
        <v>129</v>
      </c>
      <c r="O2280">
        <v>11.34</v>
      </c>
      <c r="P2280">
        <v>6.3</v>
      </c>
      <c r="Q2280">
        <v>6</v>
      </c>
      <c r="R2280">
        <v>1.7</v>
      </c>
      <c r="S2280">
        <v>4</v>
      </c>
      <c r="T2280" t="b">
        <v>1</v>
      </c>
    </row>
    <row r="2281" spans="1:20">
      <c r="A2281" t="s">
        <v>109</v>
      </c>
      <c r="B2281">
        <v>130</v>
      </c>
      <c r="C2281">
        <v>510</v>
      </c>
      <c r="D2281" t="s">
        <v>62</v>
      </c>
      <c r="E2281" t="s">
        <v>63</v>
      </c>
      <c r="F2281">
        <v>26</v>
      </c>
      <c r="G2281">
        <v>257.2</v>
      </c>
      <c r="H2281">
        <v>108</v>
      </c>
      <c r="I2281">
        <v>43.72</v>
      </c>
      <c r="J2281">
        <v>224.3</v>
      </c>
      <c r="K2281">
        <v>122</v>
      </c>
      <c r="L2281">
        <v>19.07</v>
      </c>
      <c r="M2281">
        <v>204</v>
      </c>
      <c r="N2281">
        <v>118</v>
      </c>
      <c r="O2281">
        <v>9.18</v>
      </c>
      <c r="P2281">
        <v>12.6</v>
      </c>
      <c r="Q2281">
        <v>4</v>
      </c>
      <c r="R2281">
        <v>3.4</v>
      </c>
      <c r="S2281">
        <v>1</v>
      </c>
      <c r="T2281" t="b">
        <v>0</v>
      </c>
    </row>
    <row r="2282" spans="1:20">
      <c r="A2282" t="s">
        <v>114</v>
      </c>
      <c r="B2282">
        <v>99</v>
      </c>
      <c r="C2282">
        <v>415</v>
      </c>
      <c r="D2282" t="s">
        <v>62</v>
      </c>
      <c r="E2282" t="s">
        <v>62</v>
      </c>
      <c r="F2282">
        <v>0</v>
      </c>
      <c r="G2282">
        <v>124.6</v>
      </c>
      <c r="H2282">
        <v>90</v>
      </c>
      <c r="I2282">
        <v>21.18</v>
      </c>
      <c r="J2282">
        <v>146.4</v>
      </c>
      <c r="K2282">
        <v>70</v>
      </c>
      <c r="L2282">
        <v>12.44</v>
      </c>
      <c r="M2282">
        <v>169.4</v>
      </c>
      <c r="N2282">
        <v>95</v>
      </c>
      <c r="O2282">
        <v>7.62</v>
      </c>
      <c r="P2282">
        <v>10.5</v>
      </c>
      <c r="Q2282">
        <v>6</v>
      </c>
      <c r="R2282">
        <v>2.84</v>
      </c>
      <c r="S2282">
        <v>1</v>
      </c>
      <c r="T2282" t="b">
        <v>0</v>
      </c>
    </row>
    <row r="2283" spans="1:20">
      <c r="A2283" t="s">
        <v>71</v>
      </c>
      <c r="B2283">
        <v>36</v>
      </c>
      <c r="C2283">
        <v>408</v>
      </c>
      <c r="D2283" t="s">
        <v>62</v>
      </c>
      <c r="E2283" t="s">
        <v>62</v>
      </c>
      <c r="F2283">
        <v>0</v>
      </c>
      <c r="G2283">
        <v>175.1</v>
      </c>
      <c r="H2283">
        <v>144</v>
      </c>
      <c r="I2283">
        <v>29.77</v>
      </c>
      <c r="J2283">
        <v>216.9</v>
      </c>
      <c r="K2283">
        <v>69</v>
      </c>
      <c r="L2283">
        <v>18.44</v>
      </c>
      <c r="M2283">
        <v>243.7</v>
      </c>
      <c r="N2283">
        <v>146</v>
      </c>
      <c r="O2283">
        <v>10.97</v>
      </c>
      <c r="P2283">
        <v>9.9</v>
      </c>
      <c r="Q2283">
        <v>3</v>
      </c>
      <c r="R2283">
        <v>2.67</v>
      </c>
      <c r="S2283">
        <v>1</v>
      </c>
      <c r="T2283" t="b">
        <v>0</v>
      </c>
    </row>
    <row r="2284" spans="1:20">
      <c r="A2284" t="s">
        <v>71</v>
      </c>
      <c r="B2284">
        <v>87</v>
      </c>
      <c r="C2284">
        <v>415</v>
      </c>
      <c r="D2284" t="s">
        <v>62</v>
      </c>
      <c r="E2284" t="s">
        <v>62</v>
      </c>
      <c r="F2284">
        <v>0</v>
      </c>
      <c r="G2284">
        <v>124.3</v>
      </c>
      <c r="H2284">
        <v>91</v>
      </c>
      <c r="I2284">
        <v>21.13</v>
      </c>
      <c r="J2284">
        <v>173.4</v>
      </c>
      <c r="K2284">
        <v>105</v>
      </c>
      <c r="L2284">
        <v>14.74</v>
      </c>
      <c r="M2284">
        <v>256.3</v>
      </c>
      <c r="N2284">
        <v>109</v>
      </c>
      <c r="O2284">
        <v>11.53</v>
      </c>
      <c r="P2284">
        <v>7.5</v>
      </c>
      <c r="Q2284">
        <v>5</v>
      </c>
      <c r="R2284">
        <v>2.03</v>
      </c>
      <c r="S2284">
        <v>3</v>
      </c>
      <c r="T2284" t="b">
        <v>0</v>
      </c>
    </row>
    <row r="2285" spans="1:20">
      <c r="A2285" t="s">
        <v>71</v>
      </c>
      <c r="B2285">
        <v>139</v>
      </c>
      <c r="C2285">
        <v>415</v>
      </c>
      <c r="D2285" t="s">
        <v>62</v>
      </c>
      <c r="E2285" t="s">
        <v>62</v>
      </c>
      <c r="F2285">
        <v>0</v>
      </c>
      <c r="G2285">
        <v>271.6</v>
      </c>
      <c r="H2285">
        <v>130</v>
      </c>
      <c r="I2285">
        <v>46.17</v>
      </c>
      <c r="J2285">
        <v>156</v>
      </c>
      <c r="K2285">
        <v>131</v>
      </c>
      <c r="L2285">
        <v>13.26</v>
      </c>
      <c r="M2285">
        <v>136.3</v>
      </c>
      <c r="N2285">
        <v>108</v>
      </c>
      <c r="O2285">
        <v>6.13</v>
      </c>
      <c r="P2285">
        <v>11.6</v>
      </c>
      <c r="Q2285">
        <v>9</v>
      </c>
      <c r="R2285">
        <v>3.13</v>
      </c>
      <c r="S2285">
        <v>2</v>
      </c>
      <c r="T2285" t="b">
        <v>0</v>
      </c>
    </row>
    <row r="2286" spans="1:20">
      <c r="A2286" t="s">
        <v>96</v>
      </c>
      <c r="B2286">
        <v>189</v>
      </c>
      <c r="C2286">
        <v>510</v>
      </c>
      <c r="D2286" t="s">
        <v>62</v>
      </c>
      <c r="E2286" t="s">
        <v>62</v>
      </c>
      <c r="F2286">
        <v>0</v>
      </c>
      <c r="G2286">
        <v>219.9</v>
      </c>
      <c r="H2286">
        <v>80</v>
      </c>
      <c r="I2286">
        <v>37.38</v>
      </c>
      <c r="J2286">
        <v>143.3</v>
      </c>
      <c r="K2286">
        <v>117</v>
      </c>
      <c r="L2286">
        <v>12.18</v>
      </c>
      <c r="M2286">
        <v>130.6</v>
      </c>
      <c r="N2286">
        <v>69</v>
      </c>
      <c r="O2286">
        <v>5.88</v>
      </c>
      <c r="P2286">
        <v>11.7</v>
      </c>
      <c r="Q2286">
        <v>7</v>
      </c>
      <c r="R2286">
        <v>3.16</v>
      </c>
      <c r="S2286">
        <v>1</v>
      </c>
      <c r="T2286" t="b">
        <v>0</v>
      </c>
    </row>
    <row r="2287" spans="1:20">
      <c r="A2287" t="s">
        <v>103</v>
      </c>
      <c r="B2287">
        <v>96</v>
      </c>
      <c r="C2287">
        <v>415</v>
      </c>
      <c r="D2287" t="s">
        <v>62</v>
      </c>
      <c r="E2287" t="s">
        <v>63</v>
      </c>
      <c r="F2287">
        <v>33</v>
      </c>
      <c r="G2287">
        <v>183.3</v>
      </c>
      <c r="H2287">
        <v>115</v>
      </c>
      <c r="I2287">
        <v>31.16</v>
      </c>
      <c r="J2287">
        <v>201.4</v>
      </c>
      <c r="K2287">
        <v>87</v>
      </c>
      <c r="L2287">
        <v>17.12</v>
      </c>
      <c r="M2287">
        <v>177.4</v>
      </c>
      <c r="N2287">
        <v>84</v>
      </c>
      <c r="O2287">
        <v>7.98</v>
      </c>
      <c r="P2287">
        <v>10.4</v>
      </c>
      <c r="Q2287">
        <v>15</v>
      </c>
      <c r="R2287">
        <v>2.81</v>
      </c>
      <c r="S2287">
        <v>3</v>
      </c>
      <c r="T2287" t="b">
        <v>0</v>
      </c>
    </row>
    <row r="2288" spans="1:20">
      <c r="A2288" t="s">
        <v>95</v>
      </c>
      <c r="B2288">
        <v>112</v>
      </c>
      <c r="C2288">
        <v>408</v>
      </c>
      <c r="D2288" t="s">
        <v>62</v>
      </c>
      <c r="E2288" t="s">
        <v>62</v>
      </c>
      <c r="F2288">
        <v>0</v>
      </c>
      <c r="G2288">
        <v>101.1</v>
      </c>
      <c r="H2288">
        <v>119</v>
      </c>
      <c r="I2288">
        <v>17.19</v>
      </c>
      <c r="J2288">
        <v>214.4</v>
      </c>
      <c r="K2288">
        <v>67</v>
      </c>
      <c r="L2288">
        <v>18.22</v>
      </c>
      <c r="M2288">
        <v>179.5</v>
      </c>
      <c r="N2288">
        <v>112</v>
      </c>
      <c r="O2288">
        <v>8.08</v>
      </c>
      <c r="P2288">
        <v>10.3</v>
      </c>
      <c r="Q2288">
        <v>5</v>
      </c>
      <c r="R2288">
        <v>2.78</v>
      </c>
      <c r="S2288">
        <v>2</v>
      </c>
      <c r="T2288" t="b">
        <v>0</v>
      </c>
    </row>
    <row r="2289" spans="1:20">
      <c r="A2289" t="s">
        <v>65</v>
      </c>
      <c r="B2289">
        <v>108</v>
      </c>
      <c r="C2289">
        <v>415</v>
      </c>
      <c r="D2289" t="s">
        <v>62</v>
      </c>
      <c r="E2289" t="s">
        <v>63</v>
      </c>
      <c r="F2289">
        <v>41</v>
      </c>
      <c r="G2289">
        <v>171.6</v>
      </c>
      <c r="H2289">
        <v>110</v>
      </c>
      <c r="I2289">
        <v>29.17</v>
      </c>
      <c r="J2289">
        <v>136.1</v>
      </c>
      <c r="K2289">
        <v>78</v>
      </c>
      <c r="L2289">
        <v>11.57</v>
      </c>
      <c r="M2289">
        <v>183.4</v>
      </c>
      <c r="N2289">
        <v>103</v>
      </c>
      <c r="O2289">
        <v>8.25</v>
      </c>
      <c r="P2289">
        <v>10.8</v>
      </c>
      <c r="Q2289">
        <v>7</v>
      </c>
      <c r="R2289">
        <v>2.92</v>
      </c>
      <c r="S2289">
        <v>0</v>
      </c>
      <c r="T2289" t="b">
        <v>0</v>
      </c>
    </row>
    <row r="2290" spans="1:20">
      <c r="A2290" t="s">
        <v>73</v>
      </c>
      <c r="B2290">
        <v>121</v>
      </c>
      <c r="C2290">
        <v>510</v>
      </c>
      <c r="D2290" t="s">
        <v>62</v>
      </c>
      <c r="E2290" t="s">
        <v>63</v>
      </c>
      <c r="F2290">
        <v>20</v>
      </c>
      <c r="G2290">
        <v>211.9</v>
      </c>
      <c r="H2290">
        <v>110</v>
      </c>
      <c r="I2290">
        <v>36.02</v>
      </c>
      <c r="J2290">
        <v>215.1</v>
      </c>
      <c r="K2290">
        <v>120</v>
      </c>
      <c r="L2290">
        <v>18.28</v>
      </c>
      <c r="M2290">
        <v>238.5</v>
      </c>
      <c r="N2290">
        <v>107</v>
      </c>
      <c r="O2290">
        <v>10.73</v>
      </c>
      <c r="P2290">
        <v>9.4</v>
      </c>
      <c r="Q2290">
        <v>2</v>
      </c>
      <c r="R2290">
        <v>2.54</v>
      </c>
      <c r="S2290">
        <v>0</v>
      </c>
      <c r="T2290" t="b">
        <v>0</v>
      </c>
    </row>
    <row r="2291" spans="1:20">
      <c r="A2291" t="s">
        <v>99</v>
      </c>
      <c r="B2291">
        <v>116</v>
      </c>
      <c r="C2291">
        <v>415</v>
      </c>
      <c r="D2291" t="s">
        <v>62</v>
      </c>
      <c r="E2291" t="s">
        <v>62</v>
      </c>
      <c r="F2291">
        <v>0</v>
      </c>
      <c r="G2291">
        <v>63.7</v>
      </c>
      <c r="H2291">
        <v>101</v>
      </c>
      <c r="I2291">
        <v>10.83</v>
      </c>
      <c r="J2291">
        <v>195.8</v>
      </c>
      <c r="K2291">
        <v>95</v>
      </c>
      <c r="L2291">
        <v>16.64</v>
      </c>
      <c r="M2291">
        <v>210.1</v>
      </c>
      <c r="N2291">
        <v>87</v>
      </c>
      <c r="O2291">
        <v>9.45</v>
      </c>
      <c r="P2291">
        <v>10</v>
      </c>
      <c r="Q2291">
        <v>6</v>
      </c>
      <c r="R2291">
        <v>2.7</v>
      </c>
      <c r="S2291">
        <v>1</v>
      </c>
      <c r="T2291" t="b">
        <v>0</v>
      </c>
    </row>
    <row r="2292" spans="1:20">
      <c r="A2292" t="s">
        <v>87</v>
      </c>
      <c r="B2292">
        <v>161</v>
      </c>
      <c r="C2292">
        <v>415</v>
      </c>
      <c r="D2292" t="s">
        <v>62</v>
      </c>
      <c r="E2292" t="s">
        <v>62</v>
      </c>
      <c r="F2292">
        <v>0</v>
      </c>
      <c r="G2292">
        <v>173.4</v>
      </c>
      <c r="H2292">
        <v>100</v>
      </c>
      <c r="I2292">
        <v>29.48</v>
      </c>
      <c r="J2292">
        <v>213.7</v>
      </c>
      <c r="K2292">
        <v>74</v>
      </c>
      <c r="L2292">
        <v>18.16</v>
      </c>
      <c r="M2292">
        <v>141.5</v>
      </c>
      <c r="N2292">
        <v>69</v>
      </c>
      <c r="O2292">
        <v>6.37</v>
      </c>
      <c r="P2292">
        <v>11.5</v>
      </c>
      <c r="Q2292">
        <v>4</v>
      </c>
      <c r="R2292">
        <v>3.11</v>
      </c>
      <c r="S2292">
        <v>1</v>
      </c>
      <c r="T2292" t="b">
        <v>0</v>
      </c>
    </row>
    <row r="2293" spans="1:20">
      <c r="A2293" t="s">
        <v>67</v>
      </c>
      <c r="B2293">
        <v>19</v>
      </c>
      <c r="C2293">
        <v>415</v>
      </c>
      <c r="D2293" t="s">
        <v>63</v>
      </c>
      <c r="E2293" t="s">
        <v>62</v>
      </c>
      <c r="F2293">
        <v>0</v>
      </c>
      <c r="G2293">
        <v>237.7</v>
      </c>
      <c r="H2293">
        <v>98</v>
      </c>
      <c r="I2293">
        <v>40.41</v>
      </c>
      <c r="J2293">
        <v>207.1</v>
      </c>
      <c r="K2293">
        <v>121</v>
      </c>
      <c r="L2293">
        <v>17.6</v>
      </c>
      <c r="M2293">
        <v>182.2</v>
      </c>
      <c r="N2293">
        <v>95</v>
      </c>
      <c r="O2293">
        <v>8.2</v>
      </c>
      <c r="P2293">
        <v>4.5</v>
      </c>
      <c r="Q2293">
        <v>4</v>
      </c>
      <c r="R2293">
        <v>1.22</v>
      </c>
      <c r="S2293">
        <v>0</v>
      </c>
      <c r="T2293" t="b">
        <v>0</v>
      </c>
    </row>
    <row r="2294" spans="1:20">
      <c r="A2294" t="s">
        <v>77</v>
      </c>
      <c r="B2294">
        <v>119</v>
      </c>
      <c r="C2294">
        <v>415</v>
      </c>
      <c r="D2294" t="s">
        <v>63</v>
      </c>
      <c r="E2294" t="s">
        <v>63</v>
      </c>
      <c r="F2294">
        <v>32</v>
      </c>
      <c r="G2294">
        <v>173</v>
      </c>
      <c r="H2294">
        <v>101</v>
      </c>
      <c r="I2294">
        <v>29.41</v>
      </c>
      <c r="J2294">
        <v>209.4</v>
      </c>
      <c r="K2294">
        <v>93</v>
      </c>
      <c r="L2294">
        <v>17.8</v>
      </c>
      <c r="M2294">
        <v>231.1</v>
      </c>
      <c r="N2294">
        <v>91</v>
      </c>
      <c r="O2294">
        <v>10.4</v>
      </c>
      <c r="P2294">
        <v>12.2</v>
      </c>
      <c r="Q2294">
        <v>4</v>
      </c>
      <c r="R2294">
        <v>3.29</v>
      </c>
      <c r="S2294">
        <v>0</v>
      </c>
      <c r="T2294" t="b">
        <v>0</v>
      </c>
    </row>
    <row r="2295" spans="1:20">
      <c r="A2295" t="s">
        <v>91</v>
      </c>
      <c r="B2295">
        <v>125</v>
      </c>
      <c r="C2295">
        <v>415</v>
      </c>
      <c r="D2295" t="s">
        <v>62</v>
      </c>
      <c r="E2295" t="s">
        <v>62</v>
      </c>
      <c r="F2295">
        <v>0</v>
      </c>
      <c r="G2295">
        <v>224.9</v>
      </c>
      <c r="H2295">
        <v>102</v>
      </c>
      <c r="I2295">
        <v>38.23</v>
      </c>
      <c r="J2295">
        <v>143.8</v>
      </c>
      <c r="K2295">
        <v>87</v>
      </c>
      <c r="L2295">
        <v>12.22</v>
      </c>
      <c r="M2295">
        <v>198.9</v>
      </c>
      <c r="N2295">
        <v>105</v>
      </c>
      <c r="O2295">
        <v>8.95</v>
      </c>
      <c r="P2295">
        <v>8</v>
      </c>
      <c r="Q2295">
        <v>2</v>
      </c>
      <c r="R2295">
        <v>2.16</v>
      </c>
      <c r="S2295">
        <v>0</v>
      </c>
      <c r="T2295" t="b">
        <v>0</v>
      </c>
    </row>
    <row r="2296" spans="1:20">
      <c r="A2296" t="s">
        <v>96</v>
      </c>
      <c r="B2296">
        <v>156</v>
      </c>
      <c r="C2296">
        <v>510</v>
      </c>
      <c r="D2296" t="s">
        <v>62</v>
      </c>
      <c r="E2296" t="s">
        <v>62</v>
      </c>
      <c r="F2296">
        <v>0</v>
      </c>
      <c r="G2296">
        <v>237.7</v>
      </c>
      <c r="H2296">
        <v>122</v>
      </c>
      <c r="I2296">
        <v>40.41</v>
      </c>
      <c r="J2296">
        <v>181.5</v>
      </c>
      <c r="K2296">
        <v>91</v>
      </c>
      <c r="L2296">
        <v>15.43</v>
      </c>
      <c r="M2296">
        <v>185.7</v>
      </c>
      <c r="N2296">
        <v>151</v>
      </c>
      <c r="O2296">
        <v>8.36</v>
      </c>
      <c r="P2296">
        <v>7.7</v>
      </c>
      <c r="Q2296">
        <v>4</v>
      </c>
      <c r="R2296">
        <v>2.08</v>
      </c>
      <c r="S2296">
        <v>1</v>
      </c>
      <c r="T2296" t="b">
        <v>0</v>
      </c>
    </row>
    <row r="2297" spans="1:20">
      <c r="A2297" t="s">
        <v>85</v>
      </c>
      <c r="B2297">
        <v>109</v>
      </c>
      <c r="C2297">
        <v>415</v>
      </c>
      <c r="D2297" t="s">
        <v>62</v>
      </c>
      <c r="E2297" t="s">
        <v>62</v>
      </c>
      <c r="F2297">
        <v>0</v>
      </c>
      <c r="G2297">
        <v>137</v>
      </c>
      <c r="H2297">
        <v>128</v>
      </c>
      <c r="I2297">
        <v>23.29</v>
      </c>
      <c r="J2297">
        <v>217</v>
      </c>
      <c r="K2297">
        <v>116</v>
      </c>
      <c r="L2297">
        <v>18.45</v>
      </c>
      <c r="M2297">
        <v>182.1</v>
      </c>
      <c r="N2297">
        <v>86</v>
      </c>
      <c r="O2297">
        <v>8.19</v>
      </c>
      <c r="P2297">
        <v>10</v>
      </c>
      <c r="Q2297">
        <v>5</v>
      </c>
      <c r="R2297">
        <v>2.7</v>
      </c>
      <c r="S2297">
        <v>2</v>
      </c>
      <c r="T2297" t="b">
        <v>0</v>
      </c>
    </row>
    <row r="2298" spans="1:20">
      <c r="A2298" t="s">
        <v>87</v>
      </c>
      <c r="B2298">
        <v>95</v>
      </c>
      <c r="C2298">
        <v>510</v>
      </c>
      <c r="D2298" t="s">
        <v>62</v>
      </c>
      <c r="E2298" t="s">
        <v>62</v>
      </c>
      <c r="F2298">
        <v>0</v>
      </c>
      <c r="G2298">
        <v>142.5</v>
      </c>
      <c r="H2298">
        <v>109</v>
      </c>
      <c r="I2298">
        <v>24.23</v>
      </c>
      <c r="J2298">
        <v>176.1</v>
      </c>
      <c r="K2298">
        <v>107</v>
      </c>
      <c r="L2298">
        <v>14.97</v>
      </c>
      <c r="M2298">
        <v>189.6</v>
      </c>
      <c r="N2298">
        <v>88</v>
      </c>
      <c r="O2298">
        <v>8.53</v>
      </c>
      <c r="P2298">
        <v>8.2</v>
      </c>
      <c r="Q2298">
        <v>3</v>
      </c>
      <c r="R2298">
        <v>2.21</v>
      </c>
      <c r="S2298">
        <v>2</v>
      </c>
      <c r="T2298" t="b">
        <v>0</v>
      </c>
    </row>
    <row r="2299" spans="1:20">
      <c r="A2299" t="s">
        <v>102</v>
      </c>
      <c r="B2299">
        <v>90</v>
      </c>
      <c r="C2299">
        <v>408</v>
      </c>
      <c r="D2299" t="s">
        <v>62</v>
      </c>
      <c r="E2299" t="s">
        <v>62</v>
      </c>
      <c r="F2299">
        <v>0</v>
      </c>
      <c r="G2299">
        <v>142.4</v>
      </c>
      <c r="H2299">
        <v>126</v>
      </c>
      <c r="I2299">
        <v>24.21</v>
      </c>
      <c r="J2299">
        <v>126.2</v>
      </c>
      <c r="K2299">
        <v>118</v>
      </c>
      <c r="L2299">
        <v>10.73</v>
      </c>
      <c r="M2299">
        <v>274.2</v>
      </c>
      <c r="N2299">
        <v>71</v>
      </c>
      <c r="O2299">
        <v>12.34</v>
      </c>
      <c r="P2299">
        <v>4.6</v>
      </c>
      <c r="Q2299">
        <v>4</v>
      </c>
      <c r="R2299">
        <v>1.24</v>
      </c>
      <c r="S2299">
        <v>1</v>
      </c>
      <c r="T2299" t="b">
        <v>0</v>
      </c>
    </row>
    <row r="2300" spans="1:20">
      <c r="A2300" t="s">
        <v>68</v>
      </c>
      <c r="B2300">
        <v>105</v>
      </c>
      <c r="C2300">
        <v>415</v>
      </c>
      <c r="D2300" t="s">
        <v>62</v>
      </c>
      <c r="E2300" t="s">
        <v>63</v>
      </c>
      <c r="F2300">
        <v>21</v>
      </c>
      <c r="G2300">
        <v>147</v>
      </c>
      <c r="H2300">
        <v>112</v>
      </c>
      <c r="I2300">
        <v>24.99</v>
      </c>
      <c r="J2300">
        <v>197.3</v>
      </c>
      <c r="K2300">
        <v>43</v>
      </c>
      <c r="L2300">
        <v>16.77</v>
      </c>
      <c r="M2300">
        <v>267.4</v>
      </c>
      <c r="N2300">
        <v>93</v>
      </c>
      <c r="O2300">
        <v>12.03</v>
      </c>
      <c r="P2300">
        <v>8.7</v>
      </c>
      <c r="Q2300">
        <v>3</v>
      </c>
      <c r="R2300">
        <v>2.35</v>
      </c>
      <c r="S2300">
        <v>2</v>
      </c>
      <c r="T2300" t="b">
        <v>0</v>
      </c>
    </row>
    <row r="2301" spans="1:20">
      <c r="A2301" t="s">
        <v>87</v>
      </c>
      <c r="B2301">
        <v>101</v>
      </c>
      <c r="C2301">
        <v>510</v>
      </c>
      <c r="D2301" t="s">
        <v>62</v>
      </c>
      <c r="E2301" t="s">
        <v>62</v>
      </c>
      <c r="F2301">
        <v>0</v>
      </c>
      <c r="G2301">
        <v>220.3</v>
      </c>
      <c r="H2301">
        <v>124</v>
      </c>
      <c r="I2301">
        <v>37.45</v>
      </c>
      <c r="J2301">
        <v>188.6</v>
      </c>
      <c r="K2301">
        <v>101</v>
      </c>
      <c r="L2301">
        <v>16.03</v>
      </c>
      <c r="M2301">
        <v>278.4</v>
      </c>
      <c r="N2301">
        <v>98</v>
      </c>
      <c r="O2301">
        <v>12.53</v>
      </c>
      <c r="P2301">
        <v>10.6</v>
      </c>
      <c r="Q2301">
        <v>4</v>
      </c>
      <c r="R2301">
        <v>2.86</v>
      </c>
      <c r="S2301">
        <v>1</v>
      </c>
      <c r="T2301" t="b">
        <v>0</v>
      </c>
    </row>
    <row r="2302" spans="1:20">
      <c r="A2302" t="s">
        <v>102</v>
      </c>
      <c r="B2302">
        <v>95</v>
      </c>
      <c r="C2302">
        <v>415</v>
      </c>
      <c r="D2302" t="s">
        <v>62</v>
      </c>
      <c r="E2302" t="s">
        <v>62</v>
      </c>
      <c r="F2302">
        <v>0</v>
      </c>
      <c r="G2302">
        <v>149.2</v>
      </c>
      <c r="H2302">
        <v>96</v>
      </c>
      <c r="I2302">
        <v>25.36</v>
      </c>
      <c r="J2302">
        <v>260.7</v>
      </c>
      <c r="K2302">
        <v>116</v>
      </c>
      <c r="L2302">
        <v>22.16</v>
      </c>
      <c r="M2302">
        <v>201</v>
      </c>
      <c r="N2302">
        <v>120</v>
      </c>
      <c r="O2302">
        <v>9.05</v>
      </c>
      <c r="P2302">
        <v>8.1</v>
      </c>
      <c r="Q2302">
        <v>2</v>
      </c>
      <c r="R2302">
        <v>2.19</v>
      </c>
      <c r="S2302">
        <v>1</v>
      </c>
      <c r="T2302" t="b">
        <v>0</v>
      </c>
    </row>
    <row r="2303" spans="1:20">
      <c r="A2303" t="s">
        <v>75</v>
      </c>
      <c r="B2303">
        <v>123</v>
      </c>
      <c r="C2303">
        <v>415</v>
      </c>
      <c r="D2303" t="s">
        <v>62</v>
      </c>
      <c r="E2303" t="s">
        <v>62</v>
      </c>
      <c r="F2303">
        <v>0</v>
      </c>
      <c r="G2303">
        <v>204.4</v>
      </c>
      <c r="H2303">
        <v>88</v>
      </c>
      <c r="I2303">
        <v>34.75</v>
      </c>
      <c r="J2303">
        <v>137.5</v>
      </c>
      <c r="K2303">
        <v>111</v>
      </c>
      <c r="L2303">
        <v>11.69</v>
      </c>
      <c r="M2303">
        <v>226</v>
      </c>
      <c r="N2303">
        <v>100</v>
      </c>
      <c r="O2303">
        <v>10.17</v>
      </c>
      <c r="P2303">
        <v>10</v>
      </c>
      <c r="Q2303">
        <v>4</v>
      </c>
      <c r="R2303">
        <v>2.7</v>
      </c>
      <c r="S2303">
        <v>0</v>
      </c>
      <c r="T2303" t="b">
        <v>0</v>
      </c>
    </row>
    <row r="2304" spans="1:20">
      <c r="A2304" t="s">
        <v>67</v>
      </c>
      <c r="B2304">
        <v>141</v>
      </c>
      <c r="C2304">
        <v>510</v>
      </c>
      <c r="D2304" t="s">
        <v>62</v>
      </c>
      <c r="E2304" t="s">
        <v>63</v>
      </c>
      <c r="F2304">
        <v>28</v>
      </c>
      <c r="G2304">
        <v>308</v>
      </c>
      <c r="H2304">
        <v>123</v>
      </c>
      <c r="I2304">
        <v>52.36</v>
      </c>
      <c r="J2304">
        <v>247.8</v>
      </c>
      <c r="K2304">
        <v>128</v>
      </c>
      <c r="L2304">
        <v>21.06</v>
      </c>
      <c r="M2304">
        <v>152.9</v>
      </c>
      <c r="N2304">
        <v>103</v>
      </c>
      <c r="O2304">
        <v>6.88</v>
      </c>
      <c r="P2304">
        <v>7.4</v>
      </c>
      <c r="Q2304">
        <v>3</v>
      </c>
      <c r="R2304">
        <v>2</v>
      </c>
      <c r="S2304">
        <v>1</v>
      </c>
      <c r="T2304" t="b">
        <v>0</v>
      </c>
    </row>
    <row r="2305" spans="1:20">
      <c r="A2305" t="s">
        <v>98</v>
      </c>
      <c r="B2305">
        <v>75</v>
      </c>
      <c r="C2305">
        <v>415</v>
      </c>
      <c r="D2305" t="s">
        <v>62</v>
      </c>
      <c r="E2305" t="s">
        <v>63</v>
      </c>
      <c r="F2305">
        <v>19</v>
      </c>
      <c r="G2305">
        <v>210.3</v>
      </c>
      <c r="H2305">
        <v>90</v>
      </c>
      <c r="I2305">
        <v>35.75</v>
      </c>
      <c r="J2305">
        <v>241.8</v>
      </c>
      <c r="K2305">
        <v>87</v>
      </c>
      <c r="L2305">
        <v>20.55</v>
      </c>
      <c r="M2305">
        <v>215.7</v>
      </c>
      <c r="N2305">
        <v>102</v>
      </c>
      <c r="O2305">
        <v>9.71</v>
      </c>
      <c r="P2305">
        <v>13.1</v>
      </c>
      <c r="Q2305">
        <v>3</v>
      </c>
      <c r="R2305">
        <v>3.54</v>
      </c>
      <c r="S2305">
        <v>4</v>
      </c>
      <c r="T2305" t="b">
        <v>0</v>
      </c>
    </row>
    <row r="2306" spans="1:20">
      <c r="A2306" t="s">
        <v>68</v>
      </c>
      <c r="B2306">
        <v>126</v>
      </c>
      <c r="C2306">
        <v>408</v>
      </c>
      <c r="D2306" t="s">
        <v>62</v>
      </c>
      <c r="E2306" t="s">
        <v>63</v>
      </c>
      <c r="F2306">
        <v>24</v>
      </c>
      <c r="G2306">
        <v>58.9</v>
      </c>
      <c r="H2306">
        <v>125</v>
      </c>
      <c r="I2306">
        <v>10.01</v>
      </c>
      <c r="J2306">
        <v>305.5</v>
      </c>
      <c r="K2306">
        <v>90</v>
      </c>
      <c r="L2306">
        <v>25.97</v>
      </c>
      <c r="M2306">
        <v>158.9</v>
      </c>
      <c r="N2306">
        <v>73</v>
      </c>
      <c r="O2306">
        <v>7.15</v>
      </c>
      <c r="P2306">
        <v>12.1</v>
      </c>
      <c r="Q2306">
        <v>6</v>
      </c>
      <c r="R2306">
        <v>3.27</v>
      </c>
      <c r="S2306">
        <v>0</v>
      </c>
      <c r="T2306" t="b">
        <v>0</v>
      </c>
    </row>
    <row r="2307" spans="1:20">
      <c r="A2307" t="s">
        <v>81</v>
      </c>
      <c r="B2307">
        <v>153</v>
      </c>
      <c r="C2307">
        <v>415</v>
      </c>
      <c r="D2307" t="s">
        <v>62</v>
      </c>
      <c r="E2307" t="s">
        <v>62</v>
      </c>
      <c r="F2307">
        <v>0</v>
      </c>
      <c r="G2307">
        <v>228.9</v>
      </c>
      <c r="H2307">
        <v>102</v>
      </c>
      <c r="I2307">
        <v>38.91</v>
      </c>
      <c r="J2307">
        <v>160.7</v>
      </c>
      <c r="K2307">
        <v>136</v>
      </c>
      <c r="L2307">
        <v>13.66</v>
      </c>
      <c r="M2307">
        <v>203.1</v>
      </c>
      <c r="N2307">
        <v>109</v>
      </c>
      <c r="O2307">
        <v>9.14</v>
      </c>
      <c r="P2307">
        <v>12.5</v>
      </c>
      <c r="Q2307">
        <v>2</v>
      </c>
      <c r="R2307">
        <v>3.38</v>
      </c>
      <c r="S2307">
        <v>0</v>
      </c>
      <c r="T2307" t="b">
        <v>0</v>
      </c>
    </row>
    <row r="2308" spans="1:20">
      <c r="A2308" t="s">
        <v>87</v>
      </c>
      <c r="B2308">
        <v>97</v>
      </c>
      <c r="C2308">
        <v>408</v>
      </c>
      <c r="D2308" t="s">
        <v>62</v>
      </c>
      <c r="E2308" t="s">
        <v>63</v>
      </c>
      <c r="F2308">
        <v>32</v>
      </c>
      <c r="G2308">
        <v>90</v>
      </c>
      <c r="H2308">
        <v>87</v>
      </c>
      <c r="I2308">
        <v>15.3</v>
      </c>
      <c r="J2308">
        <v>276.3</v>
      </c>
      <c r="K2308">
        <v>113</v>
      </c>
      <c r="L2308">
        <v>23.49</v>
      </c>
      <c r="M2308">
        <v>185.2</v>
      </c>
      <c r="N2308">
        <v>107</v>
      </c>
      <c r="O2308">
        <v>8.33</v>
      </c>
      <c r="P2308">
        <v>8.6</v>
      </c>
      <c r="Q2308">
        <v>6</v>
      </c>
      <c r="R2308">
        <v>2.32</v>
      </c>
      <c r="S2308">
        <v>2</v>
      </c>
      <c r="T2308" t="b">
        <v>1</v>
      </c>
    </row>
    <row r="2309" spans="1:20">
      <c r="A2309" t="s">
        <v>96</v>
      </c>
      <c r="B2309">
        <v>115</v>
      </c>
      <c r="C2309">
        <v>408</v>
      </c>
      <c r="D2309" t="s">
        <v>62</v>
      </c>
      <c r="E2309" t="s">
        <v>62</v>
      </c>
      <c r="F2309">
        <v>0</v>
      </c>
      <c r="G2309">
        <v>146.7</v>
      </c>
      <c r="H2309">
        <v>128</v>
      </c>
      <c r="I2309">
        <v>24.94</v>
      </c>
      <c r="J2309">
        <v>106.2</v>
      </c>
      <c r="K2309">
        <v>74</v>
      </c>
      <c r="L2309">
        <v>9.03</v>
      </c>
      <c r="M2309">
        <v>197.7</v>
      </c>
      <c r="N2309">
        <v>104</v>
      </c>
      <c r="O2309">
        <v>8.9</v>
      </c>
      <c r="P2309">
        <v>11.1</v>
      </c>
      <c r="Q2309">
        <v>4</v>
      </c>
      <c r="R2309">
        <v>3</v>
      </c>
      <c r="S2309">
        <v>2</v>
      </c>
      <c r="T2309" t="b">
        <v>0</v>
      </c>
    </row>
    <row r="2310" spans="1:20">
      <c r="A2310" t="s">
        <v>68</v>
      </c>
      <c r="B2310">
        <v>17</v>
      </c>
      <c r="C2310">
        <v>415</v>
      </c>
      <c r="D2310" t="s">
        <v>63</v>
      </c>
      <c r="E2310" t="s">
        <v>62</v>
      </c>
      <c r="F2310">
        <v>0</v>
      </c>
      <c r="G2310">
        <v>162.8</v>
      </c>
      <c r="H2310">
        <v>118</v>
      </c>
      <c r="I2310">
        <v>27.68</v>
      </c>
      <c r="J2310">
        <v>229.6</v>
      </c>
      <c r="K2310">
        <v>91</v>
      </c>
      <c r="L2310">
        <v>19.52</v>
      </c>
      <c r="M2310">
        <v>332.7</v>
      </c>
      <c r="N2310">
        <v>94</v>
      </c>
      <c r="O2310">
        <v>14.97</v>
      </c>
      <c r="P2310">
        <v>13.6</v>
      </c>
      <c r="Q2310">
        <v>3</v>
      </c>
      <c r="R2310">
        <v>3.67</v>
      </c>
      <c r="S2310">
        <v>0</v>
      </c>
      <c r="T2310" t="b">
        <v>1</v>
      </c>
    </row>
    <row r="2311" spans="1:20">
      <c r="A2311" t="s">
        <v>87</v>
      </c>
      <c r="B2311">
        <v>105</v>
      </c>
      <c r="C2311">
        <v>415</v>
      </c>
      <c r="D2311" t="s">
        <v>62</v>
      </c>
      <c r="E2311" t="s">
        <v>63</v>
      </c>
      <c r="F2311">
        <v>20</v>
      </c>
      <c r="G2311">
        <v>186.9</v>
      </c>
      <c r="H2311">
        <v>114</v>
      </c>
      <c r="I2311">
        <v>31.77</v>
      </c>
      <c r="J2311">
        <v>256.3</v>
      </c>
      <c r="K2311">
        <v>91</v>
      </c>
      <c r="L2311">
        <v>21.79</v>
      </c>
      <c r="M2311">
        <v>334.7</v>
      </c>
      <c r="N2311">
        <v>104</v>
      </c>
      <c r="O2311">
        <v>15.06</v>
      </c>
      <c r="P2311">
        <v>8.9</v>
      </c>
      <c r="Q2311">
        <v>2</v>
      </c>
      <c r="R2311">
        <v>2.4</v>
      </c>
      <c r="S2311">
        <v>1</v>
      </c>
      <c r="T2311" t="b">
        <v>0</v>
      </c>
    </row>
    <row r="2312" spans="1:20">
      <c r="A2312" t="s">
        <v>80</v>
      </c>
      <c r="B2312">
        <v>121</v>
      </c>
      <c r="C2312">
        <v>415</v>
      </c>
      <c r="D2312" t="s">
        <v>62</v>
      </c>
      <c r="E2312" t="s">
        <v>62</v>
      </c>
      <c r="F2312">
        <v>0</v>
      </c>
      <c r="G2312">
        <v>86.1</v>
      </c>
      <c r="H2312">
        <v>100</v>
      </c>
      <c r="I2312">
        <v>14.64</v>
      </c>
      <c r="J2312">
        <v>259.8</v>
      </c>
      <c r="K2312">
        <v>113</v>
      </c>
      <c r="L2312">
        <v>22.08</v>
      </c>
      <c r="M2312">
        <v>148</v>
      </c>
      <c r="N2312">
        <v>79</v>
      </c>
      <c r="O2312">
        <v>6.66</v>
      </c>
      <c r="P2312">
        <v>9.1</v>
      </c>
      <c r="Q2312">
        <v>9</v>
      </c>
      <c r="R2312">
        <v>2.46</v>
      </c>
      <c r="S2312">
        <v>2</v>
      </c>
      <c r="T2312" t="b">
        <v>0</v>
      </c>
    </row>
    <row r="2313" spans="1:20">
      <c r="A2313" t="s">
        <v>100</v>
      </c>
      <c r="B2313">
        <v>125</v>
      </c>
      <c r="C2313">
        <v>408</v>
      </c>
      <c r="D2313" t="s">
        <v>62</v>
      </c>
      <c r="E2313" t="s">
        <v>62</v>
      </c>
      <c r="F2313">
        <v>0</v>
      </c>
      <c r="G2313">
        <v>212.3</v>
      </c>
      <c r="H2313">
        <v>89</v>
      </c>
      <c r="I2313">
        <v>36.09</v>
      </c>
      <c r="J2313">
        <v>215.4</v>
      </c>
      <c r="K2313">
        <v>127</v>
      </c>
      <c r="L2313">
        <v>18.31</v>
      </c>
      <c r="M2313">
        <v>186.8</v>
      </c>
      <c r="N2313">
        <v>73</v>
      </c>
      <c r="O2313">
        <v>8.41</v>
      </c>
      <c r="P2313">
        <v>11.3</v>
      </c>
      <c r="Q2313">
        <v>2</v>
      </c>
      <c r="R2313">
        <v>3.05</v>
      </c>
      <c r="S2313">
        <v>2</v>
      </c>
      <c r="T2313" t="b">
        <v>0</v>
      </c>
    </row>
    <row r="2314" spans="1:20">
      <c r="A2314" t="s">
        <v>116</v>
      </c>
      <c r="B2314">
        <v>124</v>
      </c>
      <c r="C2314">
        <v>415</v>
      </c>
      <c r="D2314" t="s">
        <v>62</v>
      </c>
      <c r="E2314" t="s">
        <v>62</v>
      </c>
      <c r="F2314">
        <v>0</v>
      </c>
      <c r="G2314">
        <v>151</v>
      </c>
      <c r="H2314">
        <v>98</v>
      </c>
      <c r="I2314">
        <v>25.67</v>
      </c>
      <c r="J2314">
        <v>120.6</v>
      </c>
      <c r="K2314">
        <v>119</v>
      </c>
      <c r="L2314">
        <v>10.25</v>
      </c>
      <c r="M2314">
        <v>152.8</v>
      </c>
      <c r="N2314">
        <v>81</v>
      </c>
      <c r="O2314">
        <v>6.88</v>
      </c>
      <c r="P2314">
        <v>9.2</v>
      </c>
      <c r="Q2314">
        <v>2</v>
      </c>
      <c r="R2314">
        <v>2.48</v>
      </c>
      <c r="S2314">
        <v>2</v>
      </c>
      <c r="T2314" t="b">
        <v>0</v>
      </c>
    </row>
    <row r="2315" spans="1:20">
      <c r="A2315" t="s">
        <v>88</v>
      </c>
      <c r="B2315">
        <v>123</v>
      </c>
      <c r="C2315">
        <v>510</v>
      </c>
      <c r="D2315" t="s">
        <v>62</v>
      </c>
      <c r="E2315" t="s">
        <v>63</v>
      </c>
      <c r="F2315">
        <v>32</v>
      </c>
      <c r="G2315">
        <v>212.3</v>
      </c>
      <c r="H2315">
        <v>77</v>
      </c>
      <c r="I2315">
        <v>36.09</v>
      </c>
      <c r="J2315">
        <v>251.5</v>
      </c>
      <c r="K2315">
        <v>78</v>
      </c>
      <c r="L2315">
        <v>21.38</v>
      </c>
      <c r="M2315">
        <v>208.7</v>
      </c>
      <c r="N2315">
        <v>85</v>
      </c>
      <c r="O2315">
        <v>9.39</v>
      </c>
      <c r="P2315">
        <v>6.6</v>
      </c>
      <c r="Q2315">
        <v>2</v>
      </c>
      <c r="R2315">
        <v>1.78</v>
      </c>
      <c r="S2315">
        <v>3</v>
      </c>
      <c r="T2315" t="b">
        <v>0</v>
      </c>
    </row>
    <row r="2316" spans="1:20">
      <c r="A2316" t="s">
        <v>104</v>
      </c>
      <c r="B2316">
        <v>124</v>
      </c>
      <c r="C2316">
        <v>415</v>
      </c>
      <c r="D2316" t="s">
        <v>62</v>
      </c>
      <c r="E2316" t="s">
        <v>62</v>
      </c>
      <c r="F2316">
        <v>0</v>
      </c>
      <c r="G2316">
        <v>234.4</v>
      </c>
      <c r="H2316">
        <v>61</v>
      </c>
      <c r="I2316">
        <v>39.85</v>
      </c>
      <c r="J2316">
        <v>179.3</v>
      </c>
      <c r="K2316">
        <v>111</v>
      </c>
      <c r="L2316">
        <v>15.24</v>
      </c>
      <c r="M2316">
        <v>285.5</v>
      </c>
      <c r="N2316">
        <v>117</v>
      </c>
      <c r="O2316">
        <v>12.85</v>
      </c>
      <c r="P2316">
        <v>10.4</v>
      </c>
      <c r="Q2316">
        <v>6</v>
      </c>
      <c r="R2316">
        <v>2.81</v>
      </c>
      <c r="S2316">
        <v>3</v>
      </c>
      <c r="T2316" t="b">
        <v>0</v>
      </c>
    </row>
    <row r="2317" spans="1:20">
      <c r="A2317" t="s">
        <v>71</v>
      </c>
      <c r="B2317">
        <v>133</v>
      </c>
      <c r="C2317">
        <v>510</v>
      </c>
      <c r="D2317" t="s">
        <v>62</v>
      </c>
      <c r="E2317" t="s">
        <v>62</v>
      </c>
      <c r="F2317">
        <v>0</v>
      </c>
      <c r="G2317">
        <v>176.8</v>
      </c>
      <c r="H2317">
        <v>92</v>
      </c>
      <c r="I2317">
        <v>30.06</v>
      </c>
      <c r="J2317">
        <v>187.5</v>
      </c>
      <c r="K2317">
        <v>97</v>
      </c>
      <c r="L2317">
        <v>15.94</v>
      </c>
      <c r="M2317">
        <v>196.8</v>
      </c>
      <c r="N2317">
        <v>88</v>
      </c>
      <c r="O2317">
        <v>8.86</v>
      </c>
      <c r="P2317">
        <v>6.5</v>
      </c>
      <c r="Q2317">
        <v>3</v>
      </c>
      <c r="R2317">
        <v>1.76</v>
      </c>
      <c r="S2317">
        <v>2</v>
      </c>
      <c r="T2317" t="b">
        <v>0</v>
      </c>
    </row>
    <row r="2318" spans="1:20">
      <c r="A2318" t="s">
        <v>111</v>
      </c>
      <c r="B2318">
        <v>1</v>
      </c>
      <c r="C2318">
        <v>415</v>
      </c>
      <c r="D2318" t="s">
        <v>62</v>
      </c>
      <c r="E2318" t="s">
        <v>63</v>
      </c>
      <c r="F2318">
        <v>26</v>
      </c>
      <c r="G2318">
        <v>146.6</v>
      </c>
      <c r="H2318">
        <v>68</v>
      </c>
      <c r="I2318">
        <v>24.92</v>
      </c>
      <c r="J2318">
        <v>172.8</v>
      </c>
      <c r="K2318">
        <v>67</v>
      </c>
      <c r="L2318">
        <v>14.69</v>
      </c>
      <c r="M2318">
        <v>173.8</v>
      </c>
      <c r="N2318">
        <v>113</v>
      </c>
      <c r="O2318">
        <v>7.82</v>
      </c>
      <c r="P2318">
        <v>10</v>
      </c>
      <c r="Q2318">
        <v>2</v>
      </c>
      <c r="R2318">
        <v>2.7</v>
      </c>
      <c r="S2318">
        <v>1</v>
      </c>
      <c r="T2318" t="b">
        <v>0</v>
      </c>
    </row>
    <row r="2319" spans="1:20">
      <c r="A2319" t="s">
        <v>61</v>
      </c>
      <c r="B2319">
        <v>107</v>
      </c>
      <c r="C2319">
        <v>415</v>
      </c>
      <c r="D2319" t="s">
        <v>62</v>
      </c>
      <c r="E2319" t="s">
        <v>62</v>
      </c>
      <c r="F2319">
        <v>0</v>
      </c>
      <c r="G2319">
        <v>260.5</v>
      </c>
      <c r="H2319">
        <v>108</v>
      </c>
      <c r="I2319">
        <v>44.29</v>
      </c>
      <c r="J2319">
        <v>102.4</v>
      </c>
      <c r="K2319">
        <v>110</v>
      </c>
      <c r="L2319">
        <v>8.7</v>
      </c>
      <c r="M2319">
        <v>129.7</v>
      </c>
      <c r="N2319">
        <v>148</v>
      </c>
      <c r="O2319">
        <v>5.84</v>
      </c>
      <c r="P2319">
        <v>9.8</v>
      </c>
      <c r="Q2319">
        <v>5</v>
      </c>
      <c r="R2319">
        <v>2.65</v>
      </c>
      <c r="S2319">
        <v>1</v>
      </c>
      <c r="T2319" t="b">
        <v>0</v>
      </c>
    </row>
    <row r="2320" spans="1:20">
      <c r="A2320" t="s">
        <v>106</v>
      </c>
      <c r="B2320">
        <v>91</v>
      </c>
      <c r="C2320">
        <v>415</v>
      </c>
      <c r="D2320" t="s">
        <v>62</v>
      </c>
      <c r="E2320" t="s">
        <v>63</v>
      </c>
      <c r="F2320">
        <v>20</v>
      </c>
      <c r="G2320">
        <v>146.1</v>
      </c>
      <c r="H2320">
        <v>98</v>
      </c>
      <c r="I2320">
        <v>24.84</v>
      </c>
      <c r="J2320">
        <v>277.4</v>
      </c>
      <c r="K2320">
        <v>104</v>
      </c>
      <c r="L2320">
        <v>23.58</v>
      </c>
      <c r="M2320">
        <v>137.7</v>
      </c>
      <c r="N2320">
        <v>100</v>
      </c>
      <c r="O2320">
        <v>6.2</v>
      </c>
      <c r="P2320">
        <v>6.2</v>
      </c>
      <c r="Q2320">
        <v>3</v>
      </c>
      <c r="R2320">
        <v>1.67</v>
      </c>
      <c r="S2320">
        <v>1</v>
      </c>
      <c r="T2320" t="b">
        <v>0</v>
      </c>
    </row>
    <row r="2321" spans="1:20">
      <c r="A2321" t="s">
        <v>110</v>
      </c>
      <c r="B2321">
        <v>178</v>
      </c>
      <c r="C2321">
        <v>408</v>
      </c>
      <c r="D2321" t="s">
        <v>63</v>
      </c>
      <c r="E2321" t="s">
        <v>62</v>
      </c>
      <c r="F2321">
        <v>0</v>
      </c>
      <c r="G2321">
        <v>124.5</v>
      </c>
      <c r="H2321">
        <v>134</v>
      </c>
      <c r="I2321">
        <v>21.17</v>
      </c>
      <c r="J2321">
        <v>141.2</v>
      </c>
      <c r="K2321">
        <v>78</v>
      </c>
      <c r="L2321">
        <v>12</v>
      </c>
      <c r="M2321">
        <v>268.2</v>
      </c>
      <c r="N2321">
        <v>113</v>
      </c>
      <c r="O2321">
        <v>12.07</v>
      </c>
      <c r="P2321">
        <v>11.4</v>
      </c>
      <c r="Q2321">
        <v>2</v>
      </c>
      <c r="R2321">
        <v>3.08</v>
      </c>
      <c r="S2321">
        <v>2</v>
      </c>
      <c r="T2321" t="b">
        <v>1</v>
      </c>
    </row>
    <row r="2322" spans="1:20">
      <c r="A2322" t="s">
        <v>68</v>
      </c>
      <c r="B2322">
        <v>123</v>
      </c>
      <c r="C2322">
        <v>415</v>
      </c>
      <c r="D2322" t="s">
        <v>62</v>
      </c>
      <c r="E2322" t="s">
        <v>62</v>
      </c>
      <c r="F2322">
        <v>0</v>
      </c>
      <c r="G2322">
        <v>209.4</v>
      </c>
      <c r="H2322">
        <v>49</v>
      </c>
      <c r="I2322">
        <v>35.6</v>
      </c>
      <c r="J2322">
        <v>237.4</v>
      </c>
      <c r="K2322">
        <v>117</v>
      </c>
      <c r="L2322">
        <v>20.18</v>
      </c>
      <c r="M2322">
        <v>239.2</v>
      </c>
      <c r="N2322">
        <v>98</v>
      </c>
      <c r="O2322">
        <v>10.76</v>
      </c>
      <c r="P2322">
        <v>9.8</v>
      </c>
      <c r="Q2322">
        <v>11</v>
      </c>
      <c r="R2322">
        <v>2.65</v>
      </c>
      <c r="S2322">
        <v>1</v>
      </c>
      <c r="T2322" t="b">
        <v>0</v>
      </c>
    </row>
    <row r="2323" spans="1:20">
      <c r="A2323" t="s">
        <v>97</v>
      </c>
      <c r="B2323">
        <v>170</v>
      </c>
      <c r="C2323">
        <v>415</v>
      </c>
      <c r="D2323" t="s">
        <v>62</v>
      </c>
      <c r="E2323" t="s">
        <v>62</v>
      </c>
      <c r="F2323">
        <v>0</v>
      </c>
      <c r="G2323">
        <v>285.7</v>
      </c>
      <c r="H2323">
        <v>44</v>
      </c>
      <c r="I2323">
        <v>48.57</v>
      </c>
      <c r="J2323">
        <v>167.5</v>
      </c>
      <c r="K2323">
        <v>144</v>
      </c>
      <c r="L2323">
        <v>14.24</v>
      </c>
      <c r="M2323">
        <v>260</v>
      </c>
      <c r="N2323">
        <v>97</v>
      </c>
      <c r="O2323">
        <v>11.7</v>
      </c>
      <c r="P2323">
        <v>8.7</v>
      </c>
      <c r="Q2323">
        <v>4</v>
      </c>
      <c r="R2323">
        <v>2.35</v>
      </c>
      <c r="S2323">
        <v>1</v>
      </c>
      <c r="T2323" t="b">
        <v>1</v>
      </c>
    </row>
    <row r="2324" spans="1:20">
      <c r="A2324" t="s">
        <v>114</v>
      </c>
      <c r="B2324">
        <v>135</v>
      </c>
      <c r="C2324">
        <v>415</v>
      </c>
      <c r="D2324" t="s">
        <v>62</v>
      </c>
      <c r="E2324" t="s">
        <v>62</v>
      </c>
      <c r="F2324">
        <v>0</v>
      </c>
      <c r="G2324">
        <v>190.9</v>
      </c>
      <c r="H2324">
        <v>44</v>
      </c>
      <c r="I2324">
        <v>32.45</v>
      </c>
      <c r="J2324">
        <v>161.4</v>
      </c>
      <c r="K2324">
        <v>109</v>
      </c>
      <c r="L2324">
        <v>13.72</v>
      </c>
      <c r="M2324">
        <v>231.9</v>
      </c>
      <c r="N2324">
        <v>100</v>
      </c>
      <c r="O2324">
        <v>10.44</v>
      </c>
      <c r="P2324">
        <v>8.4</v>
      </c>
      <c r="Q2324">
        <v>2</v>
      </c>
      <c r="R2324">
        <v>2.27</v>
      </c>
      <c r="S2324">
        <v>1</v>
      </c>
      <c r="T2324" t="b">
        <v>0</v>
      </c>
    </row>
    <row r="2325" spans="1:20">
      <c r="A2325" t="s">
        <v>94</v>
      </c>
      <c r="B2325">
        <v>134</v>
      </c>
      <c r="C2325">
        <v>415</v>
      </c>
      <c r="D2325" t="s">
        <v>62</v>
      </c>
      <c r="E2325" t="s">
        <v>63</v>
      </c>
      <c r="F2325">
        <v>50</v>
      </c>
      <c r="G2325">
        <v>208.8</v>
      </c>
      <c r="H2325">
        <v>130</v>
      </c>
      <c r="I2325">
        <v>35.5</v>
      </c>
      <c r="J2325">
        <v>132.9</v>
      </c>
      <c r="K2325">
        <v>104</v>
      </c>
      <c r="L2325">
        <v>11.3</v>
      </c>
      <c r="M2325">
        <v>136.7</v>
      </c>
      <c r="N2325">
        <v>107</v>
      </c>
      <c r="O2325">
        <v>6.15</v>
      </c>
      <c r="P2325">
        <v>11.1</v>
      </c>
      <c r="Q2325">
        <v>4</v>
      </c>
      <c r="R2325">
        <v>3</v>
      </c>
      <c r="S2325">
        <v>2</v>
      </c>
      <c r="T2325" t="b">
        <v>0</v>
      </c>
    </row>
    <row r="2326" spans="1:20">
      <c r="A2326" t="s">
        <v>116</v>
      </c>
      <c r="B2326">
        <v>93</v>
      </c>
      <c r="C2326">
        <v>415</v>
      </c>
      <c r="D2326" t="s">
        <v>62</v>
      </c>
      <c r="E2326" t="s">
        <v>62</v>
      </c>
      <c r="F2326">
        <v>0</v>
      </c>
      <c r="G2326">
        <v>271.1</v>
      </c>
      <c r="H2326">
        <v>101</v>
      </c>
      <c r="I2326">
        <v>46.09</v>
      </c>
      <c r="J2326">
        <v>237.4</v>
      </c>
      <c r="K2326">
        <v>133</v>
      </c>
      <c r="L2326">
        <v>20.18</v>
      </c>
      <c r="M2326">
        <v>145.4</v>
      </c>
      <c r="N2326">
        <v>103</v>
      </c>
      <c r="O2326">
        <v>6.54</v>
      </c>
      <c r="P2326">
        <v>8.4</v>
      </c>
      <c r="Q2326">
        <v>6</v>
      </c>
      <c r="R2326">
        <v>2.27</v>
      </c>
      <c r="S2326">
        <v>1</v>
      </c>
      <c r="T2326" t="b">
        <v>1</v>
      </c>
    </row>
    <row r="2327" spans="1:20">
      <c r="A2327" t="s">
        <v>83</v>
      </c>
      <c r="B2327">
        <v>138</v>
      </c>
      <c r="C2327">
        <v>415</v>
      </c>
      <c r="D2327" t="s">
        <v>62</v>
      </c>
      <c r="E2327" t="s">
        <v>62</v>
      </c>
      <c r="F2327">
        <v>0</v>
      </c>
      <c r="G2327">
        <v>240.8</v>
      </c>
      <c r="H2327">
        <v>104</v>
      </c>
      <c r="I2327">
        <v>40.94</v>
      </c>
      <c r="J2327">
        <v>144.5</v>
      </c>
      <c r="K2327">
        <v>92</v>
      </c>
      <c r="L2327">
        <v>12.28</v>
      </c>
      <c r="M2327">
        <v>125.7</v>
      </c>
      <c r="N2327">
        <v>98</v>
      </c>
      <c r="O2327">
        <v>5.66</v>
      </c>
      <c r="P2327">
        <v>11.6</v>
      </c>
      <c r="Q2327">
        <v>1</v>
      </c>
      <c r="R2327">
        <v>3.13</v>
      </c>
      <c r="S2327">
        <v>0</v>
      </c>
      <c r="T2327" t="b">
        <v>0</v>
      </c>
    </row>
    <row r="2328" spans="1:20">
      <c r="A2328" t="s">
        <v>94</v>
      </c>
      <c r="B2328">
        <v>159</v>
      </c>
      <c r="C2328">
        <v>510</v>
      </c>
      <c r="D2328" t="s">
        <v>62</v>
      </c>
      <c r="E2328" t="s">
        <v>62</v>
      </c>
      <c r="F2328">
        <v>0</v>
      </c>
      <c r="G2328">
        <v>114.8</v>
      </c>
      <c r="H2328">
        <v>98</v>
      </c>
      <c r="I2328">
        <v>19.52</v>
      </c>
      <c r="J2328">
        <v>192.6</v>
      </c>
      <c r="K2328">
        <v>101</v>
      </c>
      <c r="L2328">
        <v>16.37</v>
      </c>
      <c r="M2328">
        <v>259</v>
      </c>
      <c r="N2328">
        <v>108</v>
      </c>
      <c r="O2328">
        <v>11.66</v>
      </c>
      <c r="P2328">
        <v>12.2</v>
      </c>
      <c r="Q2328">
        <v>5</v>
      </c>
      <c r="R2328">
        <v>3.29</v>
      </c>
      <c r="S2328">
        <v>0</v>
      </c>
      <c r="T2328" t="b">
        <v>0</v>
      </c>
    </row>
    <row r="2329" spans="1:20">
      <c r="A2329" t="s">
        <v>95</v>
      </c>
      <c r="B2329">
        <v>103</v>
      </c>
      <c r="C2329">
        <v>415</v>
      </c>
      <c r="D2329" t="s">
        <v>62</v>
      </c>
      <c r="E2329" t="s">
        <v>63</v>
      </c>
      <c r="F2329">
        <v>34</v>
      </c>
      <c r="G2329">
        <v>138.8</v>
      </c>
      <c r="H2329">
        <v>80</v>
      </c>
      <c r="I2329">
        <v>23.6</v>
      </c>
      <c r="J2329">
        <v>142</v>
      </c>
      <c r="K2329">
        <v>108</v>
      </c>
      <c r="L2329">
        <v>12.07</v>
      </c>
      <c r="M2329">
        <v>183.8</v>
      </c>
      <c r="N2329">
        <v>77</v>
      </c>
      <c r="O2329">
        <v>8.27</v>
      </c>
      <c r="P2329">
        <v>11.8</v>
      </c>
      <c r="Q2329">
        <v>7</v>
      </c>
      <c r="R2329">
        <v>3.19</v>
      </c>
      <c r="S2329">
        <v>1</v>
      </c>
      <c r="T2329" t="b">
        <v>0</v>
      </c>
    </row>
    <row r="2330" spans="1:20">
      <c r="A2330" t="s">
        <v>68</v>
      </c>
      <c r="B2330">
        <v>150</v>
      </c>
      <c r="C2330">
        <v>408</v>
      </c>
      <c r="D2330" t="s">
        <v>62</v>
      </c>
      <c r="E2330" t="s">
        <v>63</v>
      </c>
      <c r="F2330">
        <v>27</v>
      </c>
      <c r="G2330">
        <v>209.8</v>
      </c>
      <c r="H2330">
        <v>112</v>
      </c>
      <c r="I2330">
        <v>35.67</v>
      </c>
      <c r="J2330">
        <v>155</v>
      </c>
      <c r="K2330">
        <v>80</v>
      </c>
      <c r="L2330">
        <v>13.18</v>
      </c>
      <c r="M2330">
        <v>251.5</v>
      </c>
      <c r="N2330">
        <v>111</v>
      </c>
      <c r="O2330">
        <v>11.32</v>
      </c>
      <c r="P2330">
        <v>7.2</v>
      </c>
      <c r="Q2330">
        <v>6</v>
      </c>
      <c r="R2330">
        <v>1.94</v>
      </c>
      <c r="S2330">
        <v>0</v>
      </c>
      <c r="T2330" t="b">
        <v>0</v>
      </c>
    </row>
    <row r="2331" spans="1:20">
      <c r="A2331" t="s">
        <v>116</v>
      </c>
      <c r="B2331">
        <v>37</v>
      </c>
      <c r="C2331">
        <v>408</v>
      </c>
      <c r="D2331" t="s">
        <v>62</v>
      </c>
      <c r="E2331" t="s">
        <v>62</v>
      </c>
      <c r="F2331">
        <v>0</v>
      </c>
      <c r="G2331">
        <v>134.9</v>
      </c>
      <c r="H2331">
        <v>98</v>
      </c>
      <c r="I2331">
        <v>22.93</v>
      </c>
      <c r="J2331">
        <v>248.4</v>
      </c>
      <c r="K2331">
        <v>130</v>
      </c>
      <c r="L2331">
        <v>21.11</v>
      </c>
      <c r="M2331">
        <v>236.2</v>
      </c>
      <c r="N2331">
        <v>113</v>
      </c>
      <c r="O2331">
        <v>10.63</v>
      </c>
      <c r="P2331">
        <v>14.7</v>
      </c>
      <c r="Q2331">
        <v>2</v>
      </c>
      <c r="R2331">
        <v>3.97</v>
      </c>
      <c r="S2331">
        <v>3</v>
      </c>
      <c r="T2331" t="b">
        <v>0</v>
      </c>
    </row>
    <row r="2332" spans="1:20">
      <c r="A2332" t="s">
        <v>92</v>
      </c>
      <c r="B2332">
        <v>33</v>
      </c>
      <c r="C2332">
        <v>415</v>
      </c>
      <c r="D2332" t="s">
        <v>63</v>
      </c>
      <c r="E2332" t="s">
        <v>62</v>
      </c>
      <c r="F2332">
        <v>0</v>
      </c>
      <c r="G2332">
        <v>164</v>
      </c>
      <c r="H2332">
        <v>99</v>
      </c>
      <c r="I2332">
        <v>27.88</v>
      </c>
      <c r="J2332">
        <v>153.1</v>
      </c>
      <c r="K2332">
        <v>102</v>
      </c>
      <c r="L2332">
        <v>13.01</v>
      </c>
      <c r="M2332">
        <v>123.8</v>
      </c>
      <c r="N2332">
        <v>104</v>
      </c>
      <c r="O2332">
        <v>5.57</v>
      </c>
      <c r="P2332">
        <v>6.4</v>
      </c>
      <c r="Q2332">
        <v>4</v>
      </c>
      <c r="R2332">
        <v>1.73</v>
      </c>
      <c r="S2332">
        <v>0</v>
      </c>
      <c r="T2332" t="b">
        <v>0</v>
      </c>
    </row>
    <row r="2333" spans="1:20">
      <c r="A2333" t="s">
        <v>99</v>
      </c>
      <c r="B2333">
        <v>55</v>
      </c>
      <c r="C2333">
        <v>415</v>
      </c>
      <c r="D2333" t="s">
        <v>62</v>
      </c>
      <c r="E2333" t="s">
        <v>62</v>
      </c>
      <c r="F2333">
        <v>0</v>
      </c>
      <c r="G2333">
        <v>245.5</v>
      </c>
      <c r="H2333">
        <v>130</v>
      </c>
      <c r="I2333">
        <v>41.74</v>
      </c>
      <c r="J2333">
        <v>192.7</v>
      </c>
      <c r="K2333">
        <v>54</v>
      </c>
      <c r="L2333">
        <v>16.38</v>
      </c>
      <c r="M2333">
        <v>141.7</v>
      </c>
      <c r="N2333">
        <v>83</v>
      </c>
      <c r="O2333">
        <v>6.38</v>
      </c>
      <c r="P2333">
        <v>9.1</v>
      </c>
      <c r="Q2333">
        <v>4</v>
      </c>
      <c r="R2333">
        <v>2.46</v>
      </c>
      <c r="S2333">
        <v>1</v>
      </c>
      <c r="T2333" t="b">
        <v>0</v>
      </c>
    </row>
    <row r="2334" spans="1:20">
      <c r="A2334" t="s">
        <v>116</v>
      </c>
      <c r="B2334">
        <v>107</v>
      </c>
      <c r="C2334">
        <v>408</v>
      </c>
      <c r="D2334" t="s">
        <v>62</v>
      </c>
      <c r="E2334" t="s">
        <v>62</v>
      </c>
      <c r="F2334">
        <v>0</v>
      </c>
      <c r="G2334">
        <v>90.7</v>
      </c>
      <c r="H2334">
        <v>90</v>
      </c>
      <c r="I2334">
        <v>15.42</v>
      </c>
      <c r="J2334">
        <v>207.5</v>
      </c>
      <c r="K2334">
        <v>109</v>
      </c>
      <c r="L2334">
        <v>17.64</v>
      </c>
      <c r="M2334">
        <v>169.4</v>
      </c>
      <c r="N2334">
        <v>96</v>
      </c>
      <c r="O2334">
        <v>7.62</v>
      </c>
      <c r="P2334">
        <v>5.6</v>
      </c>
      <c r="Q2334">
        <v>5</v>
      </c>
      <c r="R2334">
        <v>1.51</v>
      </c>
      <c r="S2334">
        <v>2</v>
      </c>
      <c r="T2334" t="b">
        <v>0</v>
      </c>
    </row>
    <row r="2335" spans="1:20">
      <c r="A2335" t="s">
        <v>109</v>
      </c>
      <c r="B2335">
        <v>78</v>
      </c>
      <c r="C2335">
        <v>408</v>
      </c>
      <c r="D2335" t="s">
        <v>62</v>
      </c>
      <c r="E2335" t="s">
        <v>62</v>
      </c>
      <c r="F2335">
        <v>0</v>
      </c>
      <c r="G2335">
        <v>108.6</v>
      </c>
      <c r="H2335">
        <v>108</v>
      </c>
      <c r="I2335">
        <v>18.46</v>
      </c>
      <c r="J2335">
        <v>209.9</v>
      </c>
      <c r="K2335">
        <v>126</v>
      </c>
      <c r="L2335">
        <v>17.84</v>
      </c>
      <c r="M2335">
        <v>222.6</v>
      </c>
      <c r="N2335">
        <v>117</v>
      </c>
      <c r="O2335">
        <v>10.02</v>
      </c>
      <c r="P2335">
        <v>7.9</v>
      </c>
      <c r="Q2335">
        <v>5</v>
      </c>
      <c r="R2335">
        <v>2.13</v>
      </c>
      <c r="S2335">
        <v>1</v>
      </c>
      <c r="T2335" t="b">
        <v>1</v>
      </c>
    </row>
    <row r="2336" spans="1:20">
      <c r="A2336" t="s">
        <v>76</v>
      </c>
      <c r="B2336">
        <v>85</v>
      </c>
      <c r="C2336">
        <v>408</v>
      </c>
      <c r="D2336" t="s">
        <v>62</v>
      </c>
      <c r="E2336" t="s">
        <v>63</v>
      </c>
      <c r="F2336">
        <v>17</v>
      </c>
      <c r="G2336">
        <v>89.8</v>
      </c>
      <c r="H2336">
        <v>88</v>
      </c>
      <c r="I2336">
        <v>15.27</v>
      </c>
      <c r="J2336">
        <v>233.2</v>
      </c>
      <c r="K2336">
        <v>75</v>
      </c>
      <c r="L2336">
        <v>19.82</v>
      </c>
      <c r="M2336">
        <v>165.7</v>
      </c>
      <c r="N2336">
        <v>116</v>
      </c>
      <c r="O2336">
        <v>7.46</v>
      </c>
      <c r="P2336">
        <v>9.3</v>
      </c>
      <c r="Q2336">
        <v>7</v>
      </c>
      <c r="R2336">
        <v>2.51</v>
      </c>
      <c r="S2336">
        <v>4</v>
      </c>
      <c r="T2336" t="b">
        <v>1</v>
      </c>
    </row>
    <row r="2337" spans="1:20">
      <c r="A2337" t="s">
        <v>90</v>
      </c>
      <c r="B2337">
        <v>61</v>
      </c>
      <c r="C2337">
        <v>415</v>
      </c>
      <c r="D2337" t="s">
        <v>62</v>
      </c>
      <c r="E2337" t="s">
        <v>63</v>
      </c>
      <c r="F2337">
        <v>15</v>
      </c>
      <c r="G2337">
        <v>252.4</v>
      </c>
      <c r="H2337">
        <v>106</v>
      </c>
      <c r="I2337">
        <v>42.91</v>
      </c>
      <c r="J2337">
        <v>187.8</v>
      </c>
      <c r="K2337">
        <v>69</v>
      </c>
      <c r="L2337">
        <v>15.96</v>
      </c>
      <c r="M2337">
        <v>259.6</v>
      </c>
      <c r="N2337">
        <v>137</v>
      </c>
      <c r="O2337">
        <v>11.68</v>
      </c>
      <c r="P2337">
        <v>10</v>
      </c>
      <c r="Q2337">
        <v>3</v>
      </c>
      <c r="R2337">
        <v>2.7</v>
      </c>
      <c r="S2337">
        <v>2</v>
      </c>
      <c r="T2337" t="b">
        <v>0</v>
      </c>
    </row>
    <row r="2338" spans="1:20">
      <c r="A2338" t="s">
        <v>95</v>
      </c>
      <c r="B2338">
        <v>97</v>
      </c>
      <c r="C2338">
        <v>415</v>
      </c>
      <c r="D2338" t="s">
        <v>62</v>
      </c>
      <c r="E2338" t="s">
        <v>63</v>
      </c>
      <c r="F2338">
        <v>32</v>
      </c>
      <c r="G2338">
        <v>183.4</v>
      </c>
      <c r="H2338">
        <v>94</v>
      </c>
      <c r="I2338">
        <v>31.18</v>
      </c>
      <c r="J2338">
        <v>269.1</v>
      </c>
      <c r="K2338">
        <v>120</v>
      </c>
      <c r="L2338">
        <v>22.87</v>
      </c>
      <c r="M2338">
        <v>203.5</v>
      </c>
      <c r="N2338">
        <v>38</v>
      </c>
      <c r="O2338">
        <v>9.16</v>
      </c>
      <c r="P2338">
        <v>6.7</v>
      </c>
      <c r="Q2338">
        <v>4</v>
      </c>
      <c r="R2338">
        <v>1.81</v>
      </c>
      <c r="S2338">
        <v>5</v>
      </c>
      <c r="T2338" t="b">
        <v>0</v>
      </c>
    </row>
    <row r="2339" spans="1:20">
      <c r="A2339" t="s">
        <v>64</v>
      </c>
      <c r="B2339">
        <v>136</v>
      </c>
      <c r="C2339">
        <v>408</v>
      </c>
      <c r="D2339" t="s">
        <v>63</v>
      </c>
      <c r="E2339" t="s">
        <v>62</v>
      </c>
      <c r="F2339">
        <v>0</v>
      </c>
      <c r="G2339">
        <v>183.4</v>
      </c>
      <c r="H2339">
        <v>103</v>
      </c>
      <c r="I2339">
        <v>31.18</v>
      </c>
      <c r="J2339">
        <v>141.9</v>
      </c>
      <c r="K2339">
        <v>113</v>
      </c>
      <c r="L2339">
        <v>12.06</v>
      </c>
      <c r="M2339">
        <v>200.4</v>
      </c>
      <c r="N2339">
        <v>122</v>
      </c>
      <c r="O2339">
        <v>9.02</v>
      </c>
      <c r="P2339">
        <v>10.4</v>
      </c>
      <c r="Q2339">
        <v>9</v>
      </c>
      <c r="R2339">
        <v>2.81</v>
      </c>
      <c r="S2339">
        <v>2</v>
      </c>
      <c r="T2339" t="b">
        <v>0</v>
      </c>
    </row>
    <row r="2340" spans="1:20">
      <c r="A2340" t="s">
        <v>102</v>
      </c>
      <c r="B2340">
        <v>135</v>
      </c>
      <c r="C2340">
        <v>408</v>
      </c>
      <c r="D2340" t="s">
        <v>62</v>
      </c>
      <c r="E2340" t="s">
        <v>62</v>
      </c>
      <c r="F2340">
        <v>0</v>
      </c>
      <c r="G2340">
        <v>155.2</v>
      </c>
      <c r="H2340">
        <v>100</v>
      </c>
      <c r="I2340">
        <v>26.38</v>
      </c>
      <c r="J2340">
        <v>135.9</v>
      </c>
      <c r="K2340">
        <v>84</v>
      </c>
      <c r="L2340">
        <v>11.55</v>
      </c>
      <c r="M2340">
        <v>184.6</v>
      </c>
      <c r="N2340">
        <v>82</v>
      </c>
      <c r="O2340">
        <v>8.31</v>
      </c>
      <c r="P2340">
        <v>3.8</v>
      </c>
      <c r="Q2340">
        <v>9</v>
      </c>
      <c r="R2340">
        <v>1.03</v>
      </c>
      <c r="S2340">
        <v>3</v>
      </c>
      <c r="T2340" t="b">
        <v>0</v>
      </c>
    </row>
    <row r="2341" spans="1:20">
      <c r="A2341" t="s">
        <v>98</v>
      </c>
      <c r="B2341">
        <v>87</v>
      </c>
      <c r="C2341">
        <v>415</v>
      </c>
      <c r="D2341" t="s">
        <v>62</v>
      </c>
      <c r="E2341" t="s">
        <v>63</v>
      </c>
      <c r="F2341">
        <v>19</v>
      </c>
      <c r="G2341">
        <v>165.8</v>
      </c>
      <c r="H2341">
        <v>122</v>
      </c>
      <c r="I2341">
        <v>28.19</v>
      </c>
      <c r="J2341">
        <v>186.9</v>
      </c>
      <c r="K2341">
        <v>89</v>
      </c>
      <c r="L2341">
        <v>15.89</v>
      </c>
      <c r="M2341">
        <v>249.7</v>
      </c>
      <c r="N2341">
        <v>78</v>
      </c>
      <c r="O2341">
        <v>11.24</v>
      </c>
      <c r="P2341">
        <v>0</v>
      </c>
      <c r="Q2341">
        <v>0</v>
      </c>
      <c r="R2341">
        <v>0</v>
      </c>
      <c r="S2341">
        <v>1</v>
      </c>
      <c r="T2341" t="b">
        <v>0</v>
      </c>
    </row>
    <row r="2342" spans="1:20">
      <c r="A2342" t="s">
        <v>104</v>
      </c>
      <c r="B2342">
        <v>148</v>
      </c>
      <c r="C2342">
        <v>415</v>
      </c>
      <c r="D2342" t="s">
        <v>62</v>
      </c>
      <c r="E2342" t="s">
        <v>62</v>
      </c>
      <c r="F2342">
        <v>0</v>
      </c>
      <c r="G2342">
        <v>279.3</v>
      </c>
      <c r="H2342">
        <v>104</v>
      </c>
      <c r="I2342">
        <v>47.48</v>
      </c>
      <c r="J2342">
        <v>201.6</v>
      </c>
      <c r="K2342">
        <v>87</v>
      </c>
      <c r="L2342">
        <v>17.14</v>
      </c>
      <c r="M2342">
        <v>280.8</v>
      </c>
      <c r="N2342">
        <v>99</v>
      </c>
      <c r="O2342">
        <v>12.64</v>
      </c>
      <c r="P2342">
        <v>7.9</v>
      </c>
      <c r="Q2342">
        <v>2</v>
      </c>
      <c r="R2342">
        <v>2.13</v>
      </c>
      <c r="S2342">
        <v>2</v>
      </c>
      <c r="T2342" t="b">
        <v>1</v>
      </c>
    </row>
    <row r="2343" spans="1:20">
      <c r="A2343" t="s">
        <v>111</v>
      </c>
      <c r="B2343">
        <v>99</v>
      </c>
      <c r="C2343">
        <v>415</v>
      </c>
      <c r="D2343" t="s">
        <v>62</v>
      </c>
      <c r="E2343" t="s">
        <v>62</v>
      </c>
      <c r="F2343">
        <v>0</v>
      </c>
      <c r="G2343">
        <v>174.1</v>
      </c>
      <c r="H2343">
        <v>102</v>
      </c>
      <c r="I2343">
        <v>29.6</v>
      </c>
      <c r="J2343">
        <v>99.1</v>
      </c>
      <c r="K2343">
        <v>118</v>
      </c>
      <c r="L2343">
        <v>8.42</v>
      </c>
      <c r="M2343">
        <v>211.6</v>
      </c>
      <c r="N2343">
        <v>126</v>
      </c>
      <c r="O2343">
        <v>9.52</v>
      </c>
      <c r="P2343">
        <v>7.7</v>
      </c>
      <c r="Q2343">
        <v>2</v>
      </c>
      <c r="R2343">
        <v>2.08</v>
      </c>
      <c r="S2343">
        <v>2</v>
      </c>
      <c r="T2343" t="b">
        <v>0</v>
      </c>
    </row>
    <row r="2344" spans="1:20">
      <c r="A2344" t="s">
        <v>71</v>
      </c>
      <c r="B2344">
        <v>123</v>
      </c>
      <c r="C2344">
        <v>415</v>
      </c>
      <c r="D2344" t="s">
        <v>62</v>
      </c>
      <c r="E2344" t="s">
        <v>62</v>
      </c>
      <c r="F2344">
        <v>0</v>
      </c>
      <c r="G2344">
        <v>175.7</v>
      </c>
      <c r="H2344">
        <v>78</v>
      </c>
      <c r="I2344">
        <v>29.87</v>
      </c>
      <c r="J2344">
        <v>184.6</v>
      </c>
      <c r="K2344">
        <v>96</v>
      </c>
      <c r="L2344">
        <v>15.69</v>
      </c>
      <c r="M2344">
        <v>156.9</v>
      </c>
      <c r="N2344">
        <v>92</v>
      </c>
      <c r="O2344">
        <v>7.06</v>
      </c>
      <c r="P2344">
        <v>9.1</v>
      </c>
      <c r="Q2344">
        <v>2</v>
      </c>
      <c r="R2344">
        <v>2.46</v>
      </c>
      <c r="S2344">
        <v>2</v>
      </c>
      <c r="T2344" t="b">
        <v>0</v>
      </c>
    </row>
    <row r="2345" spans="1:20">
      <c r="A2345" t="s">
        <v>103</v>
      </c>
      <c r="B2345">
        <v>127</v>
      </c>
      <c r="C2345">
        <v>415</v>
      </c>
      <c r="D2345" t="s">
        <v>63</v>
      </c>
      <c r="E2345" t="s">
        <v>62</v>
      </c>
      <c r="F2345">
        <v>0</v>
      </c>
      <c r="G2345">
        <v>256.5</v>
      </c>
      <c r="H2345">
        <v>87</v>
      </c>
      <c r="I2345">
        <v>43.61</v>
      </c>
      <c r="J2345">
        <v>222.1</v>
      </c>
      <c r="K2345">
        <v>101</v>
      </c>
      <c r="L2345">
        <v>18.88</v>
      </c>
      <c r="M2345">
        <v>156.7</v>
      </c>
      <c r="N2345">
        <v>122</v>
      </c>
      <c r="O2345">
        <v>7.05</v>
      </c>
      <c r="P2345">
        <v>13</v>
      </c>
      <c r="Q2345">
        <v>3</v>
      </c>
      <c r="R2345">
        <v>3.51</v>
      </c>
      <c r="S2345">
        <v>1</v>
      </c>
      <c r="T2345" t="b">
        <v>0</v>
      </c>
    </row>
    <row r="2346" spans="1:20">
      <c r="A2346" t="s">
        <v>85</v>
      </c>
      <c r="B2346">
        <v>151</v>
      </c>
      <c r="C2346">
        <v>415</v>
      </c>
      <c r="D2346" t="s">
        <v>62</v>
      </c>
      <c r="E2346" t="s">
        <v>62</v>
      </c>
      <c r="F2346">
        <v>0</v>
      </c>
      <c r="G2346">
        <v>170.2</v>
      </c>
      <c r="H2346">
        <v>89</v>
      </c>
      <c r="I2346">
        <v>28.93</v>
      </c>
      <c r="J2346">
        <v>187.5</v>
      </c>
      <c r="K2346">
        <v>83</v>
      </c>
      <c r="L2346">
        <v>15.94</v>
      </c>
      <c r="M2346">
        <v>119.5</v>
      </c>
      <c r="N2346">
        <v>100</v>
      </c>
      <c r="O2346">
        <v>5.38</v>
      </c>
      <c r="P2346">
        <v>4.3</v>
      </c>
      <c r="Q2346">
        <v>3</v>
      </c>
      <c r="R2346">
        <v>1.16</v>
      </c>
      <c r="S2346">
        <v>0</v>
      </c>
      <c r="T2346" t="b">
        <v>0</v>
      </c>
    </row>
    <row r="2347" spans="1:20">
      <c r="A2347" t="s">
        <v>98</v>
      </c>
      <c r="B2347">
        <v>185</v>
      </c>
      <c r="C2347">
        <v>408</v>
      </c>
      <c r="D2347" t="s">
        <v>62</v>
      </c>
      <c r="E2347" t="s">
        <v>62</v>
      </c>
      <c r="F2347">
        <v>0</v>
      </c>
      <c r="G2347">
        <v>139.6</v>
      </c>
      <c r="H2347">
        <v>92</v>
      </c>
      <c r="I2347">
        <v>23.73</v>
      </c>
      <c r="J2347">
        <v>250.2</v>
      </c>
      <c r="K2347">
        <v>115</v>
      </c>
      <c r="L2347">
        <v>21.27</v>
      </c>
      <c r="M2347">
        <v>158.1</v>
      </c>
      <c r="N2347">
        <v>79</v>
      </c>
      <c r="O2347">
        <v>7.11</v>
      </c>
      <c r="P2347">
        <v>10.8</v>
      </c>
      <c r="Q2347">
        <v>4</v>
      </c>
      <c r="R2347">
        <v>2.92</v>
      </c>
      <c r="S2347">
        <v>1</v>
      </c>
      <c r="T2347" t="b">
        <v>0</v>
      </c>
    </row>
    <row r="2348" spans="1:20">
      <c r="A2348" t="s">
        <v>85</v>
      </c>
      <c r="B2348">
        <v>58</v>
      </c>
      <c r="C2348">
        <v>510</v>
      </c>
      <c r="D2348" t="s">
        <v>62</v>
      </c>
      <c r="E2348" t="s">
        <v>62</v>
      </c>
      <c r="F2348">
        <v>0</v>
      </c>
      <c r="G2348">
        <v>210.1</v>
      </c>
      <c r="H2348">
        <v>126</v>
      </c>
      <c r="I2348">
        <v>35.72</v>
      </c>
      <c r="J2348">
        <v>248.9</v>
      </c>
      <c r="K2348">
        <v>108</v>
      </c>
      <c r="L2348">
        <v>21.16</v>
      </c>
      <c r="M2348">
        <v>158.6</v>
      </c>
      <c r="N2348">
        <v>88</v>
      </c>
      <c r="O2348">
        <v>7.14</v>
      </c>
      <c r="P2348">
        <v>14.4</v>
      </c>
      <c r="Q2348">
        <v>2</v>
      </c>
      <c r="R2348">
        <v>3.89</v>
      </c>
      <c r="S2348">
        <v>4</v>
      </c>
      <c r="T2348" t="b">
        <v>0</v>
      </c>
    </row>
    <row r="2349" spans="1:20">
      <c r="A2349" t="s">
        <v>68</v>
      </c>
      <c r="B2349">
        <v>58</v>
      </c>
      <c r="C2349">
        <v>408</v>
      </c>
      <c r="D2349" t="s">
        <v>62</v>
      </c>
      <c r="E2349" t="s">
        <v>62</v>
      </c>
      <c r="F2349">
        <v>0</v>
      </c>
      <c r="G2349">
        <v>174.4</v>
      </c>
      <c r="H2349">
        <v>112</v>
      </c>
      <c r="I2349">
        <v>29.65</v>
      </c>
      <c r="J2349">
        <v>265.8</v>
      </c>
      <c r="K2349">
        <v>122</v>
      </c>
      <c r="L2349">
        <v>22.59</v>
      </c>
      <c r="M2349">
        <v>182.4</v>
      </c>
      <c r="N2349">
        <v>87</v>
      </c>
      <c r="O2349">
        <v>8.21</v>
      </c>
      <c r="P2349">
        <v>0</v>
      </c>
      <c r="Q2349">
        <v>0</v>
      </c>
      <c r="R2349">
        <v>0</v>
      </c>
      <c r="S2349">
        <v>4</v>
      </c>
      <c r="T2349" t="b">
        <v>0</v>
      </c>
    </row>
    <row r="2350" spans="1:20">
      <c r="A2350" t="s">
        <v>97</v>
      </c>
      <c r="B2350">
        <v>108</v>
      </c>
      <c r="C2350">
        <v>415</v>
      </c>
      <c r="D2350" t="s">
        <v>62</v>
      </c>
      <c r="E2350" t="s">
        <v>62</v>
      </c>
      <c r="F2350">
        <v>0</v>
      </c>
      <c r="G2350">
        <v>210.6</v>
      </c>
      <c r="H2350">
        <v>117</v>
      </c>
      <c r="I2350">
        <v>35.8</v>
      </c>
      <c r="J2350">
        <v>164.2</v>
      </c>
      <c r="K2350">
        <v>103</v>
      </c>
      <c r="L2350">
        <v>13.96</v>
      </c>
      <c r="M2350">
        <v>201.4</v>
      </c>
      <c r="N2350">
        <v>68</v>
      </c>
      <c r="O2350">
        <v>9.06</v>
      </c>
      <c r="P2350">
        <v>9.4</v>
      </c>
      <c r="Q2350">
        <v>5</v>
      </c>
      <c r="R2350">
        <v>2.54</v>
      </c>
      <c r="S2350">
        <v>0</v>
      </c>
      <c r="T2350" t="b">
        <v>0</v>
      </c>
    </row>
    <row r="2351" spans="1:20">
      <c r="A2351" t="s">
        <v>102</v>
      </c>
      <c r="B2351">
        <v>132</v>
      </c>
      <c r="C2351">
        <v>510</v>
      </c>
      <c r="D2351" t="s">
        <v>62</v>
      </c>
      <c r="E2351" t="s">
        <v>62</v>
      </c>
      <c r="F2351">
        <v>0</v>
      </c>
      <c r="G2351">
        <v>121.5</v>
      </c>
      <c r="H2351">
        <v>88</v>
      </c>
      <c r="I2351">
        <v>20.66</v>
      </c>
      <c r="J2351">
        <v>253</v>
      </c>
      <c r="K2351">
        <v>124</v>
      </c>
      <c r="L2351">
        <v>21.51</v>
      </c>
      <c r="M2351">
        <v>195.7</v>
      </c>
      <c r="N2351">
        <v>120</v>
      </c>
      <c r="O2351">
        <v>8.81</v>
      </c>
      <c r="P2351">
        <v>10.7</v>
      </c>
      <c r="Q2351">
        <v>4</v>
      </c>
      <c r="R2351">
        <v>2.89</v>
      </c>
      <c r="S2351">
        <v>1</v>
      </c>
      <c r="T2351" t="b">
        <v>0</v>
      </c>
    </row>
    <row r="2352" spans="1:20">
      <c r="A2352" t="s">
        <v>84</v>
      </c>
      <c r="B2352">
        <v>80</v>
      </c>
      <c r="C2352">
        <v>415</v>
      </c>
      <c r="D2352" t="s">
        <v>62</v>
      </c>
      <c r="E2352" t="s">
        <v>62</v>
      </c>
      <c r="F2352">
        <v>0</v>
      </c>
      <c r="G2352">
        <v>127.8</v>
      </c>
      <c r="H2352">
        <v>67</v>
      </c>
      <c r="I2352">
        <v>21.73</v>
      </c>
      <c r="J2352">
        <v>181.6</v>
      </c>
      <c r="K2352">
        <v>112</v>
      </c>
      <c r="L2352">
        <v>15.44</v>
      </c>
      <c r="M2352">
        <v>197.3</v>
      </c>
      <c r="N2352">
        <v>63</v>
      </c>
      <c r="O2352">
        <v>8.88</v>
      </c>
      <c r="P2352">
        <v>15.9</v>
      </c>
      <c r="Q2352">
        <v>2</v>
      </c>
      <c r="R2352">
        <v>4.29</v>
      </c>
      <c r="S2352">
        <v>2</v>
      </c>
      <c r="T2352" t="b">
        <v>0</v>
      </c>
    </row>
    <row r="2353" spans="1:20">
      <c r="A2353" t="s">
        <v>107</v>
      </c>
      <c r="B2353">
        <v>110</v>
      </c>
      <c r="C2353">
        <v>510</v>
      </c>
      <c r="D2353" t="s">
        <v>62</v>
      </c>
      <c r="E2353" t="s">
        <v>62</v>
      </c>
      <c r="F2353">
        <v>0</v>
      </c>
      <c r="G2353">
        <v>99.4</v>
      </c>
      <c r="H2353">
        <v>62</v>
      </c>
      <c r="I2353">
        <v>16.9</v>
      </c>
      <c r="J2353">
        <v>275</v>
      </c>
      <c r="K2353">
        <v>86</v>
      </c>
      <c r="L2353">
        <v>23.38</v>
      </c>
      <c r="M2353">
        <v>212.1</v>
      </c>
      <c r="N2353">
        <v>94</v>
      </c>
      <c r="O2353">
        <v>9.54</v>
      </c>
      <c r="P2353">
        <v>16.7</v>
      </c>
      <c r="Q2353">
        <v>3</v>
      </c>
      <c r="R2353">
        <v>4.51</v>
      </c>
      <c r="S2353">
        <v>2</v>
      </c>
      <c r="T2353" t="b">
        <v>0</v>
      </c>
    </row>
    <row r="2354" spans="1:20">
      <c r="A2354" t="s">
        <v>106</v>
      </c>
      <c r="B2354">
        <v>168</v>
      </c>
      <c r="C2354">
        <v>408</v>
      </c>
      <c r="D2354" t="s">
        <v>62</v>
      </c>
      <c r="E2354" t="s">
        <v>62</v>
      </c>
      <c r="F2354">
        <v>0</v>
      </c>
      <c r="G2354">
        <v>163.4</v>
      </c>
      <c r="H2354">
        <v>134</v>
      </c>
      <c r="I2354">
        <v>27.78</v>
      </c>
      <c r="J2354">
        <v>240.1</v>
      </c>
      <c r="K2354">
        <v>87</v>
      </c>
      <c r="L2354">
        <v>20.41</v>
      </c>
      <c r="M2354">
        <v>164</v>
      </c>
      <c r="N2354">
        <v>147</v>
      </c>
      <c r="O2354">
        <v>7.38</v>
      </c>
      <c r="P2354">
        <v>11.6</v>
      </c>
      <c r="Q2354">
        <v>2</v>
      </c>
      <c r="R2354">
        <v>3.13</v>
      </c>
      <c r="S2354">
        <v>2</v>
      </c>
      <c r="T2354" t="b">
        <v>1</v>
      </c>
    </row>
    <row r="2355" spans="1:20">
      <c r="A2355" t="s">
        <v>82</v>
      </c>
      <c r="B2355">
        <v>125</v>
      </c>
      <c r="C2355">
        <v>408</v>
      </c>
      <c r="D2355" t="s">
        <v>62</v>
      </c>
      <c r="E2355" t="s">
        <v>63</v>
      </c>
      <c r="F2355">
        <v>23</v>
      </c>
      <c r="G2355">
        <v>120.5</v>
      </c>
      <c r="H2355">
        <v>104</v>
      </c>
      <c r="I2355">
        <v>20.49</v>
      </c>
      <c r="J2355">
        <v>227.8</v>
      </c>
      <c r="K2355">
        <v>115</v>
      </c>
      <c r="L2355">
        <v>19.36</v>
      </c>
      <c r="M2355">
        <v>158.5</v>
      </c>
      <c r="N2355">
        <v>100</v>
      </c>
      <c r="O2355">
        <v>7.13</v>
      </c>
      <c r="P2355">
        <v>10.2</v>
      </c>
      <c r="Q2355">
        <v>3</v>
      </c>
      <c r="R2355">
        <v>2.75</v>
      </c>
      <c r="S2355">
        <v>1</v>
      </c>
      <c r="T2355" t="b">
        <v>0</v>
      </c>
    </row>
    <row r="2356" spans="1:20">
      <c r="A2356" t="s">
        <v>105</v>
      </c>
      <c r="B2356">
        <v>170</v>
      </c>
      <c r="C2356">
        <v>510</v>
      </c>
      <c r="D2356" t="s">
        <v>62</v>
      </c>
      <c r="E2356" t="s">
        <v>62</v>
      </c>
      <c r="F2356">
        <v>0</v>
      </c>
      <c r="G2356">
        <v>184.1</v>
      </c>
      <c r="H2356">
        <v>106</v>
      </c>
      <c r="I2356">
        <v>31.3</v>
      </c>
      <c r="J2356">
        <v>204.9</v>
      </c>
      <c r="K2356">
        <v>70</v>
      </c>
      <c r="L2356">
        <v>17.42</v>
      </c>
      <c r="M2356">
        <v>224.3</v>
      </c>
      <c r="N2356">
        <v>133</v>
      </c>
      <c r="O2356">
        <v>10.09</v>
      </c>
      <c r="P2356">
        <v>9.8</v>
      </c>
      <c r="Q2356">
        <v>3</v>
      </c>
      <c r="R2356">
        <v>2.65</v>
      </c>
      <c r="S2356">
        <v>2</v>
      </c>
      <c r="T2356" t="b">
        <v>0</v>
      </c>
    </row>
    <row r="2357" spans="1:20">
      <c r="A2357" t="s">
        <v>90</v>
      </c>
      <c r="B2357">
        <v>71</v>
      </c>
      <c r="C2357">
        <v>510</v>
      </c>
      <c r="D2357" t="s">
        <v>62</v>
      </c>
      <c r="E2357" t="s">
        <v>62</v>
      </c>
      <c r="F2357">
        <v>0</v>
      </c>
      <c r="G2357">
        <v>185</v>
      </c>
      <c r="H2357">
        <v>84</v>
      </c>
      <c r="I2357">
        <v>31.45</v>
      </c>
      <c r="J2357">
        <v>232.5</v>
      </c>
      <c r="K2357">
        <v>129</v>
      </c>
      <c r="L2357">
        <v>19.76</v>
      </c>
      <c r="M2357">
        <v>191.1</v>
      </c>
      <c r="N2357">
        <v>82</v>
      </c>
      <c r="O2357">
        <v>8.6</v>
      </c>
      <c r="P2357">
        <v>14.9</v>
      </c>
      <c r="Q2357">
        <v>4</v>
      </c>
      <c r="R2357">
        <v>4.02</v>
      </c>
      <c r="S2357">
        <v>3</v>
      </c>
      <c r="T2357" t="b">
        <v>0</v>
      </c>
    </row>
    <row r="2358" spans="1:20">
      <c r="A2358" t="s">
        <v>111</v>
      </c>
      <c r="B2358">
        <v>124</v>
      </c>
      <c r="C2358">
        <v>415</v>
      </c>
      <c r="D2358" t="s">
        <v>62</v>
      </c>
      <c r="E2358" t="s">
        <v>62</v>
      </c>
      <c r="F2358">
        <v>0</v>
      </c>
      <c r="G2358">
        <v>160.9</v>
      </c>
      <c r="H2358">
        <v>109</v>
      </c>
      <c r="I2358">
        <v>27.35</v>
      </c>
      <c r="J2358">
        <v>144.2</v>
      </c>
      <c r="K2358">
        <v>152</v>
      </c>
      <c r="L2358">
        <v>12.26</v>
      </c>
      <c r="M2358">
        <v>120.4</v>
      </c>
      <c r="N2358">
        <v>97</v>
      </c>
      <c r="O2358">
        <v>5.42</v>
      </c>
      <c r="P2358">
        <v>12.9</v>
      </c>
      <c r="Q2358">
        <v>12</v>
      </c>
      <c r="R2358">
        <v>3.48</v>
      </c>
      <c r="S2358">
        <v>1</v>
      </c>
      <c r="T2358" t="b">
        <v>0</v>
      </c>
    </row>
    <row r="2359" spans="1:20">
      <c r="A2359" t="s">
        <v>61</v>
      </c>
      <c r="B2359">
        <v>68</v>
      </c>
      <c r="C2359">
        <v>415</v>
      </c>
      <c r="D2359" t="s">
        <v>62</v>
      </c>
      <c r="E2359" t="s">
        <v>62</v>
      </c>
      <c r="F2359">
        <v>0</v>
      </c>
      <c r="G2359">
        <v>207.6</v>
      </c>
      <c r="H2359">
        <v>68</v>
      </c>
      <c r="I2359">
        <v>35.29</v>
      </c>
      <c r="J2359">
        <v>251.6</v>
      </c>
      <c r="K2359">
        <v>123</v>
      </c>
      <c r="L2359">
        <v>21.39</v>
      </c>
      <c r="M2359">
        <v>191.6</v>
      </c>
      <c r="N2359">
        <v>100</v>
      </c>
      <c r="O2359">
        <v>8.62</v>
      </c>
      <c r="P2359">
        <v>10.9</v>
      </c>
      <c r="Q2359">
        <v>6</v>
      </c>
      <c r="R2359">
        <v>2.94</v>
      </c>
      <c r="S2359">
        <v>2</v>
      </c>
      <c r="T2359" t="b">
        <v>0</v>
      </c>
    </row>
    <row r="2360" spans="1:20">
      <c r="A2360" t="s">
        <v>97</v>
      </c>
      <c r="B2360">
        <v>97</v>
      </c>
      <c r="C2360">
        <v>415</v>
      </c>
      <c r="D2360" t="s">
        <v>62</v>
      </c>
      <c r="E2360" t="s">
        <v>62</v>
      </c>
      <c r="F2360">
        <v>0</v>
      </c>
      <c r="G2360">
        <v>209.2</v>
      </c>
      <c r="H2360">
        <v>134</v>
      </c>
      <c r="I2360">
        <v>35.56</v>
      </c>
      <c r="J2360">
        <v>0</v>
      </c>
      <c r="K2360">
        <v>0</v>
      </c>
      <c r="L2360">
        <v>0</v>
      </c>
      <c r="M2360">
        <v>175.4</v>
      </c>
      <c r="N2360">
        <v>94</v>
      </c>
      <c r="O2360">
        <v>7.89</v>
      </c>
      <c r="P2360">
        <v>11.8</v>
      </c>
      <c r="Q2360">
        <v>6</v>
      </c>
      <c r="R2360">
        <v>3.19</v>
      </c>
      <c r="S2360">
        <v>1</v>
      </c>
      <c r="T2360" t="b">
        <v>0</v>
      </c>
    </row>
    <row r="2361" spans="1:20">
      <c r="A2361" t="s">
        <v>86</v>
      </c>
      <c r="B2361">
        <v>98</v>
      </c>
      <c r="C2361">
        <v>510</v>
      </c>
      <c r="D2361" t="s">
        <v>63</v>
      </c>
      <c r="E2361" t="s">
        <v>62</v>
      </c>
      <c r="F2361">
        <v>0</v>
      </c>
      <c r="G2361">
        <v>158.4</v>
      </c>
      <c r="H2361">
        <v>71</v>
      </c>
      <c r="I2361">
        <v>26.93</v>
      </c>
      <c r="J2361">
        <v>306.6</v>
      </c>
      <c r="K2361">
        <v>66</v>
      </c>
      <c r="L2361">
        <v>26.06</v>
      </c>
      <c r="M2361">
        <v>144.2</v>
      </c>
      <c r="N2361">
        <v>93</v>
      </c>
      <c r="O2361">
        <v>6.49</v>
      </c>
      <c r="P2361">
        <v>2.1</v>
      </c>
      <c r="Q2361">
        <v>4</v>
      </c>
      <c r="R2361">
        <v>0.57</v>
      </c>
      <c r="S2361">
        <v>1</v>
      </c>
      <c r="T2361" t="b">
        <v>0</v>
      </c>
    </row>
    <row r="2362" spans="1:20">
      <c r="A2362" t="s">
        <v>105</v>
      </c>
      <c r="B2362">
        <v>24</v>
      </c>
      <c r="C2362">
        <v>408</v>
      </c>
      <c r="D2362" t="s">
        <v>62</v>
      </c>
      <c r="E2362" t="s">
        <v>62</v>
      </c>
      <c r="F2362">
        <v>0</v>
      </c>
      <c r="G2362">
        <v>149</v>
      </c>
      <c r="H2362">
        <v>73</v>
      </c>
      <c r="I2362">
        <v>25.33</v>
      </c>
      <c r="J2362">
        <v>131</v>
      </c>
      <c r="K2362">
        <v>81</v>
      </c>
      <c r="L2362">
        <v>11.14</v>
      </c>
      <c r="M2362">
        <v>238.6</v>
      </c>
      <c r="N2362">
        <v>69</v>
      </c>
      <c r="O2362">
        <v>10.74</v>
      </c>
      <c r="P2362">
        <v>8.6</v>
      </c>
      <c r="Q2362">
        <v>3</v>
      </c>
      <c r="R2362">
        <v>2.32</v>
      </c>
      <c r="S2362">
        <v>2</v>
      </c>
      <c r="T2362" t="b">
        <v>1</v>
      </c>
    </row>
    <row r="2363" spans="1:20">
      <c r="A2363" t="s">
        <v>105</v>
      </c>
      <c r="B2363">
        <v>136</v>
      </c>
      <c r="C2363">
        <v>510</v>
      </c>
      <c r="D2363" t="s">
        <v>62</v>
      </c>
      <c r="E2363" t="s">
        <v>62</v>
      </c>
      <c r="F2363">
        <v>0</v>
      </c>
      <c r="G2363">
        <v>204.5</v>
      </c>
      <c r="H2363">
        <v>63</v>
      </c>
      <c r="I2363">
        <v>34.77</v>
      </c>
      <c r="J2363">
        <v>208.8</v>
      </c>
      <c r="K2363">
        <v>95</v>
      </c>
      <c r="L2363">
        <v>17.75</v>
      </c>
      <c r="M2363">
        <v>224</v>
      </c>
      <c r="N2363">
        <v>119</v>
      </c>
      <c r="O2363">
        <v>10.08</v>
      </c>
      <c r="P2363">
        <v>9.8</v>
      </c>
      <c r="Q2363">
        <v>2</v>
      </c>
      <c r="R2363">
        <v>2.65</v>
      </c>
      <c r="S2363">
        <v>0</v>
      </c>
      <c r="T2363" t="b">
        <v>0</v>
      </c>
    </row>
    <row r="2364" spans="1:20">
      <c r="A2364" t="s">
        <v>66</v>
      </c>
      <c r="B2364">
        <v>44</v>
      </c>
      <c r="C2364">
        <v>408</v>
      </c>
      <c r="D2364" t="s">
        <v>62</v>
      </c>
      <c r="E2364" t="s">
        <v>62</v>
      </c>
      <c r="F2364">
        <v>0</v>
      </c>
      <c r="G2364">
        <v>288.8</v>
      </c>
      <c r="H2364">
        <v>86</v>
      </c>
      <c r="I2364">
        <v>49.1</v>
      </c>
      <c r="J2364">
        <v>175.9</v>
      </c>
      <c r="K2364">
        <v>87</v>
      </c>
      <c r="L2364">
        <v>14.95</v>
      </c>
      <c r="M2364">
        <v>215.4</v>
      </c>
      <c r="N2364">
        <v>106</v>
      </c>
      <c r="O2364">
        <v>9.69</v>
      </c>
      <c r="P2364">
        <v>9.5</v>
      </c>
      <c r="Q2364">
        <v>2</v>
      </c>
      <c r="R2364">
        <v>2.57</v>
      </c>
      <c r="S2364">
        <v>0</v>
      </c>
      <c r="T2364" t="b">
        <v>1</v>
      </c>
    </row>
    <row r="2365" spans="1:20">
      <c r="A2365" t="s">
        <v>107</v>
      </c>
      <c r="B2365">
        <v>96</v>
      </c>
      <c r="C2365">
        <v>415</v>
      </c>
      <c r="D2365" t="s">
        <v>62</v>
      </c>
      <c r="E2365" t="s">
        <v>63</v>
      </c>
      <c r="F2365">
        <v>40</v>
      </c>
      <c r="G2365">
        <v>108.6</v>
      </c>
      <c r="H2365">
        <v>90</v>
      </c>
      <c r="I2365">
        <v>18.46</v>
      </c>
      <c r="J2365">
        <v>206.4</v>
      </c>
      <c r="K2365">
        <v>154</v>
      </c>
      <c r="L2365">
        <v>17.54</v>
      </c>
      <c r="M2365">
        <v>126.3</v>
      </c>
      <c r="N2365">
        <v>118</v>
      </c>
      <c r="O2365">
        <v>5.68</v>
      </c>
      <c r="P2365">
        <v>13.4</v>
      </c>
      <c r="Q2365">
        <v>4</v>
      </c>
      <c r="R2365">
        <v>3.62</v>
      </c>
      <c r="S2365">
        <v>0</v>
      </c>
      <c r="T2365" t="b">
        <v>0</v>
      </c>
    </row>
    <row r="2366" spans="1:20">
      <c r="A2366" t="s">
        <v>114</v>
      </c>
      <c r="B2366">
        <v>24</v>
      </c>
      <c r="C2366">
        <v>415</v>
      </c>
      <c r="D2366" t="s">
        <v>62</v>
      </c>
      <c r="E2366" t="s">
        <v>62</v>
      </c>
      <c r="F2366">
        <v>0</v>
      </c>
      <c r="G2366">
        <v>156.2</v>
      </c>
      <c r="H2366">
        <v>104</v>
      </c>
      <c r="I2366">
        <v>26.55</v>
      </c>
      <c r="J2366">
        <v>90</v>
      </c>
      <c r="K2366">
        <v>101</v>
      </c>
      <c r="L2366">
        <v>7.65</v>
      </c>
      <c r="M2366">
        <v>205.1</v>
      </c>
      <c r="N2366">
        <v>116</v>
      </c>
      <c r="O2366">
        <v>9.23</v>
      </c>
      <c r="P2366">
        <v>7.3</v>
      </c>
      <c r="Q2366">
        <v>5</v>
      </c>
      <c r="R2366">
        <v>1.97</v>
      </c>
      <c r="S2366">
        <v>1</v>
      </c>
      <c r="T2366" t="b">
        <v>0</v>
      </c>
    </row>
    <row r="2367" spans="1:20">
      <c r="A2367" t="s">
        <v>111</v>
      </c>
      <c r="B2367">
        <v>112</v>
      </c>
      <c r="C2367">
        <v>415</v>
      </c>
      <c r="D2367" t="s">
        <v>62</v>
      </c>
      <c r="E2367" t="s">
        <v>63</v>
      </c>
      <c r="F2367">
        <v>31</v>
      </c>
      <c r="G2367">
        <v>225.2</v>
      </c>
      <c r="H2367">
        <v>89</v>
      </c>
      <c r="I2367">
        <v>38.28</v>
      </c>
      <c r="J2367">
        <v>256.8</v>
      </c>
      <c r="K2367">
        <v>117</v>
      </c>
      <c r="L2367">
        <v>21.83</v>
      </c>
      <c r="M2367">
        <v>249.7</v>
      </c>
      <c r="N2367">
        <v>87</v>
      </c>
      <c r="O2367">
        <v>11.24</v>
      </c>
      <c r="P2367">
        <v>11.5</v>
      </c>
      <c r="Q2367">
        <v>1</v>
      </c>
      <c r="R2367">
        <v>3.11</v>
      </c>
      <c r="S2367">
        <v>4</v>
      </c>
      <c r="T2367" t="b">
        <v>0</v>
      </c>
    </row>
    <row r="2368" spans="1:20">
      <c r="A2368" t="s">
        <v>89</v>
      </c>
      <c r="B2368">
        <v>117</v>
      </c>
      <c r="C2368">
        <v>415</v>
      </c>
      <c r="D2368" t="s">
        <v>63</v>
      </c>
      <c r="E2368" t="s">
        <v>62</v>
      </c>
      <c r="F2368">
        <v>0</v>
      </c>
      <c r="G2368">
        <v>287.4</v>
      </c>
      <c r="H2368">
        <v>118</v>
      </c>
      <c r="I2368">
        <v>48.86</v>
      </c>
      <c r="J2368">
        <v>259.6</v>
      </c>
      <c r="K2368">
        <v>84</v>
      </c>
      <c r="L2368">
        <v>22.07</v>
      </c>
      <c r="M2368">
        <v>153.2</v>
      </c>
      <c r="N2368">
        <v>86</v>
      </c>
      <c r="O2368">
        <v>6.89</v>
      </c>
      <c r="P2368">
        <v>10</v>
      </c>
      <c r="Q2368">
        <v>3</v>
      </c>
      <c r="R2368">
        <v>2.7</v>
      </c>
      <c r="S2368">
        <v>1</v>
      </c>
      <c r="T2368" t="b">
        <v>1</v>
      </c>
    </row>
    <row r="2369" spans="1:20">
      <c r="A2369" t="s">
        <v>61</v>
      </c>
      <c r="B2369">
        <v>137</v>
      </c>
      <c r="C2369">
        <v>415</v>
      </c>
      <c r="D2369" t="s">
        <v>62</v>
      </c>
      <c r="E2369" t="s">
        <v>63</v>
      </c>
      <c r="F2369">
        <v>19</v>
      </c>
      <c r="G2369">
        <v>175.3</v>
      </c>
      <c r="H2369">
        <v>96</v>
      </c>
      <c r="I2369">
        <v>29.8</v>
      </c>
      <c r="J2369">
        <v>241.3</v>
      </c>
      <c r="K2369">
        <v>146</v>
      </c>
      <c r="L2369">
        <v>20.51</v>
      </c>
      <c r="M2369">
        <v>211.4</v>
      </c>
      <c r="N2369">
        <v>109</v>
      </c>
      <c r="O2369">
        <v>9.51</v>
      </c>
      <c r="P2369">
        <v>7.8</v>
      </c>
      <c r="Q2369">
        <v>2</v>
      </c>
      <c r="R2369">
        <v>2.11</v>
      </c>
      <c r="S2369">
        <v>0</v>
      </c>
      <c r="T2369" t="b">
        <v>0</v>
      </c>
    </row>
    <row r="2370" spans="1:20">
      <c r="A2370" t="s">
        <v>97</v>
      </c>
      <c r="B2370">
        <v>95</v>
      </c>
      <c r="C2370">
        <v>415</v>
      </c>
      <c r="D2370" t="s">
        <v>62</v>
      </c>
      <c r="E2370" t="s">
        <v>62</v>
      </c>
      <c r="F2370">
        <v>0</v>
      </c>
      <c r="G2370">
        <v>157.9</v>
      </c>
      <c r="H2370">
        <v>103</v>
      </c>
      <c r="I2370">
        <v>26.84</v>
      </c>
      <c r="J2370">
        <v>259.6</v>
      </c>
      <c r="K2370">
        <v>90</v>
      </c>
      <c r="L2370">
        <v>22.07</v>
      </c>
      <c r="M2370">
        <v>230</v>
      </c>
      <c r="N2370">
        <v>117</v>
      </c>
      <c r="O2370">
        <v>10.35</v>
      </c>
      <c r="P2370">
        <v>14</v>
      </c>
      <c r="Q2370">
        <v>2</v>
      </c>
      <c r="R2370">
        <v>3.78</v>
      </c>
      <c r="S2370">
        <v>0</v>
      </c>
      <c r="T2370" t="b">
        <v>0</v>
      </c>
    </row>
    <row r="2371" spans="1:20">
      <c r="A2371" t="s">
        <v>115</v>
      </c>
      <c r="B2371">
        <v>145</v>
      </c>
      <c r="C2371">
        <v>415</v>
      </c>
      <c r="D2371" t="s">
        <v>62</v>
      </c>
      <c r="E2371" t="s">
        <v>62</v>
      </c>
      <c r="F2371">
        <v>0</v>
      </c>
      <c r="G2371">
        <v>245.8</v>
      </c>
      <c r="H2371">
        <v>116</v>
      </c>
      <c r="I2371">
        <v>41.79</v>
      </c>
      <c r="J2371">
        <v>286.7</v>
      </c>
      <c r="K2371">
        <v>91</v>
      </c>
      <c r="L2371">
        <v>24.37</v>
      </c>
      <c r="M2371">
        <v>240.7</v>
      </c>
      <c r="N2371">
        <v>115</v>
      </c>
      <c r="O2371">
        <v>10.83</v>
      </c>
      <c r="P2371">
        <v>9</v>
      </c>
      <c r="Q2371">
        <v>13</v>
      </c>
      <c r="R2371">
        <v>2.43</v>
      </c>
      <c r="S2371">
        <v>1</v>
      </c>
      <c r="T2371" t="b">
        <v>1</v>
      </c>
    </row>
    <row r="2372" spans="1:20">
      <c r="A2372" t="s">
        <v>107</v>
      </c>
      <c r="B2372">
        <v>56</v>
      </c>
      <c r="C2372">
        <v>415</v>
      </c>
      <c r="D2372" t="s">
        <v>63</v>
      </c>
      <c r="E2372" t="s">
        <v>62</v>
      </c>
      <c r="F2372">
        <v>0</v>
      </c>
      <c r="G2372">
        <v>177.7</v>
      </c>
      <c r="H2372">
        <v>114</v>
      </c>
      <c r="I2372">
        <v>30.21</v>
      </c>
      <c r="J2372">
        <v>215.6</v>
      </c>
      <c r="K2372">
        <v>110</v>
      </c>
      <c r="L2372">
        <v>18.33</v>
      </c>
      <c r="M2372">
        <v>236.7</v>
      </c>
      <c r="N2372">
        <v>67</v>
      </c>
      <c r="O2372">
        <v>10.65</v>
      </c>
      <c r="P2372">
        <v>10.5</v>
      </c>
      <c r="Q2372">
        <v>5</v>
      </c>
      <c r="R2372">
        <v>2.84</v>
      </c>
      <c r="S2372">
        <v>1</v>
      </c>
      <c r="T2372" t="b">
        <v>0</v>
      </c>
    </row>
    <row r="2373" spans="1:20">
      <c r="A2373" t="s">
        <v>64</v>
      </c>
      <c r="B2373">
        <v>133</v>
      </c>
      <c r="C2373">
        <v>408</v>
      </c>
      <c r="D2373" t="s">
        <v>62</v>
      </c>
      <c r="E2373" t="s">
        <v>62</v>
      </c>
      <c r="F2373">
        <v>0</v>
      </c>
      <c r="G2373">
        <v>117.8</v>
      </c>
      <c r="H2373">
        <v>100</v>
      </c>
      <c r="I2373">
        <v>20.03</v>
      </c>
      <c r="J2373">
        <v>199.2</v>
      </c>
      <c r="K2373">
        <v>105</v>
      </c>
      <c r="L2373">
        <v>16.93</v>
      </c>
      <c r="M2373">
        <v>244.1</v>
      </c>
      <c r="N2373">
        <v>119</v>
      </c>
      <c r="O2373">
        <v>10.98</v>
      </c>
      <c r="P2373">
        <v>11.8</v>
      </c>
      <c r="Q2373">
        <v>4</v>
      </c>
      <c r="R2373">
        <v>3.19</v>
      </c>
      <c r="S2373">
        <v>0</v>
      </c>
      <c r="T2373" t="b">
        <v>1</v>
      </c>
    </row>
    <row r="2374" spans="1:20">
      <c r="A2374" t="s">
        <v>80</v>
      </c>
      <c r="B2374">
        <v>53</v>
      </c>
      <c r="C2374">
        <v>415</v>
      </c>
      <c r="D2374" t="s">
        <v>62</v>
      </c>
      <c r="E2374" t="s">
        <v>62</v>
      </c>
      <c r="F2374">
        <v>0</v>
      </c>
      <c r="G2374">
        <v>119.7</v>
      </c>
      <c r="H2374">
        <v>113</v>
      </c>
      <c r="I2374">
        <v>20.35</v>
      </c>
      <c r="J2374">
        <v>189.7</v>
      </c>
      <c r="K2374">
        <v>84</v>
      </c>
      <c r="L2374">
        <v>16.12</v>
      </c>
      <c r="M2374">
        <v>256.2</v>
      </c>
      <c r="N2374">
        <v>108</v>
      </c>
      <c r="O2374">
        <v>11.53</v>
      </c>
      <c r="P2374">
        <v>12.9</v>
      </c>
      <c r="Q2374">
        <v>7</v>
      </c>
      <c r="R2374">
        <v>3.48</v>
      </c>
      <c r="S2374">
        <v>2</v>
      </c>
      <c r="T2374" t="b">
        <v>0</v>
      </c>
    </row>
    <row r="2375" spans="1:20">
      <c r="A2375" t="s">
        <v>85</v>
      </c>
      <c r="B2375">
        <v>123</v>
      </c>
      <c r="C2375">
        <v>415</v>
      </c>
      <c r="D2375" t="s">
        <v>62</v>
      </c>
      <c r="E2375" t="s">
        <v>62</v>
      </c>
      <c r="F2375">
        <v>0</v>
      </c>
      <c r="G2375">
        <v>242.2</v>
      </c>
      <c r="H2375">
        <v>87</v>
      </c>
      <c r="I2375">
        <v>41.17</v>
      </c>
      <c r="J2375">
        <v>226.1</v>
      </c>
      <c r="K2375">
        <v>101</v>
      </c>
      <c r="L2375">
        <v>19.22</v>
      </c>
      <c r="M2375">
        <v>268.6</v>
      </c>
      <c r="N2375">
        <v>121</v>
      </c>
      <c r="O2375">
        <v>12.09</v>
      </c>
      <c r="P2375">
        <v>8.2</v>
      </c>
      <c r="Q2375">
        <v>3</v>
      </c>
      <c r="R2375">
        <v>2.21</v>
      </c>
      <c r="S2375">
        <v>5</v>
      </c>
      <c r="T2375" t="b">
        <v>1</v>
      </c>
    </row>
    <row r="2376" spans="1:20">
      <c r="A2376" t="s">
        <v>71</v>
      </c>
      <c r="B2376">
        <v>62</v>
      </c>
      <c r="C2376">
        <v>408</v>
      </c>
      <c r="D2376" t="s">
        <v>62</v>
      </c>
      <c r="E2376" t="s">
        <v>62</v>
      </c>
      <c r="F2376">
        <v>0</v>
      </c>
      <c r="G2376">
        <v>128.7</v>
      </c>
      <c r="H2376">
        <v>111</v>
      </c>
      <c r="I2376">
        <v>21.88</v>
      </c>
      <c r="J2376">
        <v>169.5</v>
      </c>
      <c r="K2376">
        <v>104</v>
      </c>
      <c r="L2376">
        <v>14.41</v>
      </c>
      <c r="M2376">
        <v>193.6</v>
      </c>
      <c r="N2376">
        <v>97</v>
      </c>
      <c r="O2376">
        <v>8.71</v>
      </c>
      <c r="P2376">
        <v>10.3</v>
      </c>
      <c r="Q2376">
        <v>5</v>
      </c>
      <c r="R2376">
        <v>2.78</v>
      </c>
      <c r="S2376">
        <v>1</v>
      </c>
      <c r="T2376" t="b">
        <v>0</v>
      </c>
    </row>
    <row r="2377" spans="1:20">
      <c r="A2377" t="s">
        <v>110</v>
      </c>
      <c r="B2377">
        <v>55</v>
      </c>
      <c r="C2377">
        <v>415</v>
      </c>
      <c r="D2377" t="s">
        <v>62</v>
      </c>
      <c r="E2377" t="s">
        <v>63</v>
      </c>
      <c r="F2377">
        <v>20</v>
      </c>
      <c r="G2377">
        <v>207.7</v>
      </c>
      <c r="H2377">
        <v>91</v>
      </c>
      <c r="I2377">
        <v>35.31</v>
      </c>
      <c r="J2377">
        <v>199.7</v>
      </c>
      <c r="K2377">
        <v>113</v>
      </c>
      <c r="L2377">
        <v>16.97</v>
      </c>
      <c r="M2377">
        <v>216.5</v>
      </c>
      <c r="N2377">
        <v>110</v>
      </c>
      <c r="O2377">
        <v>9.74</v>
      </c>
      <c r="P2377">
        <v>7.3</v>
      </c>
      <c r="Q2377">
        <v>1</v>
      </c>
      <c r="R2377">
        <v>1.97</v>
      </c>
      <c r="S2377">
        <v>1</v>
      </c>
      <c r="T2377" t="b">
        <v>0</v>
      </c>
    </row>
    <row r="2378" spans="1:20">
      <c r="A2378" t="s">
        <v>106</v>
      </c>
      <c r="B2378">
        <v>125</v>
      </c>
      <c r="C2378">
        <v>415</v>
      </c>
      <c r="D2378" t="s">
        <v>62</v>
      </c>
      <c r="E2378" t="s">
        <v>62</v>
      </c>
      <c r="F2378">
        <v>0</v>
      </c>
      <c r="G2378">
        <v>233.3</v>
      </c>
      <c r="H2378">
        <v>65</v>
      </c>
      <c r="I2378">
        <v>39.66</v>
      </c>
      <c r="J2378">
        <v>209.8</v>
      </c>
      <c r="K2378">
        <v>93</v>
      </c>
      <c r="L2378">
        <v>17.83</v>
      </c>
      <c r="M2378">
        <v>210.6</v>
      </c>
      <c r="N2378">
        <v>109</v>
      </c>
      <c r="O2378">
        <v>9.48</v>
      </c>
      <c r="P2378">
        <v>9.1</v>
      </c>
      <c r="Q2378">
        <v>4</v>
      </c>
      <c r="R2378">
        <v>2.46</v>
      </c>
      <c r="S2378">
        <v>1</v>
      </c>
      <c r="T2378" t="b">
        <v>0</v>
      </c>
    </row>
    <row r="2379" spans="1:20">
      <c r="A2379" t="s">
        <v>80</v>
      </c>
      <c r="B2379">
        <v>1</v>
      </c>
      <c r="C2379">
        <v>415</v>
      </c>
      <c r="D2379" t="s">
        <v>62</v>
      </c>
      <c r="E2379" t="s">
        <v>62</v>
      </c>
      <c r="F2379">
        <v>0</v>
      </c>
      <c r="G2379">
        <v>182.1</v>
      </c>
      <c r="H2379">
        <v>106</v>
      </c>
      <c r="I2379">
        <v>30.96</v>
      </c>
      <c r="J2379">
        <v>134.9</v>
      </c>
      <c r="K2379">
        <v>106</v>
      </c>
      <c r="L2379">
        <v>11.47</v>
      </c>
      <c r="M2379">
        <v>152.3</v>
      </c>
      <c r="N2379">
        <v>75</v>
      </c>
      <c r="O2379">
        <v>6.85</v>
      </c>
      <c r="P2379">
        <v>10</v>
      </c>
      <c r="Q2379">
        <v>3</v>
      </c>
      <c r="R2379">
        <v>2.7</v>
      </c>
      <c r="S2379">
        <v>5</v>
      </c>
      <c r="T2379" t="b">
        <v>1</v>
      </c>
    </row>
    <row r="2380" spans="1:20">
      <c r="A2380" t="s">
        <v>107</v>
      </c>
      <c r="B2380">
        <v>98</v>
      </c>
      <c r="C2380">
        <v>415</v>
      </c>
      <c r="D2380" t="s">
        <v>62</v>
      </c>
      <c r="E2380" t="s">
        <v>63</v>
      </c>
      <c r="F2380">
        <v>36</v>
      </c>
      <c r="G2380">
        <v>168</v>
      </c>
      <c r="H2380">
        <v>81</v>
      </c>
      <c r="I2380">
        <v>28.56</v>
      </c>
      <c r="J2380">
        <v>163.2</v>
      </c>
      <c r="K2380">
        <v>125</v>
      </c>
      <c r="L2380">
        <v>13.87</v>
      </c>
      <c r="M2380">
        <v>172.7</v>
      </c>
      <c r="N2380">
        <v>120</v>
      </c>
      <c r="O2380">
        <v>7.77</v>
      </c>
      <c r="P2380">
        <v>8</v>
      </c>
      <c r="Q2380">
        <v>2</v>
      </c>
      <c r="R2380">
        <v>2.16</v>
      </c>
      <c r="S2380">
        <v>6</v>
      </c>
      <c r="T2380" t="b">
        <v>1</v>
      </c>
    </row>
    <row r="2381" spans="1:20">
      <c r="A2381" t="s">
        <v>99</v>
      </c>
      <c r="B2381">
        <v>105</v>
      </c>
      <c r="C2381">
        <v>415</v>
      </c>
      <c r="D2381" t="s">
        <v>62</v>
      </c>
      <c r="E2381" t="s">
        <v>62</v>
      </c>
      <c r="F2381">
        <v>0</v>
      </c>
      <c r="G2381">
        <v>251.6</v>
      </c>
      <c r="H2381">
        <v>88</v>
      </c>
      <c r="I2381">
        <v>42.77</v>
      </c>
      <c r="J2381">
        <v>175.1</v>
      </c>
      <c r="K2381">
        <v>103</v>
      </c>
      <c r="L2381">
        <v>14.88</v>
      </c>
      <c r="M2381">
        <v>184.4</v>
      </c>
      <c r="N2381">
        <v>112</v>
      </c>
      <c r="O2381">
        <v>8.3</v>
      </c>
      <c r="P2381">
        <v>5.4</v>
      </c>
      <c r="Q2381">
        <v>5</v>
      </c>
      <c r="R2381">
        <v>1.46</v>
      </c>
      <c r="S2381">
        <v>1</v>
      </c>
      <c r="T2381" t="b">
        <v>0</v>
      </c>
    </row>
    <row r="2382" spans="1:20">
      <c r="A2382" t="s">
        <v>94</v>
      </c>
      <c r="B2382">
        <v>99</v>
      </c>
      <c r="C2382">
        <v>408</v>
      </c>
      <c r="D2382" t="s">
        <v>62</v>
      </c>
      <c r="E2382" t="s">
        <v>62</v>
      </c>
      <c r="F2382">
        <v>0</v>
      </c>
      <c r="G2382">
        <v>256.4</v>
      </c>
      <c r="H2382">
        <v>44</v>
      </c>
      <c r="I2382">
        <v>43.59</v>
      </c>
      <c r="J2382">
        <v>214.5</v>
      </c>
      <c r="K2382">
        <v>105</v>
      </c>
      <c r="L2382">
        <v>18.23</v>
      </c>
      <c r="M2382">
        <v>233.7</v>
      </c>
      <c r="N2382">
        <v>75</v>
      </c>
      <c r="O2382">
        <v>10.52</v>
      </c>
      <c r="P2382">
        <v>7.9</v>
      </c>
      <c r="Q2382">
        <v>1</v>
      </c>
      <c r="R2382">
        <v>2.13</v>
      </c>
      <c r="S2382">
        <v>3</v>
      </c>
      <c r="T2382" t="b">
        <v>1</v>
      </c>
    </row>
    <row r="2383" spans="1:20">
      <c r="A2383" t="s">
        <v>71</v>
      </c>
      <c r="B2383">
        <v>177</v>
      </c>
      <c r="C2383">
        <v>408</v>
      </c>
      <c r="D2383" t="s">
        <v>62</v>
      </c>
      <c r="E2383" t="s">
        <v>62</v>
      </c>
      <c r="F2383">
        <v>0</v>
      </c>
      <c r="G2383">
        <v>227.8</v>
      </c>
      <c r="H2383">
        <v>81</v>
      </c>
      <c r="I2383">
        <v>38.73</v>
      </c>
      <c r="J2383">
        <v>161.8</v>
      </c>
      <c r="K2383">
        <v>97</v>
      </c>
      <c r="L2383">
        <v>13.75</v>
      </c>
      <c r="M2383">
        <v>217</v>
      </c>
      <c r="N2383">
        <v>106</v>
      </c>
      <c r="O2383">
        <v>9.76</v>
      </c>
      <c r="P2383">
        <v>8</v>
      </c>
      <c r="Q2383">
        <v>5</v>
      </c>
      <c r="R2383">
        <v>2.16</v>
      </c>
      <c r="S2383">
        <v>1</v>
      </c>
      <c r="T2383" t="b">
        <v>0</v>
      </c>
    </row>
    <row r="2384" spans="1:20">
      <c r="A2384" t="s">
        <v>116</v>
      </c>
      <c r="B2384">
        <v>160</v>
      </c>
      <c r="C2384">
        <v>415</v>
      </c>
      <c r="D2384" t="s">
        <v>62</v>
      </c>
      <c r="E2384" t="s">
        <v>62</v>
      </c>
      <c r="F2384">
        <v>0</v>
      </c>
      <c r="G2384">
        <v>234.9</v>
      </c>
      <c r="H2384">
        <v>136</v>
      </c>
      <c r="I2384">
        <v>39.93</v>
      </c>
      <c r="J2384">
        <v>270.8</v>
      </c>
      <c r="K2384">
        <v>134</v>
      </c>
      <c r="L2384">
        <v>23.02</v>
      </c>
      <c r="M2384">
        <v>219.3</v>
      </c>
      <c r="N2384">
        <v>101</v>
      </c>
      <c r="O2384">
        <v>9.87</v>
      </c>
      <c r="P2384">
        <v>13.9</v>
      </c>
      <c r="Q2384">
        <v>2</v>
      </c>
      <c r="R2384">
        <v>3.75</v>
      </c>
      <c r="S2384">
        <v>1</v>
      </c>
      <c r="T2384" t="b">
        <v>1</v>
      </c>
    </row>
    <row r="2385" spans="1:20">
      <c r="A2385" t="s">
        <v>115</v>
      </c>
      <c r="B2385">
        <v>90</v>
      </c>
      <c r="C2385">
        <v>415</v>
      </c>
      <c r="D2385" t="s">
        <v>62</v>
      </c>
      <c r="E2385" t="s">
        <v>63</v>
      </c>
      <c r="F2385">
        <v>22</v>
      </c>
      <c r="G2385">
        <v>124.5</v>
      </c>
      <c r="H2385">
        <v>94</v>
      </c>
      <c r="I2385">
        <v>21.17</v>
      </c>
      <c r="J2385">
        <v>231.7</v>
      </c>
      <c r="K2385">
        <v>90</v>
      </c>
      <c r="L2385">
        <v>19.69</v>
      </c>
      <c r="M2385">
        <v>222.2</v>
      </c>
      <c r="N2385">
        <v>108</v>
      </c>
      <c r="O2385">
        <v>10</v>
      </c>
      <c r="P2385">
        <v>6.4</v>
      </c>
      <c r="Q2385">
        <v>12</v>
      </c>
      <c r="R2385">
        <v>1.73</v>
      </c>
      <c r="S2385">
        <v>1</v>
      </c>
      <c r="T2385" t="b">
        <v>0</v>
      </c>
    </row>
    <row r="2386" spans="1:20">
      <c r="A2386" t="s">
        <v>110</v>
      </c>
      <c r="B2386">
        <v>148</v>
      </c>
      <c r="C2386">
        <v>415</v>
      </c>
      <c r="D2386" t="s">
        <v>63</v>
      </c>
      <c r="E2386" t="s">
        <v>62</v>
      </c>
      <c r="F2386">
        <v>0</v>
      </c>
      <c r="G2386">
        <v>233.5</v>
      </c>
      <c r="H2386">
        <v>81</v>
      </c>
      <c r="I2386">
        <v>39.7</v>
      </c>
      <c r="J2386">
        <v>187.7</v>
      </c>
      <c r="K2386">
        <v>71</v>
      </c>
      <c r="L2386">
        <v>15.95</v>
      </c>
      <c r="M2386">
        <v>122.3</v>
      </c>
      <c r="N2386">
        <v>97</v>
      </c>
      <c r="O2386">
        <v>5.5</v>
      </c>
      <c r="P2386">
        <v>9.6</v>
      </c>
      <c r="Q2386">
        <v>2</v>
      </c>
      <c r="R2386">
        <v>2.59</v>
      </c>
      <c r="S2386">
        <v>0</v>
      </c>
      <c r="T2386" t="b">
        <v>1</v>
      </c>
    </row>
    <row r="2387" spans="1:20">
      <c r="A2387" t="s">
        <v>76</v>
      </c>
      <c r="B2387">
        <v>147</v>
      </c>
      <c r="C2387">
        <v>415</v>
      </c>
      <c r="D2387" t="s">
        <v>62</v>
      </c>
      <c r="E2387" t="s">
        <v>63</v>
      </c>
      <c r="F2387">
        <v>35</v>
      </c>
      <c r="G2387">
        <v>197.3</v>
      </c>
      <c r="H2387">
        <v>134</v>
      </c>
      <c r="I2387">
        <v>33.54</v>
      </c>
      <c r="J2387">
        <v>141.1</v>
      </c>
      <c r="K2387">
        <v>99</v>
      </c>
      <c r="L2387">
        <v>11.99</v>
      </c>
      <c r="M2387">
        <v>212.1</v>
      </c>
      <c r="N2387">
        <v>90</v>
      </c>
      <c r="O2387">
        <v>9.54</v>
      </c>
      <c r="P2387">
        <v>10.1</v>
      </c>
      <c r="Q2387">
        <v>4</v>
      </c>
      <c r="R2387">
        <v>2.73</v>
      </c>
      <c r="S2387">
        <v>2</v>
      </c>
      <c r="T2387" t="b">
        <v>1</v>
      </c>
    </row>
    <row r="2388" spans="1:20">
      <c r="A2388" t="s">
        <v>71</v>
      </c>
      <c r="B2388">
        <v>80</v>
      </c>
      <c r="C2388">
        <v>415</v>
      </c>
      <c r="D2388" t="s">
        <v>62</v>
      </c>
      <c r="E2388" t="s">
        <v>62</v>
      </c>
      <c r="F2388">
        <v>0</v>
      </c>
      <c r="G2388">
        <v>151.5</v>
      </c>
      <c r="H2388">
        <v>89</v>
      </c>
      <c r="I2388">
        <v>25.76</v>
      </c>
      <c r="J2388">
        <v>131.7</v>
      </c>
      <c r="K2388">
        <v>78</v>
      </c>
      <c r="L2388">
        <v>11.19</v>
      </c>
      <c r="M2388">
        <v>235.3</v>
      </c>
      <c r="N2388">
        <v>131</v>
      </c>
      <c r="O2388">
        <v>10.59</v>
      </c>
      <c r="P2388">
        <v>11.8</v>
      </c>
      <c r="Q2388">
        <v>4</v>
      </c>
      <c r="R2388">
        <v>3.19</v>
      </c>
      <c r="S2388">
        <v>0</v>
      </c>
      <c r="T2388" t="b">
        <v>0</v>
      </c>
    </row>
    <row r="2389" spans="1:20">
      <c r="A2389" t="s">
        <v>92</v>
      </c>
      <c r="B2389">
        <v>122</v>
      </c>
      <c r="C2389">
        <v>415</v>
      </c>
      <c r="D2389" t="s">
        <v>63</v>
      </c>
      <c r="E2389" t="s">
        <v>62</v>
      </c>
      <c r="F2389">
        <v>0</v>
      </c>
      <c r="G2389">
        <v>146.3</v>
      </c>
      <c r="H2389">
        <v>117</v>
      </c>
      <c r="I2389">
        <v>24.87</v>
      </c>
      <c r="J2389">
        <v>218.7</v>
      </c>
      <c r="K2389">
        <v>93</v>
      </c>
      <c r="L2389">
        <v>18.59</v>
      </c>
      <c r="M2389">
        <v>236</v>
      </c>
      <c r="N2389">
        <v>97</v>
      </c>
      <c r="O2389">
        <v>10.62</v>
      </c>
      <c r="P2389">
        <v>11.5</v>
      </c>
      <c r="Q2389">
        <v>5</v>
      </c>
      <c r="R2389">
        <v>3.11</v>
      </c>
      <c r="S2389">
        <v>1</v>
      </c>
      <c r="T2389" t="b">
        <v>0</v>
      </c>
    </row>
    <row r="2390" spans="1:20">
      <c r="A2390" t="s">
        <v>76</v>
      </c>
      <c r="B2390">
        <v>132</v>
      </c>
      <c r="C2390">
        <v>408</v>
      </c>
      <c r="D2390" t="s">
        <v>62</v>
      </c>
      <c r="E2390" t="s">
        <v>62</v>
      </c>
      <c r="F2390">
        <v>0</v>
      </c>
      <c r="G2390">
        <v>195.1</v>
      </c>
      <c r="H2390">
        <v>100</v>
      </c>
      <c r="I2390">
        <v>33.17</v>
      </c>
      <c r="J2390">
        <v>148.8</v>
      </c>
      <c r="K2390">
        <v>95</v>
      </c>
      <c r="L2390">
        <v>12.65</v>
      </c>
      <c r="M2390">
        <v>224.5</v>
      </c>
      <c r="N2390">
        <v>117</v>
      </c>
      <c r="O2390">
        <v>10.1</v>
      </c>
      <c r="P2390">
        <v>6.7</v>
      </c>
      <c r="Q2390">
        <v>2</v>
      </c>
      <c r="R2390">
        <v>1.81</v>
      </c>
      <c r="S2390">
        <v>0</v>
      </c>
      <c r="T2390" t="b">
        <v>0</v>
      </c>
    </row>
    <row r="2391" spans="1:20">
      <c r="A2391" t="s">
        <v>97</v>
      </c>
      <c r="B2391">
        <v>83</v>
      </c>
      <c r="C2391">
        <v>510</v>
      </c>
      <c r="D2391" t="s">
        <v>62</v>
      </c>
      <c r="E2391" t="s">
        <v>62</v>
      </c>
      <c r="F2391">
        <v>0</v>
      </c>
      <c r="G2391">
        <v>208.9</v>
      </c>
      <c r="H2391">
        <v>71</v>
      </c>
      <c r="I2391">
        <v>35.51</v>
      </c>
      <c r="J2391">
        <v>214.8</v>
      </c>
      <c r="K2391">
        <v>92</v>
      </c>
      <c r="L2391">
        <v>18.26</v>
      </c>
      <c r="M2391">
        <v>247.9</v>
      </c>
      <c r="N2391">
        <v>108</v>
      </c>
      <c r="O2391">
        <v>11.16</v>
      </c>
      <c r="P2391">
        <v>13</v>
      </c>
      <c r="Q2391">
        <v>5</v>
      </c>
      <c r="R2391">
        <v>3.51</v>
      </c>
      <c r="S2391">
        <v>1</v>
      </c>
      <c r="T2391" t="b">
        <v>0</v>
      </c>
    </row>
    <row r="2392" spans="1:20">
      <c r="A2392" t="s">
        <v>114</v>
      </c>
      <c r="B2392">
        <v>99</v>
      </c>
      <c r="C2392">
        <v>408</v>
      </c>
      <c r="D2392" t="s">
        <v>62</v>
      </c>
      <c r="E2392" t="s">
        <v>62</v>
      </c>
      <c r="F2392">
        <v>0</v>
      </c>
      <c r="G2392">
        <v>135.7</v>
      </c>
      <c r="H2392">
        <v>107</v>
      </c>
      <c r="I2392">
        <v>23.07</v>
      </c>
      <c r="J2392">
        <v>208.4</v>
      </c>
      <c r="K2392">
        <v>103</v>
      </c>
      <c r="L2392">
        <v>17.71</v>
      </c>
      <c r="M2392">
        <v>209</v>
      </c>
      <c r="N2392">
        <v>95</v>
      </c>
      <c r="O2392">
        <v>9.4</v>
      </c>
      <c r="P2392">
        <v>8.8</v>
      </c>
      <c r="Q2392">
        <v>3</v>
      </c>
      <c r="R2392">
        <v>2.38</v>
      </c>
      <c r="S2392">
        <v>7</v>
      </c>
      <c r="T2392" t="b">
        <v>1</v>
      </c>
    </row>
    <row r="2393" spans="1:20">
      <c r="A2393" t="s">
        <v>61</v>
      </c>
      <c r="B2393">
        <v>84</v>
      </c>
      <c r="C2393">
        <v>415</v>
      </c>
      <c r="D2393" t="s">
        <v>62</v>
      </c>
      <c r="E2393" t="s">
        <v>62</v>
      </c>
      <c r="F2393">
        <v>0</v>
      </c>
      <c r="G2393">
        <v>225.9</v>
      </c>
      <c r="H2393">
        <v>86</v>
      </c>
      <c r="I2393">
        <v>38.4</v>
      </c>
      <c r="J2393">
        <v>275.6</v>
      </c>
      <c r="K2393">
        <v>105</v>
      </c>
      <c r="L2393">
        <v>23.43</v>
      </c>
      <c r="M2393">
        <v>201.4</v>
      </c>
      <c r="N2393">
        <v>108</v>
      </c>
      <c r="O2393">
        <v>9.06</v>
      </c>
      <c r="P2393">
        <v>14.3</v>
      </c>
      <c r="Q2393">
        <v>3</v>
      </c>
      <c r="R2393">
        <v>3.86</v>
      </c>
      <c r="S2393">
        <v>3</v>
      </c>
      <c r="T2393" t="b">
        <v>1</v>
      </c>
    </row>
    <row r="2394" spans="1:20">
      <c r="A2394" t="s">
        <v>106</v>
      </c>
      <c r="B2394">
        <v>46</v>
      </c>
      <c r="C2394">
        <v>415</v>
      </c>
      <c r="D2394" t="s">
        <v>62</v>
      </c>
      <c r="E2394" t="s">
        <v>62</v>
      </c>
      <c r="F2394">
        <v>0</v>
      </c>
      <c r="G2394">
        <v>122.2</v>
      </c>
      <c r="H2394">
        <v>67</v>
      </c>
      <c r="I2394">
        <v>20.77</v>
      </c>
      <c r="J2394">
        <v>167.2</v>
      </c>
      <c r="K2394">
        <v>62</v>
      </c>
      <c r="L2394">
        <v>14.21</v>
      </c>
      <c r="M2394">
        <v>194.8</v>
      </c>
      <c r="N2394">
        <v>98</v>
      </c>
      <c r="O2394">
        <v>8.77</v>
      </c>
      <c r="P2394">
        <v>9.7</v>
      </c>
      <c r="Q2394">
        <v>6</v>
      </c>
      <c r="R2394">
        <v>2.62</v>
      </c>
      <c r="S2394">
        <v>1</v>
      </c>
      <c r="T2394" t="b">
        <v>0</v>
      </c>
    </row>
    <row r="2395" spans="1:20">
      <c r="A2395" t="s">
        <v>64</v>
      </c>
      <c r="B2395">
        <v>87</v>
      </c>
      <c r="C2395">
        <v>510</v>
      </c>
      <c r="D2395" t="s">
        <v>62</v>
      </c>
      <c r="E2395" t="s">
        <v>62</v>
      </c>
      <c r="F2395">
        <v>0</v>
      </c>
      <c r="G2395">
        <v>153.3</v>
      </c>
      <c r="H2395">
        <v>106</v>
      </c>
      <c r="I2395">
        <v>26.06</v>
      </c>
      <c r="J2395">
        <v>224.5</v>
      </c>
      <c r="K2395">
        <v>117</v>
      </c>
      <c r="L2395">
        <v>19.08</v>
      </c>
      <c r="M2395">
        <v>273.4</v>
      </c>
      <c r="N2395">
        <v>152</v>
      </c>
      <c r="O2395">
        <v>12.3</v>
      </c>
      <c r="P2395">
        <v>8.9</v>
      </c>
      <c r="Q2395">
        <v>5</v>
      </c>
      <c r="R2395">
        <v>2.4</v>
      </c>
      <c r="S2395">
        <v>2</v>
      </c>
      <c r="T2395" t="b">
        <v>0</v>
      </c>
    </row>
    <row r="2396" spans="1:20">
      <c r="A2396" t="s">
        <v>61</v>
      </c>
      <c r="B2396">
        <v>73</v>
      </c>
      <c r="C2396">
        <v>408</v>
      </c>
      <c r="D2396" t="s">
        <v>62</v>
      </c>
      <c r="E2396" t="s">
        <v>62</v>
      </c>
      <c r="F2396">
        <v>0</v>
      </c>
      <c r="G2396">
        <v>194.8</v>
      </c>
      <c r="H2396">
        <v>112</v>
      </c>
      <c r="I2396">
        <v>33.12</v>
      </c>
      <c r="J2396">
        <v>167.2</v>
      </c>
      <c r="K2396">
        <v>85</v>
      </c>
      <c r="L2396">
        <v>14.21</v>
      </c>
      <c r="M2396">
        <v>100.3</v>
      </c>
      <c r="N2396">
        <v>61</v>
      </c>
      <c r="O2396">
        <v>4.51</v>
      </c>
      <c r="P2396">
        <v>10.8</v>
      </c>
      <c r="Q2396">
        <v>6</v>
      </c>
      <c r="R2396">
        <v>2.92</v>
      </c>
      <c r="S2396">
        <v>1</v>
      </c>
      <c r="T2396" t="b">
        <v>0</v>
      </c>
    </row>
    <row r="2397" spans="1:20">
      <c r="A2397" t="s">
        <v>96</v>
      </c>
      <c r="B2397">
        <v>7</v>
      </c>
      <c r="C2397">
        <v>415</v>
      </c>
      <c r="D2397" t="s">
        <v>62</v>
      </c>
      <c r="E2397" t="s">
        <v>62</v>
      </c>
      <c r="F2397">
        <v>0</v>
      </c>
      <c r="G2397">
        <v>206.7</v>
      </c>
      <c r="H2397">
        <v>87</v>
      </c>
      <c r="I2397">
        <v>35.14</v>
      </c>
      <c r="J2397">
        <v>281.1</v>
      </c>
      <c r="K2397">
        <v>83</v>
      </c>
      <c r="L2397">
        <v>23.89</v>
      </c>
      <c r="M2397">
        <v>158.5</v>
      </c>
      <c r="N2397">
        <v>77</v>
      </c>
      <c r="O2397">
        <v>7.13</v>
      </c>
      <c r="P2397">
        <v>11</v>
      </c>
      <c r="Q2397">
        <v>5</v>
      </c>
      <c r="R2397">
        <v>2.97</v>
      </c>
      <c r="S2397">
        <v>3</v>
      </c>
      <c r="T2397" t="b">
        <v>0</v>
      </c>
    </row>
    <row r="2398" spans="1:20">
      <c r="A2398" t="s">
        <v>94</v>
      </c>
      <c r="B2398">
        <v>89</v>
      </c>
      <c r="C2398">
        <v>415</v>
      </c>
      <c r="D2398" t="s">
        <v>62</v>
      </c>
      <c r="E2398" t="s">
        <v>63</v>
      </c>
      <c r="F2398">
        <v>12</v>
      </c>
      <c r="G2398">
        <v>188</v>
      </c>
      <c r="H2398">
        <v>105</v>
      </c>
      <c r="I2398">
        <v>31.96</v>
      </c>
      <c r="J2398">
        <v>151.3</v>
      </c>
      <c r="K2398">
        <v>107</v>
      </c>
      <c r="L2398">
        <v>12.86</v>
      </c>
      <c r="M2398">
        <v>201.9</v>
      </c>
      <c r="N2398">
        <v>132</v>
      </c>
      <c r="O2398">
        <v>9.09</v>
      </c>
      <c r="P2398">
        <v>10.5</v>
      </c>
      <c r="Q2398">
        <v>3</v>
      </c>
      <c r="R2398">
        <v>2.84</v>
      </c>
      <c r="S2398">
        <v>2</v>
      </c>
      <c r="T2398" t="b">
        <v>0</v>
      </c>
    </row>
    <row r="2399" spans="1:20">
      <c r="A2399" t="s">
        <v>106</v>
      </c>
      <c r="B2399">
        <v>131</v>
      </c>
      <c r="C2399">
        <v>408</v>
      </c>
      <c r="D2399" t="s">
        <v>63</v>
      </c>
      <c r="E2399" t="s">
        <v>62</v>
      </c>
      <c r="F2399">
        <v>0</v>
      </c>
      <c r="G2399">
        <v>122.3</v>
      </c>
      <c r="H2399">
        <v>83</v>
      </c>
      <c r="I2399">
        <v>20.79</v>
      </c>
      <c r="J2399">
        <v>118.8</v>
      </c>
      <c r="K2399">
        <v>94</v>
      </c>
      <c r="L2399">
        <v>10.1</v>
      </c>
      <c r="M2399">
        <v>147.9</v>
      </c>
      <c r="N2399">
        <v>95</v>
      </c>
      <c r="O2399">
        <v>6.66</v>
      </c>
      <c r="P2399">
        <v>13.7</v>
      </c>
      <c r="Q2399">
        <v>3</v>
      </c>
      <c r="R2399">
        <v>3.7</v>
      </c>
      <c r="S2399">
        <v>3</v>
      </c>
      <c r="T2399" t="b">
        <v>1</v>
      </c>
    </row>
    <row r="2400" spans="1:20">
      <c r="A2400" t="s">
        <v>79</v>
      </c>
      <c r="B2400">
        <v>105</v>
      </c>
      <c r="C2400">
        <v>415</v>
      </c>
      <c r="D2400" t="s">
        <v>62</v>
      </c>
      <c r="E2400" t="s">
        <v>62</v>
      </c>
      <c r="F2400">
        <v>0</v>
      </c>
      <c r="G2400">
        <v>259.3</v>
      </c>
      <c r="H2400">
        <v>96</v>
      </c>
      <c r="I2400">
        <v>44.08</v>
      </c>
      <c r="J2400">
        <v>175.2</v>
      </c>
      <c r="K2400">
        <v>97</v>
      </c>
      <c r="L2400">
        <v>14.89</v>
      </c>
      <c r="M2400">
        <v>222.4</v>
      </c>
      <c r="N2400">
        <v>36</v>
      </c>
      <c r="O2400">
        <v>10.01</v>
      </c>
      <c r="P2400">
        <v>12</v>
      </c>
      <c r="Q2400">
        <v>5</v>
      </c>
      <c r="R2400">
        <v>3.24</v>
      </c>
      <c r="S2400">
        <v>3</v>
      </c>
      <c r="T2400" t="b">
        <v>0</v>
      </c>
    </row>
    <row r="2401" spans="1:20">
      <c r="A2401" t="s">
        <v>77</v>
      </c>
      <c r="B2401">
        <v>47</v>
      </c>
      <c r="C2401">
        <v>415</v>
      </c>
      <c r="D2401" t="s">
        <v>62</v>
      </c>
      <c r="E2401" t="s">
        <v>63</v>
      </c>
      <c r="F2401">
        <v>28</v>
      </c>
      <c r="G2401">
        <v>172.9</v>
      </c>
      <c r="H2401">
        <v>109</v>
      </c>
      <c r="I2401">
        <v>29.39</v>
      </c>
      <c r="J2401">
        <v>137.6</v>
      </c>
      <c r="K2401">
        <v>94</v>
      </c>
      <c r="L2401">
        <v>11.7</v>
      </c>
      <c r="M2401">
        <v>203.8</v>
      </c>
      <c r="N2401">
        <v>109</v>
      </c>
      <c r="O2401">
        <v>9.17</v>
      </c>
      <c r="P2401">
        <v>8.3</v>
      </c>
      <c r="Q2401">
        <v>6</v>
      </c>
      <c r="R2401">
        <v>2.24</v>
      </c>
      <c r="S2401">
        <v>1</v>
      </c>
      <c r="T2401" t="b">
        <v>0</v>
      </c>
    </row>
    <row r="2402" spans="1:20">
      <c r="A2402" t="s">
        <v>94</v>
      </c>
      <c r="B2402">
        <v>161</v>
      </c>
      <c r="C2402">
        <v>408</v>
      </c>
      <c r="D2402" t="s">
        <v>62</v>
      </c>
      <c r="E2402" t="s">
        <v>62</v>
      </c>
      <c r="F2402">
        <v>0</v>
      </c>
      <c r="G2402">
        <v>196.6</v>
      </c>
      <c r="H2402">
        <v>73</v>
      </c>
      <c r="I2402">
        <v>33.42</v>
      </c>
      <c r="J2402">
        <v>170.2</v>
      </c>
      <c r="K2402">
        <v>79</v>
      </c>
      <c r="L2402">
        <v>14.47</v>
      </c>
      <c r="M2402">
        <v>194.3</v>
      </c>
      <c r="N2402">
        <v>79</v>
      </c>
      <c r="O2402">
        <v>8.74</v>
      </c>
      <c r="P2402">
        <v>12.5</v>
      </c>
      <c r="Q2402">
        <v>3</v>
      </c>
      <c r="R2402">
        <v>3.38</v>
      </c>
      <c r="S2402">
        <v>1</v>
      </c>
      <c r="T2402" t="b">
        <v>0</v>
      </c>
    </row>
    <row r="2403" spans="1:20">
      <c r="A2403" t="s">
        <v>83</v>
      </c>
      <c r="B2403">
        <v>69</v>
      </c>
      <c r="C2403">
        <v>415</v>
      </c>
      <c r="D2403" t="s">
        <v>62</v>
      </c>
      <c r="E2403" t="s">
        <v>63</v>
      </c>
      <c r="F2403">
        <v>31</v>
      </c>
      <c r="G2403">
        <v>194.9</v>
      </c>
      <c r="H2403">
        <v>63</v>
      </c>
      <c r="I2403">
        <v>33.13</v>
      </c>
      <c r="J2403">
        <v>191.6</v>
      </c>
      <c r="K2403">
        <v>90</v>
      </c>
      <c r="L2403">
        <v>16.29</v>
      </c>
      <c r="M2403">
        <v>153</v>
      </c>
      <c r="N2403">
        <v>129</v>
      </c>
      <c r="O2403">
        <v>6.89</v>
      </c>
      <c r="P2403">
        <v>13.2</v>
      </c>
      <c r="Q2403">
        <v>2</v>
      </c>
      <c r="R2403">
        <v>3.56</v>
      </c>
      <c r="S2403">
        <v>2</v>
      </c>
      <c r="T2403" t="b">
        <v>0</v>
      </c>
    </row>
    <row r="2404" spans="1:20">
      <c r="A2404" t="s">
        <v>113</v>
      </c>
      <c r="B2404">
        <v>87</v>
      </c>
      <c r="C2404">
        <v>408</v>
      </c>
      <c r="D2404" t="s">
        <v>62</v>
      </c>
      <c r="E2404" t="s">
        <v>63</v>
      </c>
      <c r="F2404">
        <v>30</v>
      </c>
      <c r="G2404">
        <v>262.8</v>
      </c>
      <c r="H2404">
        <v>114</v>
      </c>
      <c r="I2404">
        <v>44.68</v>
      </c>
      <c r="J2404">
        <v>215.8</v>
      </c>
      <c r="K2404">
        <v>130</v>
      </c>
      <c r="L2404">
        <v>18.34</v>
      </c>
      <c r="M2404">
        <v>154.8</v>
      </c>
      <c r="N2404">
        <v>88</v>
      </c>
      <c r="O2404">
        <v>6.97</v>
      </c>
      <c r="P2404">
        <v>7.8</v>
      </c>
      <c r="Q2404">
        <v>2</v>
      </c>
      <c r="R2404">
        <v>2.11</v>
      </c>
      <c r="S2404">
        <v>0</v>
      </c>
      <c r="T2404" t="b">
        <v>0</v>
      </c>
    </row>
    <row r="2405" spans="1:20">
      <c r="A2405" t="s">
        <v>82</v>
      </c>
      <c r="B2405">
        <v>71</v>
      </c>
      <c r="C2405">
        <v>415</v>
      </c>
      <c r="D2405" t="s">
        <v>62</v>
      </c>
      <c r="E2405" t="s">
        <v>62</v>
      </c>
      <c r="F2405">
        <v>0</v>
      </c>
      <c r="G2405">
        <v>211.2</v>
      </c>
      <c r="H2405">
        <v>70</v>
      </c>
      <c r="I2405">
        <v>35.9</v>
      </c>
      <c r="J2405">
        <v>252.7</v>
      </c>
      <c r="K2405">
        <v>122</v>
      </c>
      <c r="L2405">
        <v>21.48</v>
      </c>
      <c r="M2405">
        <v>225.8</v>
      </c>
      <c r="N2405">
        <v>104</v>
      </c>
      <c r="O2405">
        <v>10.16</v>
      </c>
      <c r="P2405">
        <v>12.3</v>
      </c>
      <c r="Q2405">
        <v>3</v>
      </c>
      <c r="R2405">
        <v>3.32</v>
      </c>
      <c r="S2405">
        <v>0</v>
      </c>
      <c r="T2405" t="b">
        <v>0</v>
      </c>
    </row>
    <row r="2406" spans="1:20">
      <c r="A2406" t="s">
        <v>107</v>
      </c>
      <c r="B2406">
        <v>76</v>
      </c>
      <c r="C2406">
        <v>415</v>
      </c>
      <c r="D2406" t="s">
        <v>62</v>
      </c>
      <c r="E2406" t="s">
        <v>62</v>
      </c>
      <c r="F2406">
        <v>0</v>
      </c>
      <c r="G2406">
        <v>204</v>
      </c>
      <c r="H2406">
        <v>69</v>
      </c>
      <c r="I2406">
        <v>34.68</v>
      </c>
      <c r="J2406">
        <v>225.1</v>
      </c>
      <c r="K2406">
        <v>110</v>
      </c>
      <c r="L2406">
        <v>19.13</v>
      </c>
      <c r="M2406">
        <v>240.3</v>
      </c>
      <c r="N2406">
        <v>85</v>
      </c>
      <c r="O2406">
        <v>10.81</v>
      </c>
      <c r="P2406">
        <v>9.6</v>
      </c>
      <c r="Q2406">
        <v>5</v>
      </c>
      <c r="R2406">
        <v>2.59</v>
      </c>
      <c r="S2406">
        <v>1</v>
      </c>
      <c r="T2406" t="b">
        <v>0</v>
      </c>
    </row>
    <row r="2407" spans="1:20">
      <c r="A2407" t="s">
        <v>65</v>
      </c>
      <c r="B2407">
        <v>87</v>
      </c>
      <c r="C2407">
        <v>510</v>
      </c>
      <c r="D2407" t="s">
        <v>62</v>
      </c>
      <c r="E2407" t="s">
        <v>62</v>
      </c>
      <c r="F2407">
        <v>0</v>
      </c>
      <c r="G2407">
        <v>223.2</v>
      </c>
      <c r="H2407">
        <v>109</v>
      </c>
      <c r="I2407">
        <v>37.94</v>
      </c>
      <c r="J2407">
        <v>127.5</v>
      </c>
      <c r="K2407">
        <v>86</v>
      </c>
      <c r="L2407">
        <v>10.84</v>
      </c>
      <c r="M2407">
        <v>289.3</v>
      </c>
      <c r="N2407">
        <v>83</v>
      </c>
      <c r="O2407">
        <v>13.02</v>
      </c>
      <c r="P2407">
        <v>14.5</v>
      </c>
      <c r="Q2407">
        <v>4</v>
      </c>
      <c r="R2407">
        <v>3.92</v>
      </c>
      <c r="S2407">
        <v>3</v>
      </c>
      <c r="T2407" t="b">
        <v>0</v>
      </c>
    </row>
    <row r="2408" spans="1:20">
      <c r="A2408" t="s">
        <v>86</v>
      </c>
      <c r="B2408">
        <v>117</v>
      </c>
      <c r="C2408">
        <v>408</v>
      </c>
      <c r="D2408" t="s">
        <v>62</v>
      </c>
      <c r="E2408" t="s">
        <v>62</v>
      </c>
      <c r="F2408">
        <v>0</v>
      </c>
      <c r="G2408">
        <v>119</v>
      </c>
      <c r="H2408">
        <v>82</v>
      </c>
      <c r="I2408">
        <v>20.23</v>
      </c>
      <c r="J2408">
        <v>187.5</v>
      </c>
      <c r="K2408">
        <v>108</v>
      </c>
      <c r="L2408">
        <v>15.94</v>
      </c>
      <c r="M2408">
        <v>189.3</v>
      </c>
      <c r="N2408">
        <v>97</v>
      </c>
      <c r="O2408">
        <v>8.52</v>
      </c>
      <c r="P2408">
        <v>11.5</v>
      </c>
      <c r="Q2408">
        <v>3</v>
      </c>
      <c r="R2408">
        <v>3.11</v>
      </c>
      <c r="S2408">
        <v>1</v>
      </c>
      <c r="T2408" t="b">
        <v>0</v>
      </c>
    </row>
    <row r="2409" spans="1:20">
      <c r="A2409" t="s">
        <v>101</v>
      </c>
      <c r="B2409">
        <v>177</v>
      </c>
      <c r="C2409">
        <v>415</v>
      </c>
      <c r="D2409" t="s">
        <v>62</v>
      </c>
      <c r="E2409" t="s">
        <v>62</v>
      </c>
      <c r="F2409">
        <v>0</v>
      </c>
      <c r="G2409">
        <v>266.1</v>
      </c>
      <c r="H2409">
        <v>91</v>
      </c>
      <c r="I2409">
        <v>45.24</v>
      </c>
      <c r="J2409">
        <v>225.2</v>
      </c>
      <c r="K2409">
        <v>79</v>
      </c>
      <c r="L2409">
        <v>19.14</v>
      </c>
      <c r="M2409">
        <v>224.7</v>
      </c>
      <c r="N2409">
        <v>58</v>
      </c>
      <c r="O2409">
        <v>10.11</v>
      </c>
      <c r="P2409">
        <v>8.9</v>
      </c>
      <c r="Q2409">
        <v>8</v>
      </c>
      <c r="R2409">
        <v>2.4</v>
      </c>
      <c r="S2409">
        <v>3</v>
      </c>
      <c r="T2409" t="b">
        <v>1</v>
      </c>
    </row>
    <row r="2410" spans="1:20">
      <c r="A2410" t="s">
        <v>71</v>
      </c>
      <c r="B2410">
        <v>95</v>
      </c>
      <c r="C2410">
        <v>415</v>
      </c>
      <c r="D2410" t="s">
        <v>62</v>
      </c>
      <c r="E2410" t="s">
        <v>62</v>
      </c>
      <c r="F2410">
        <v>0</v>
      </c>
      <c r="G2410">
        <v>134.4</v>
      </c>
      <c r="H2410">
        <v>104</v>
      </c>
      <c r="I2410">
        <v>22.85</v>
      </c>
      <c r="J2410">
        <v>152.4</v>
      </c>
      <c r="K2410">
        <v>95</v>
      </c>
      <c r="L2410">
        <v>12.95</v>
      </c>
      <c r="M2410">
        <v>236.5</v>
      </c>
      <c r="N2410">
        <v>80</v>
      </c>
      <c r="O2410">
        <v>10.64</v>
      </c>
      <c r="P2410">
        <v>9.4</v>
      </c>
      <c r="Q2410">
        <v>3</v>
      </c>
      <c r="R2410">
        <v>2.54</v>
      </c>
      <c r="S2410">
        <v>1</v>
      </c>
      <c r="T2410" t="b">
        <v>0</v>
      </c>
    </row>
    <row r="2411" spans="1:20">
      <c r="A2411" t="s">
        <v>64</v>
      </c>
      <c r="B2411">
        <v>66</v>
      </c>
      <c r="C2411">
        <v>415</v>
      </c>
      <c r="D2411" t="s">
        <v>62</v>
      </c>
      <c r="E2411" t="s">
        <v>62</v>
      </c>
      <c r="F2411">
        <v>0</v>
      </c>
      <c r="G2411">
        <v>170.5</v>
      </c>
      <c r="H2411">
        <v>103</v>
      </c>
      <c r="I2411">
        <v>28.99</v>
      </c>
      <c r="J2411">
        <v>254.3</v>
      </c>
      <c r="K2411">
        <v>77</v>
      </c>
      <c r="L2411">
        <v>21.62</v>
      </c>
      <c r="M2411">
        <v>197.3</v>
      </c>
      <c r="N2411">
        <v>138</v>
      </c>
      <c r="O2411">
        <v>8.88</v>
      </c>
      <c r="P2411">
        <v>10.5</v>
      </c>
      <c r="Q2411">
        <v>2</v>
      </c>
      <c r="R2411">
        <v>2.84</v>
      </c>
      <c r="S2411">
        <v>2</v>
      </c>
      <c r="T2411" t="b">
        <v>0</v>
      </c>
    </row>
    <row r="2412" spans="1:20">
      <c r="A2412" t="s">
        <v>69</v>
      </c>
      <c r="B2412">
        <v>110</v>
      </c>
      <c r="C2412">
        <v>415</v>
      </c>
      <c r="D2412" t="s">
        <v>62</v>
      </c>
      <c r="E2412" t="s">
        <v>62</v>
      </c>
      <c r="F2412">
        <v>0</v>
      </c>
      <c r="G2412">
        <v>178.5</v>
      </c>
      <c r="H2412">
        <v>124</v>
      </c>
      <c r="I2412">
        <v>30.35</v>
      </c>
      <c r="J2412">
        <v>146.9</v>
      </c>
      <c r="K2412">
        <v>141</v>
      </c>
      <c r="L2412">
        <v>12.49</v>
      </c>
      <c r="M2412">
        <v>217.1</v>
      </c>
      <c r="N2412">
        <v>102</v>
      </c>
      <c r="O2412">
        <v>9.77</v>
      </c>
      <c r="P2412">
        <v>9.9</v>
      </c>
      <c r="Q2412">
        <v>7</v>
      </c>
      <c r="R2412">
        <v>2.67</v>
      </c>
      <c r="S2412">
        <v>1</v>
      </c>
      <c r="T2412" t="b">
        <v>0</v>
      </c>
    </row>
    <row r="2413" spans="1:20">
      <c r="A2413" t="s">
        <v>79</v>
      </c>
      <c r="B2413">
        <v>133</v>
      </c>
      <c r="C2413">
        <v>408</v>
      </c>
      <c r="D2413" t="s">
        <v>62</v>
      </c>
      <c r="E2413" t="s">
        <v>63</v>
      </c>
      <c r="F2413">
        <v>39</v>
      </c>
      <c r="G2413">
        <v>239.9</v>
      </c>
      <c r="H2413">
        <v>107</v>
      </c>
      <c r="I2413">
        <v>40.78</v>
      </c>
      <c r="J2413">
        <v>253.8</v>
      </c>
      <c r="K2413">
        <v>77</v>
      </c>
      <c r="L2413">
        <v>21.57</v>
      </c>
      <c r="M2413">
        <v>128.7</v>
      </c>
      <c r="N2413">
        <v>85</v>
      </c>
      <c r="O2413">
        <v>5.79</v>
      </c>
      <c r="P2413">
        <v>6.7</v>
      </c>
      <c r="Q2413">
        <v>3</v>
      </c>
      <c r="R2413">
        <v>1.81</v>
      </c>
      <c r="S2413">
        <v>5</v>
      </c>
      <c r="T2413" t="b">
        <v>0</v>
      </c>
    </row>
    <row r="2414" spans="1:20">
      <c r="A2414" t="s">
        <v>81</v>
      </c>
      <c r="B2414">
        <v>185</v>
      </c>
      <c r="C2414">
        <v>408</v>
      </c>
      <c r="D2414" t="s">
        <v>62</v>
      </c>
      <c r="E2414" t="s">
        <v>62</v>
      </c>
      <c r="F2414">
        <v>0</v>
      </c>
      <c r="G2414">
        <v>55.6</v>
      </c>
      <c r="H2414">
        <v>97</v>
      </c>
      <c r="I2414">
        <v>9.45</v>
      </c>
      <c r="J2414">
        <v>288.7</v>
      </c>
      <c r="K2414">
        <v>83</v>
      </c>
      <c r="L2414">
        <v>24.54</v>
      </c>
      <c r="M2414">
        <v>111.2</v>
      </c>
      <c r="N2414">
        <v>110</v>
      </c>
      <c r="O2414">
        <v>5</v>
      </c>
      <c r="P2414">
        <v>12.1</v>
      </c>
      <c r="Q2414">
        <v>3</v>
      </c>
      <c r="R2414">
        <v>3.27</v>
      </c>
      <c r="S2414">
        <v>2</v>
      </c>
      <c r="T2414" t="b">
        <v>0</v>
      </c>
    </row>
    <row r="2415" spans="1:20">
      <c r="A2415" t="s">
        <v>106</v>
      </c>
      <c r="B2415">
        <v>91</v>
      </c>
      <c r="C2415">
        <v>510</v>
      </c>
      <c r="D2415" t="s">
        <v>62</v>
      </c>
      <c r="E2415" t="s">
        <v>62</v>
      </c>
      <c r="F2415">
        <v>0</v>
      </c>
      <c r="G2415">
        <v>109.8</v>
      </c>
      <c r="H2415">
        <v>100</v>
      </c>
      <c r="I2415">
        <v>18.67</v>
      </c>
      <c r="J2415">
        <v>189.6</v>
      </c>
      <c r="K2415">
        <v>104</v>
      </c>
      <c r="L2415">
        <v>16.12</v>
      </c>
      <c r="M2415">
        <v>206.7</v>
      </c>
      <c r="N2415">
        <v>85</v>
      </c>
      <c r="O2415">
        <v>9.3</v>
      </c>
      <c r="P2415">
        <v>11.1</v>
      </c>
      <c r="Q2415">
        <v>3</v>
      </c>
      <c r="R2415">
        <v>3</v>
      </c>
      <c r="S2415">
        <v>1</v>
      </c>
      <c r="T2415" t="b">
        <v>0</v>
      </c>
    </row>
    <row r="2416" spans="1:20">
      <c r="A2416" t="s">
        <v>71</v>
      </c>
      <c r="B2416">
        <v>131</v>
      </c>
      <c r="C2416">
        <v>415</v>
      </c>
      <c r="D2416" t="s">
        <v>62</v>
      </c>
      <c r="E2416" t="s">
        <v>62</v>
      </c>
      <c r="F2416">
        <v>0</v>
      </c>
      <c r="G2416">
        <v>196.1</v>
      </c>
      <c r="H2416">
        <v>89</v>
      </c>
      <c r="I2416">
        <v>33.34</v>
      </c>
      <c r="J2416">
        <v>185.5</v>
      </c>
      <c r="K2416">
        <v>87</v>
      </c>
      <c r="L2416">
        <v>15.77</v>
      </c>
      <c r="M2416">
        <v>250</v>
      </c>
      <c r="N2416">
        <v>132</v>
      </c>
      <c r="O2416">
        <v>11.25</v>
      </c>
      <c r="P2416">
        <v>5.2</v>
      </c>
      <c r="Q2416">
        <v>6</v>
      </c>
      <c r="R2416">
        <v>1.4</v>
      </c>
      <c r="S2416">
        <v>2</v>
      </c>
      <c r="T2416" t="b">
        <v>0</v>
      </c>
    </row>
    <row r="2417" spans="1:20">
      <c r="A2417" t="s">
        <v>88</v>
      </c>
      <c r="B2417">
        <v>153</v>
      </c>
      <c r="C2417">
        <v>510</v>
      </c>
      <c r="D2417" t="s">
        <v>62</v>
      </c>
      <c r="E2417" t="s">
        <v>62</v>
      </c>
      <c r="F2417">
        <v>0</v>
      </c>
      <c r="G2417">
        <v>166.8</v>
      </c>
      <c r="H2417">
        <v>127</v>
      </c>
      <c r="I2417">
        <v>28.36</v>
      </c>
      <c r="J2417">
        <v>143.5</v>
      </c>
      <c r="K2417">
        <v>121</v>
      </c>
      <c r="L2417">
        <v>12.2</v>
      </c>
      <c r="M2417">
        <v>210.7</v>
      </c>
      <c r="N2417">
        <v>130</v>
      </c>
      <c r="O2417">
        <v>9.48</v>
      </c>
      <c r="P2417">
        <v>11.8</v>
      </c>
      <c r="Q2417">
        <v>4</v>
      </c>
      <c r="R2417">
        <v>3.19</v>
      </c>
      <c r="S2417">
        <v>0</v>
      </c>
      <c r="T2417" t="b">
        <v>0</v>
      </c>
    </row>
    <row r="2418" spans="1:20">
      <c r="A2418" t="s">
        <v>68</v>
      </c>
      <c r="B2418">
        <v>132</v>
      </c>
      <c r="C2418">
        <v>415</v>
      </c>
      <c r="D2418" t="s">
        <v>62</v>
      </c>
      <c r="E2418" t="s">
        <v>63</v>
      </c>
      <c r="F2418">
        <v>25</v>
      </c>
      <c r="G2418">
        <v>113.2</v>
      </c>
      <c r="H2418">
        <v>96</v>
      </c>
      <c r="I2418">
        <v>19.24</v>
      </c>
      <c r="J2418">
        <v>269.9</v>
      </c>
      <c r="K2418">
        <v>107</v>
      </c>
      <c r="L2418">
        <v>22.94</v>
      </c>
      <c r="M2418">
        <v>229.1</v>
      </c>
      <c r="N2418">
        <v>87</v>
      </c>
      <c r="O2418">
        <v>10.31</v>
      </c>
      <c r="P2418">
        <v>7.1</v>
      </c>
      <c r="Q2418">
        <v>7</v>
      </c>
      <c r="R2418">
        <v>1.92</v>
      </c>
      <c r="S2418">
        <v>2</v>
      </c>
      <c r="T2418" t="b">
        <v>0</v>
      </c>
    </row>
    <row r="2419" spans="1:20">
      <c r="A2419" t="s">
        <v>67</v>
      </c>
      <c r="B2419">
        <v>141</v>
      </c>
      <c r="C2419">
        <v>408</v>
      </c>
      <c r="D2419" t="s">
        <v>62</v>
      </c>
      <c r="E2419" t="s">
        <v>62</v>
      </c>
      <c r="F2419">
        <v>0</v>
      </c>
      <c r="G2419">
        <v>242.8</v>
      </c>
      <c r="H2419">
        <v>90</v>
      </c>
      <c r="I2419">
        <v>41.28</v>
      </c>
      <c r="J2419">
        <v>234.1</v>
      </c>
      <c r="K2419">
        <v>80</v>
      </c>
      <c r="L2419">
        <v>19.9</v>
      </c>
      <c r="M2419">
        <v>211.5</v>
      </c>
      <c r="N2419">
        <v>104</v>
      </c>
      <c r="O2419">
        <v>9.52</v>
      </c>
      <c r="P2419">
        <v>6</v>
      </c>
      <c r="Q2419">
        <v>3</v>
      </c>
      <c r="R2419">
        <v>1.62</v>
      </c>
      <c r="S2419">
        <v>5</v>
      </c>
      <c r="T2419" t="b">
        <v>0</v>
      </c>
    </row>
    <row r="2420" spans="1:20">
      <c r="A2420" t="s">
        <v>108</v>
      </c>
      <c r="B2420">
        <v>105</v>
      </c>
      <c r="C2420">
        <v>415</v>
      </c>
      <c r="D2420" t="s">
        <v>62</v>
      </c>
      <c r="E2420" t="s">
        <v>62</v>
      </c>
      <c r="F2420">
        <v>0</v>
      </c>
      <c r="G2420">
        <v>156.5</v>
      </c>
      <c r="H2420">
        <v>102</v>
      </c>
      <c r="I2420">
        <v>26.61</v>
      </c>
      <c r="J2420">
        <v>140.2</v>
      </c>
      <c r="K2420">
        <v>134</v>
      </c>
      <c r="L2420">
        <v>11.92</v>
      </c>
      <c r="M2420">
        <v>227.4</v>
      </c>
      <c r="N2420">
        <v>111</v>
      </c>
      <c r="O2420">
        <v>10.23</v>
      </c>
      <c r="P2420">
        <v>12.2</v>
      </c>
      <c r="Q2420">
        <v>2</v>
      </c>
      <c r="R2420">
        <v>3.29</v>
      </c>
      <c r="S2420">
        <v>2</v>
      </c>
      <c r="T2420" t="b">
        <v>0</v>
      </c>
    </row>
    <row r="2421" spans="1:20">
      <c r="A2421" t="s">
        <v>80</v>
      </c>
      <c r="B2421">
        <v>169</v>
      </c>
      <c r="C2421">
        <v>408</v>
      </c>
      <c r="D2421" t="s">
        <v>62</v>
      </c>
      <c r="E2421" t="s">
        <v>62</v>
      </c>
      <c r="F2421">
        <v>0</v>
      </c>
      <c r="G2421">
        <v>266.7</v>
      </c>
      <c r="H2421">
        <v>105</v>
      </c>
      <c r="I2421">
        <v>45.34</v>
      </c>
      <c r="J2421">
        <v>158.2</v>
      </c>
      <c r="K2421">
        <v>88</v>
      </c>
      <c r="L2421">
        <v>13.45</v>
      </c>
      <c r="M2421">
        <v>287.7</v>
      </c>
      <c r="N2421">
        <v>111</v>
      </c>
      <c r="O2421">
        <v>12.95</v>
      </c>
      <c r="P2421">
        <v>13.8</v>
      </c>
      <c r="Q2421">
        <v>3</v>
      </c>
      <c r="R2421">
        <v>3.73</v>
      </c>
      <c r="S2421">
        <v>3</v>
      </c>
      <c r="T2421" t="b">
        <v>1</v>
      </c>
    </row>
    <row r="2422" spans="1:20">
      <c r="A2422" t="s">
        <v>115</v>
      </c>
      <c r="B2422">
        <v>127</v>
      </c>
      <c r="C2422">
        <v>415</v>
      </c>
      <c r="D2422" t="s">
        <v>62</v>
      </c>
      <c r="E2422" t="s">
        <v>63</v>
      </c>
      <c r="F2422">
        <v>23</v>
      </c>
      <c r="G2422">
        <v>182</v>
      </c>
      <c r="H2422">
        <v>80</v>
      </c>
      <c r="I2422">
        <v>30.94</v>
      </c>
      <c r="J2422">
        <v>216.1</v>
      </c>
      <c r="K2422">
        <v>85</v>
      </c>
      <c r="L2422">
        <v>18.37</v>
      </c>
      <c r="M2422">
        <v>156.9</v>
      </c>
      <c r="N2422">
        <v>82</v>
      </c>
      <c r="O2422">
        <v>7.06</v>
      </c>
      <c r="P2422">
        <v>9.8</v>
      </c>
      <c r="Q2422">
        <v>4</v>
      </c>
      <c r="R2422">
        <v>2.65</v>
      </c>
      <c r="S2422">
        <v>1</v>
      </c>
      <c r="T2422" t="b">
        <v>0</v>
      </c>
    </row>
    <row r="2423" spans="1:20">
      <c r="A2423" t="s">
        <v>88</v>
      </c>
      <c r="B2423">
        <v>123</v>
      </c>
      <c r="C2423">
        <v>415</v>
      </c>
      <c r="D2423" t="s">
        <v>62</v>
      </c>
      <c r="E2423" t="s">
        <v>63</v>
      </c>
      <c r="F2423">
        <v>33</v>
      </c>
      <c r="G2423">
        <v>146.6</v>
      </c>
      <c r="H2423">
        <v>87</v>
      </c>
      <c r="I2423">
        <v>24.92</v>
      </c>
      <c r="J2423">
        <v>114.8</v>
      </c>
      <c r="K2423">
        <v>59</v>
      </c>
      <c r="L2423">
        <v>9.76</v>
      </c>
      <c r="M2423">
        <v>220.4</v>
      </c>
      <c r="N2423">
        <v>99</v>
      </c>
      <c r="O2423">
        <v>9.92</v>
      </c>
      <c r="P2423">
        <v>2.9</v>
      </c>
      <c r="Q2423">
        <v>7</v>
      </c>
      <c r="R2423">
        <v>0.78</v>
      </c>
      <c r="S2423">
        <v>0</v>
      </c>
      <c r="T2423" t="b">
        <v>0</v>
      </c>
    </row>
    <row r="2424" spans="1:20">
      <c r="A2424" t="s">
        <v>76</v>
      </c>
      <c r="B2424">
        <v>103</v>
      </c>
      <c r="C2424">
        <v>510</v>
      </c>
      <c r="D2424" t="s">
        <v>62</v>
      </c>
      <c r="E2424" t="s">
        <v>63</v>
      </c>
      <c r="F2424">
        <v>35</v>
      </c>
      <c r="G2424">
        <v>110.5</v>
      </c>
      <c r="H2424">
        <v>101</v>
      </c>
      <c r="I2424">
        <v>18.79</v>
      </c>
      <c r="J2424">
        <v>208.3</v>
      </c>
      <c r="K2424">
        <v>81</v>
      </c>
      <c r="L2424">
        <v>17.71</v>
      </c>
      <c r="M2424">
        <v>87.4</v>
      </c>
      <c r="N2424">
        <v>77</v>
      </c>
      <c r="O2424">
        <v>3.93</v>
      </c>
      <c r="P2424">
        <v>13.9</v>
      </c>
      <c r="Q2424">
        <v>2</v>
      </c>
      <c r="R2424">
        <v>3.75</v>
      </c>
      <c r="S2424">
        <v>4</v>
      </c>
      <c r="T2424" t="b">
        <v>1</v>
      </c>
    </row>
    <row r="2425" spans="1:20">
      <c r="A2425" t="s">
        <v>94</v>
      </c>
      <c r="B2425">
        <v>101</v>
      </c>
      <c r="C2425">
        <v>415</v>
      </c>
      <c r="D2425" t="s">
        <v>62</v>
      </c>
      <c r="E2425" t="s">
        <v>62</v>
      </c>
      <c r="F2425">
        <v>0</v>
      </c>
      <c r="G2425">
        <v>118.6</v>
      </c>
      <c r="H2425">
        <v>89</v>
      </c>
      <c r="I2425">
        <v>20.16</v>
      </c>
      <c r="J2425">
        <v>199.6</v>
      </c>
      <c r="K2425">
        <v>97</v>
      </c>
      <c r="L2425">
        <v>16.97</v>
      </c>
      <c r="M2425">
        <v>53.3</v>
      </c>
      <c r="N2425">
        <v>61</v>
      </c>
      <c r="O2425">
        <v>2.4</v>
      </c>
      <c r="P2425">
        <v>11.5</v>
      </c>
      <c r="Q2425">
        <v>5</v>
      </c>
      <c r="R2425">
        <v>3.11</v>
      </c>
      <c r="S2425">
        <v>1</v>
      </c>
      <c r="T2425" t="b">
        <v>0</v>
      </c>
    </row>
    <row r="2426" spans="1:20">
      <c r="A2426" t="s">
        <v>87</v>
      </c>
      <c r="B2426">
        <v>123</v>
      </c>
      <c r="C2426">
        <v>415</v>
      </c>
      <c r="D2426" t="s">
        <v>62</v>
      </c>
      <c r="E2426" t="s">
        <v>63</v>
      </c>
      <c r="F2426">
        <v>22</v>
      </c>
      <c r="G2426">
        <v>197.6</v>
      </c>
      <c r="H2426">
        <v>105</v>
      </c>
      <c r="I2426">
        <v>33.59</v>
      </c>
      <c r="J2426">
        <v>80</v>
      </c>
      <c r="K2426">
        <v>86</v>
      </c>
      <c r="L2426">
        <v>6.8</v>
      </c>
      <c r="M2426">
        <v>120.8</v>
      </c>
      <c r="N2426">
        <v>82</v>
      </c>
      <c r="O2426">
        <v>5.44</v>
      </c>
      <c r="P2426">
        <v>15.6</v>
      </c>
      <c r="Q2426">
        <v>12</v>
      </c>
      <c r="R2426">
        <v>4.21</v>
      </c>
      <c r="S2426">
        <v>2</v>
      </c>
      <c r="T2426" t="b">
        <v>0</v>
      </c>
    </row>
    <row r="2427" spans="1:20">
      <c r="A2427" t="s">
        <v>84</v>
      </c>
      <c r="B2427">
        <v>78</v>
      </c>
      <c r="C2427">
        <v>510</v>
      </c>
      <c r="D2427" t="s">
        <v>62</v>
      </c>
      <c r="E2427" t="s">
        <v>63</v>
      </c>
      <c r="F2427">
        <v>32</v>
      </c>
      <c r="G2427">
        <v>210.3</v>
      </c>
      <c r="H2427">
        <v>116</v>
      </c>
      <c r="I2427">
        <v>35.75</v>
      </c>
      <c r="J2427">
        <v>192.2</v>
      </c>
      <c r="K2427">
        <v>83</v>
      </c>
      <c r="L2427">
        <v>16.34</v>
      </c>
      <c r="M2427">
        <v>246.1</v>
      </c>
      <c r="N2427">
        <v>92</v>
      </c>
      <c r="O2427">
        <v>11.07</v>
      </c>
      <c r="P2427">
        <v>10.8</v>
      </c>
      <c r="Q2427">
        <v>4</v>
      </c>
      <c r="R2427">
        <v>2.92</v>
      </c>
      <c r="S2427">
        <v>6</v>
      </c>
      <c r="T2427" t="b">
        <v>0</v>
      </c>
    </row>
    <row r="2428" spans="1:20">
      <c r="A2428" t="s">
        <v>71</v>
      </c>
      <c r="B2428">
        <v>101</v>
      </c>
      <c r="C2428">
        <v>415</v>
      </c>
      <c r="D2428" t="s">
        <v>62</v>
      </c>
      <c r="E2428" t="s">
        <v>63</v>
      </c>
      <c r="F2428">
        <v>28</v>
      </c>
      <c r="G2428">
        <v>220.3</v>
      </c>
      <c r="H2428">
        <v>96</v>
      </c>
      <c r="I2428">
        <v>37.45</v>
      </c>
      <c r="J2428">
        <v>285.8</v>
      </c>
      <c r="K2428">
        <v>72</v>
      </c>
      <c r="L2428">
        <v>24.29</v>
      </c>
      <c r="M2428">
        <v>203</v>
      </c>
      <c r="N2428">
        <v>111</v>
      </c>
      <c r="O2428">
        <v>9.14</v>
      </c>
      <c r="P2428">
        <v>9.4</v>
      </c>
      <c r="Q2428">
        <v>6</v>
      </c>
      <c r="R2428">
        <v>2.54</v>
      </c>
      <c r="S2428">
        <v>4</v>
      </c>
      <c r="T2428" t="b">
        <v>0</v>
      </c>
    </row>
    <row r="2429" spans="1:20">
      <c r="A2429" t="s">
        <v>104</v>
      </c>
      <c r="B2429">
        <v>129</v>
      </c>
      <c r="C2429">
        <v>415</v>
      </c>
      <c r="D2429" t="s">
        <v>62</v>
      </c>
      <c r="E2429" t="s">
        <v>62</v>
      </c>
      <c r="F2429">
        <v>0</v>
      </c>
      <c r="G2429">
        <v>150</v>
      </c>
      <c r="H2429">
        <v>98</v>
      </c>
      <c r="I2429">
        <v>25.5</v>
      </c>
      <c r="J2429">
        <v>232.4</v>
      </c>
      <c r="K2429">
        <v>101</v>
      </c>
      <c r="L2429">
        <v>19.75</v>
      </c>
      <c r="M2429">
        <v>261.2</v>
      </c>
      <c r="N2429">
        <v>123</v>
      </c>
      <c r="O2429">
        <v>11.75</v>
      </c>
      <c r="P2429">
        <v>12.5</v>
      </c>
      <c r="Q2429">
        <v>6</v>
      </c>
      <c r="R2429">
        <v>3.38</v>
      </c>
      <c r="S2429">
        <v>1</v>
      </c>
      <c r="T2429" t="b">
        <v>0</v>
      </c>
    </row>
    <row r="2430" spans="1:20">
      <c r="A2430" t="s">
        <v>68</v>
      </c>
      <c r="B2430">
        <v>67</v>
      </c>
      <c r="C2430">
        <v>415</v>
      </c>
      <c r="D2430" t="s">
        <v>62</v>
      </c>
      <c r="E2430" t="s">
        <v>63</v>
      </c>
      <c r="F2430">
        <v>34</v>
      </c>
      <c r="G2430">
        <v>161.7</v>
      </c>
      <c r="H2430">
        <v>114</v>
      </c>
      <c r="I2430">
        <v>27.49</v>
      </c>
      <c r="J2430">
        <v>207.6</v>
      </c>
      <c r="K2430">
        <v>115</v>
      </c>
      <c r="L2430">
        <v>17.65</v>
      </c>
      <c r="M2430">
        <v>205.7</v>
      </c>
      <c r="N2430">
        <v>114</v>
      </c>
      <c r="O2430">
        <v>9.26</v>
      </c>
      <c r="P2430">
        <v>9.2</v>
      </c>
      <c r="Q2430">
        <v>4</v>
      </c>
      <c r="R2430">
        <v>2.48</v>
      </c>
      <c r="S2430">
        <v>0</v>
      </c>
      <c r="T2430" t="b">
        <v>0</v>
      </c>
    </row>
    <row r="2431" spans="1:20">
      <c r="A2431" t="s">
        <v>110</v>
      </c>
      <c r="B2431">
        <v>37</v>
      </c>
      <c r="C2431">
        <v>415</v>
      </c>
      <c r="D2431" t="s">
        <v>62</v>
      </c>
      <c r="E2431" t="s">
        <v>62</v>
      </c>
      <c r="F2431">
        <v>0</v>
      </c>
      <c r="G2431">
        <v>191.4</v>
      </c>
      <c r="H2431">
        <v>116</v>
      </c>
      <c r="I2431">
        <v>32.54</v>
      </c>
      <c r="J2431">
        <v>167.4</v>
      </c>
      <c r="K2431">
        <v>99</v>
      </c>
      <c r="L2431">
        <v>14.23</v>
      </c>
      <c r="M2431">
        <v>216.5</v>
      </c>
      <c r="N2431">
        <v>112</v>
      </c>
      <c r="O2431">
        <v>9.74</v>
      </c>
      <c r="P2431">
        <v>14</v>
      </c>
      <c r="Q2431">
        <v>5</v>
      </c>
      <c r="R2431">
        <v>3.78</v>
      </c>
      <c r="S2431">
        <v>3</v>
      </c>
      <c r="T2431" t="b">
        <v>0</v>
      </c>
    </row>
    <row r="2432" spans="1:20">
      <c r="A2432" t="s">
        <v>71</v>
      </c>
      <c r="B2432">
        <v>173</v>
      </c>
      <c r="C2432">
        <v>510</v>
      </c>
      <c r="D2432" t="s">
        <v>62</v>
      </c>
      <c r="E2432" t="s">
        <v>62</v>
      </c>
      <c r="F2432">
        <v>0</v>
      </c>
      <c r="G2432">
        <v>109.4</v>
      </c>
      <c r="H2432">
        <v>103</v>
      </c>
      <c r="I2432">
        <v>18.6</v>
      </c>
      <c r="J2432">
        <v>101.3</v>
      </c>
      <c r="K2432">
        <v>111</v>
      </c>
      <c r="L2432">
        <v>8.61</v>
      </c>
      <c r="M2432">
        <v>167.3</v>
      </c>
      <c r="N2432">
        <v>106</v>
      </c>
      <c r="O2432">
        <v>7.53</v>
      </c>
      <c r="P2432">
        <v>7.8</v>
      </c>
      <c r="Q2432">
        <v>7</v>
      </c>
      <c r="R2432">
        <v>2.11</v>
      </c>
      <c r="S2432">
        <v>1</v>
      </c>
      <c r="T2432" t="b">
        <v>0</v>
      </c>
    </row>
    <row r="2433" spans="1:20">
      <c r="A2433" t="s">
        <v>107</v>
      </c>
      <c r="B2433">
        <v>135</v>
      </c>
      <c r="C2433">
        <v>510</v>
      </c>
      <c r="D2433" t="s">
        <v>62</v>
      </c>
      <c r="E2433" t="s">
        <v>62</v>
      </c>
      <c r="F2433">
        <v>0</v>
      </c>
      <c r="G2433">
        <v>144.1</v>
      </c>
      <c r="H2433">
        <v>115</v>
      </c>
      <c r="I2433">
        <v>24.5</v>
      </c>
      <c r="J2433">
        <v>249.8</v>
      </c>
      <c r="K2433">
        <v>68</v>
      </c>
      <c r="L2433">
        <v>21.23</v>
      </c>
      <c r="M2433">
        <v>211.4</v>
      </c>
      <c r="N2433">
        <v>82</v>
      </c>
      <c r="O2433">
        <v>9.51</v>
      </c>
      <c r="P2433">
        <v>13.6</v>
      </c>
      <c r="Q2433">
        <v>3</v>
      </c>
      <c r="R2433">
        <v>3.67</v>
      </c>
      <c r="S2433">
        <v>1</v>
      </c>
      <c r="T2433" t="b">
        <v>0</v>
      </c>
    </row>
    <row r="2434" spans="1:20">
      <c r="A2434" t="s">
        <v>65</v>
      </c>
      <c r="B2434">
        <v>75</v>
      </c>
      <c r="C2434">
        <v>415</v>
      </c>
      <c r="D2434" t="s">
        <v>62</v>
      </c>
      <c r="E2434" t="s">
        <v>63</v>
      </c>
      <c r="F2434">
        <v>42</v>
      </c>
      <c r="G2434">
        <v>248.9</v>
      </c>
      <c r="H2434">
        <v>93</v>
      </c>
      <c r="I2434">
        <v>42.31</v>
      </c>
      <c r="J2434">
        <v>170.8</v>
      </c>
      <c r="K2434">
        <v>108</v>
      </c>
      <c r="L2434">
        <v>14.52</v>
      </c>
      <c r="M2434">
        <v>104.5</v>
      </c>
      <c r="N2434">
        <v>91</v>
      </c>
      <c r="O2434">
        <v>4.7</v>
      </c>
      <c r="P2434">
        <v>11.2</v>
      </c>
      <c r="Q2434">
        <v>8</v>
      </c>
      <c r="R2434">
        <v>3.02</v>
      </c>
      <c r="S2434">
        <v>1</v>
      </c>
      <c r="T2434" t="b">
        <v>0</v>
      </c>
    </row>
    <row r="2435" spans="1:20">
      <c r="A2435" t="s">
        <v>108</v>
      </c>
      <c r="B2435">
        <v>88</v>
      </c>
      <c r="C2435">
        <v>415</v>
      </c>
      <c r="D2435" t="s">
        <v>62</v>
      </c>
      <c r="E2435" t="s">
        <v>62</v>
      </c>
      <c r="F2435">
        <v>0</v>
      </c>
      <c r="G2435">
        <v>85.7</v>
      </c>
      <c r="H2435">
        <v>112</v>
      </c>
      <c r="I2435">
        <v>14.57</v>
      </c>
      <c r="J2435">
        <v>221.6</v>
      </c>
      <c r="K2435">
        <v>70</v>
      </c>
      <c r="L2435">
        <v>18.84</v>
      </c>
      <c r="M2435">
        <v>190.6</v>
      </c>
      <c r="N2435">
        <v>75</v>
      </c>
      <c r="O2435">
        <v>8.58</v>
      </c>
      <c r="P2435">
        <v>11.6</v>
      </c>
      <c r="Q2435">
        <v>3</v>
      </c>
      <c r="R2435">
        <v>3.13</v>
      </c>
      <c r="S2435">
        <v>4</v>
      </c>
      <c r="T2435" t="b">
        <v>1</v>
      </c>
    </row>
    <row r="2436" spans="1:20">
      <c r="A2436" t="s">
        <v>80</v>
      </c>
      <c r="B2436">
        <v>112</v>
      </c>
      <c r="C2436">
        <v>415</v>
      </c>
      <c r="D2436" t="s">
        <v>62</v>
      </c>
      <c r="E2436" t="s">
        <v>62</v>
      </c>
      <c r="F2436">
        <v>0</v>
      </c>
      <c r="G2436">
        <v>214.8</v>
      </c>
      <c r="H2436">
        <v>112</v>
      </c>
      <c r="I2436">
        <v>36.52</v>
      </c>
      <c r="J2436">
        <v>209.7</v>
      </c>
      <c r="K2436">
        <v>104</v>
      </c>
      <c r="L2436">
        <v>17.82</v>
      </c>
      <c r="M2436">
        <v>164.4</v>
      </c>
      <c r="N2436">
        <v>97</v>
      </c>
      <c r="O2436">
        <v>7.4</v>
      </c>
      <c r="P2436">
        <v>9.4</v>
      </c>
      <c r="Q2436">
        <v>5</v>
      </c>
      <c r="R2436">
        <v>2.54</v>
      </c>
      <c r="S2436">
        <v>3</v>
      </c>
      <c r="T2436" t="b">
        <v>0</v>
      </c>
    </row>
    <row r="2437" spans="1:20">
      <c r="A2437" t="s">
        <v>102</v>
      </c>
      <c r="B2437">
        <v>113</v>
      </c>
      <c r="C2437">
        <v>408</v>
      </c>
      <c r="D2437" t="s">
        <v>62</v>
      </c>
      <c r="E2437" t="s">
        <v>62</v>
      </c>
      <c r="F2437">
        <v>0</v>
      </c>
      <c r="G2437">
        <v>158.9</v>
      </c>
      <c r="H2437">
        <v>137</v>
      </c>
      <c r="I2437">
        <v>27.01</v>
      </c>
      <c r="J2437">
        <v>242.8</v>
      </c>
      <c r="K2437">
        <v>109</v>
      </c>
      <c r="L2437">
        <v>20.64</v>
      </c>
      <c r="M2437">
        <v>247.8</v>
      </c>
      <c r="N2437">
        <v>97</v>
      </c>
      <c r="O2437">
        <v>11.15</v>
      </c>
      <c r="P2437">
        <v>6.5</v>
      </c>
      <c r="Q2437">
        <v>4</v>
      </c>
      <c r="R2437">
        <v>1.76</v>
      </c>
      <c r="S2437">
        <v>0</v>
      </c>
      <c r="T2437" t="b">
        <v>0</v>
      </c>
    </row>
    <row r="2438" spans="1:20">
      <c r="A2438" t="s">
        <v>79</v>
      </c>
      <c r="B2438">
        <v>121</v>
      </c>
      <c r="C2438">
        <v>510</v>
      </c>
      <c r="D2438" t="s">
        <v>62</v>
      </c>
      <c r="E2438" t="s">
        <v>63</v>
      </c>
      <c r="F2438">
        <v>28</v>
      </c>
      <c r="G2438">
        <v>110</v>
      </c>
      <c r="H2438">
        <v>94</v>
      </c>
      <c r="I2438">
        <v>18.7</v>
      </c>
      <c r="J2438">
        <v>141.5</v>
      </c>
      <c r="K2438">
        <v>76</v>
      </c>
      <c r="L2438">
        <v>12.03</v>
      </c>
      <c r="M2438">
        <v>237.3</v>
      </c>
      <c r="N2438">
        <v>87</v>
      </c>
      <c r="O2438">
        <v>10.68</v>
      </c>
      <c r="P2438">
        <v>6.4</v>
      </c>
      <c r="Q2438">
        <v>3</v>
      </c>
      <c r="R2438">
        <v>1.73</v>
      </c>
      <c r="S2438">
        <v>2</v>
      </c>
      <c r="T2438" t="b">
        <v>0</v>
      </c>
    </row>
    <row r="2439" spans="1:20">
      <c r="A2439" t="s">
        <v>91</v>
      </c>
      <c r="B2439">
        <v>90</v>
      </c>
      <c r="C2439">
        <v>415</v>
      </c>
      <c r="D2439" t="s">
        <v>62</v>
      </c>
      <c r="E2439" t="s">
        <v>62</v>
      </c>
      <c r="F2439">
        <v>0</v>
      </c>
      <c r="G2439">
        <v>145.6</v>
      </c>
      <c r="H2439">
        <v>103</v>
      </c>
      <c r="I2439">
        <v>24.75</v>
      </c>
      <c r="J2439">
        <v>197.1</v>
      </c>
      <c r="K2439">
        <v>137</v>
      </c>
      <c r="L2439">
        <v>16.75</v>
      </c>
      <c r="M2439">
        <v>294.5</v>
      </c>
      <c r="N2439">
        <v>83</v>
      </c>
      <c r="O2439">
        <v>13.25</v>
      </c>
      <c r="P2439">
        <v>10.5</v>
      </c>
      <c r="Q2439">
        <v>4</v>
      </c>
      <c r="R2439">
        <v>2.84</v>
      </c>
      <c r="S2439">
        <v>0</v>
      </c>
      <c r="T2439" t="b">
        <v>0</v>
      </c>
    </row>
    <row r="2440" spans="1:20">
      <c r="A2440" t="s">
        <v>73</v>
      </c>
      <c r="B2440">
        <v>39</v>
      </c>
      <c r="C2440">
        <v>408</v>
      </c>
      <c r="D2440" t="s">
        <v>62</v>
      </c>
      <c r="E2440" t="s">
        <v>62</v>
      </c>
      <c r="F2440">
        <v>0</v>
      </c>
      <c r="G2440">
        <v>93.3</v>
      </c>
      <c r="H2440">
        <v>83</v>
      </c>
      <c r="I2440">
        <v>15.86</v>
      </c>
      <c r="J2440">
        <v>199.6</v>
      </c>
      <c r="K2440">
        <v>114</v>
      </c>
      <c r="L2440">
        <v>16.97</v>
      </c>
      <c r="M2440">
        <v>206.2</v>
      </c>
      <c r="N2440">
        <v>104</v>
      </c>
      <c r="O2440">
        <v>9.28</v>
      </c>
      <c r="P2440">
        <v>6.5</v>
      </c>
      <c r="Q2440">
        <v>4</v>
      </c>
      <c r="R2440">
        <v>1.76</v>
      </c>
      <c r="S2440">
        <v>0</v>
      </c>
      <c r="T2440" t="b">
        <v>0</v>
      </c>
    </row>
    <row r="2441" spans="1:20">
      <c r="A2441" t="s">
        <v>91</v>
      </c>
      <c r="B2441">
        <v>176</v>
      </c>
      <c r="C2441">
        <v>408</v>
      </c>
      <c r="D2441" t="s">
        <v>62</v>
      </c>
      <c r="E2441" t="s">
        <v>62</v>
      </c>
      <c r="F2441">
        <v>0</v>
      </c>
      <c r="G2441">
        <v>201.9</v>
      </c>
      <c r="H2441">
        <v>101</v>
      </c>
      <c r="I2441">
        <v>34.32</v>
      </c>
      <c r="J2441">
        <v>154.7</v>
      </c>
      <c r="K2441">
        <v>78</v>
      </c>
      <c r="L2441">
        <v>13.15</v>
      </c>
      <c r="M2441">
        <v>164.4</v>
      </c>
      <c r="N2441">
        <v>79</v>
      </c>
      <c r="O2441">
        <v>7.4</v>
      </c>
      <c r="P2441">
        <v>9</v>
      </c>
      <c r="Q2441">
        <v>2</v>
      </c>
      <c r="R2441">
        <v>2.43</v>
      </c>
      <c r="S2441">
        <v>1</v>
      </c>
      <c r="T2441" t="b">
        <v>0</v>
      </c>
    </row>
    <row r="2442" spans="1:20">
      <c r="A2442" t="s">
        <v>103</v>
      </c>
      <c r="B2442">
        <v>105</v>
      </c>
      <c r="C2442">
        <v>408</v>
      </c>
      <c r="D2442" t="s">
        <v>62</v>
      </c>
      <c r="E2442" t="s">
        <v>62</v>
      </c>
      <c r="F2442">
        <v>0</v>
      </c>
      <c r="G2442">
        <v>146.4</v>
      </c>
      <c r="H2442">
        <v>81</v>
      </c>
      <c r="I2442">
        <v>24.89</v>
      </c>
      <c r="J2442">
        <v>225.1</v>
      </c>
      <c r="K2442">
        <v>80</v>
      </c>
      <c r="L2442">
        <v>19.13</v>
      </c>
      <c r="M2442">
        <v>230.1</v>
      </c>
      <c r="N2442">
        <v>117</v>
      </c>
      <c r="O2442">
        <v>10.35</v>
      </c>
      <c r="P2442">
        <v>8.5</v>
      </c>
      <c r="Q2442">
        <v>2</v>
      </c>
      <c r="R2442">
        <v>2.3</v>
      </c>
      <c r="S2442">
        <v>1</v>
      </c>
      <c r="T2442" t="b">
        <v>0</v>
      </c>
    </row>
    <row r="2443" spans="1:20">
      <c r="A2443" t="s">
        <v>102</v>
      </c>
      <c r="B2443">
        <v>57</v>
      </c>
      <c r="C2443">
        <v>415</v>
      </c>
      <c r="D2443" t="s">
        <v>62</v>
      </c>
      <c r="E2443" t="s">
        <v>62</v>
      </c>
      <c r="F2443">
        <v>0</v>
      </c>
      <c r="G2443">
        <v>272.7</v>
      </c>
      <c r="H2443">
        <v>74</v>
      </c>
      <c r="I2443">
        <v>46.36</v>
      </c>
      <c r="J2443">
        <v>224.9</v>
      </c>
      <c r="K2443">
        <v>85</v>
      </c>
      <c r="L2443">
        <v>19.12</v>
      </c>
      <c r="M2443">
        <v>178.2</v>
      </c>
      <c r="N2443">
        <v>104</v>
      </c>
      <c r="O2443">
        <v>8.02</v>
      </c>
      <c r="P2443">
        <v>10.5</v>
      </c>
      <c r="Q2443">
        <v>3</v>
      </c>
      <c r="R2443">
        <v>2.84</v>
      </c>
      <c r="S2443">
        <v>2</v>
      </c>
      <c r="T2443" t="b">
        <v>1</v>
      </c>
    </row>
    <row r="2444" spans="1:20">
      <c r="A2444" t="s">
        <v>110</v>
      </c>
      <c r="B2444">
        <v>110</v>
      </c>
      <c r="C2444">
        <v>510</v>
      </c>
      <c r="D2444" t="s">
        <v>62</v>
      </c>
      <c r="E2444" t="s">
        <v>62</v>
      </c>
      <c r="F2444">
        <v>0</v>
      </c>
      <c r="G2444">
        <v>18.9</v>
      </c>
      <c r="H2444">
        <v>92</v>
      </c>
      <c r="I2444">
        <v>3.21</v>
      </c>
      <c r="J2444">
        <v>258.4</v>
      </c>
      <c r="K2444">
        <v>81</v>
      </c>
      <c r="L2444">
        <v>21.96</v>
      </c>
      <c r="M2444">
        <v>109.6</v>
      </c>
      <c r="N2444">
        <v>74</v>
      </c>
      <c r="O2444">
        <v>4.93</v>
      </c>
      <c r="P2444">
        <v>14.8</v>
      </c>
      <c r="Q2444">
        <v>4</v>
      </c>
      <c r="R2444">
        <v>4</v>
      </c>
      <c r="S2444">
        <v>1</v>
      </c>
      <c r="T2444" t="b">
        <v>0</v>
      </c>
    </row>
    <row r="2445" spans="1:20">
      <c r="A2445" t="s">
        <v>67</v>
      </c>
      <c r="B2445">
        <v>95</v>
      </c>
      <c r="C2445">
        <v>408</v>
      </c>
      <c r="D2445" t="s">
        <v>62</v>
      </c>
      <c r="E2445" t="s">
        <v>62</v>
      </c>
      <c r="F2445">
        <v>0</v>
      </c>
      <c r="G2445">
        <v>190.2</v>
      </c>
      <c r="H2445">
        <v>119</v>
      </c>
      <c r="I2445">
        <v>32.33</v>
      </c>
      <c r="J2445">
        <v>157.1</v>
      </c>
      <c r="K2445">
        <v>70</v>
      </c>
      <c r="L2445">
        <v>13.35</v>
      </c>
      <c r="M2445">
        <v>181.5</v>
      </c>
      <c r="N2445">
        <v>120</v>
      </c>
      <c r="O2445">
        <v>8.17</v>
      </c>
      <c r="P2445">
        <v>14</v>
      </c>
      <c r="Q2445">
        <v>6</v>
      </c>
      <c r="R2445">
        <v>3.78</v>
      </c>
      <c r="S2445">
        <v>0</v>
      </c>
      <c r="T2445" t="b">
        <v>0</v>
      </c>
    </row>
    <row r="2446" spans="1:20">
      <c r="A2446" t="s">
        <v>110</v>
      </c>
      <c r="B2446">
        <v>147</v>
      </c>
      <c r="C2446">
        <v>415</v>
      </c>
      <c r="D2446" t="s">
        <v>62</v>
      </c>
      <c r="E2446" t="s">
        <v>62</v>
      </c>
      <c r="F2446">
        <v>0</v>
      </c>
      <c r="G2446">
        <v>130.6</v>
      </c>
      <c r="H2446">
        <v>83</v>
      </c>
      <c r="I2446">
        <v>22.2</v>
      </c>
      <c r="J2446">
        <v>208.1</v>
      </c>
      <c r="K2446">
        <v>144</v>
      </c>
      <c r="L2446">
        <v>17.69</v>
      </c>
      <c r="M2446">
        <v>204.6</v>
      </c>
      <c r="N2446">
        <v>72</v>
      </c>
      <c r="O2446">
        <v>9.21</v>
      </c>
      <c r="P2446">
        <v>15.6</v>
      </c>
      <c r="Q2446">
        <v>3</v>
      </c>
      <c r="R2446">
        <v>4.21</v>
      </c>
      <c r="S2446">
        <v>3</v>
      </c>
      <c r="T2446" t="b">
        <v>0</v>
      </c>
    </row>
    <row r="2447" spans="1:20">
      <c r="A2447" t="s">
        <v>111</v>
      </c>
      <c r="B2447">
        <v>101</v>
      </c>
      <c r="C2447">
        <v>415</v>
      </c>
      <c r="D2447" t="s">
        <v>62</v>
      </c>
      <c r="E2447" t="s">
        <v>62</v>
      </c>
      <c r="F2447">
        <v>0</v>
      </c>
      <c r="G2447">
        <v>158.4</v>
      </c>
      <c r="H2447">
        <v>92</v>
      </c>
      <c r="I2447">
        <v>26.93</v>
      </c>
      <c r="J2447">
        <v>188</v>
      </c>
      <c r="K2447">
        <v>117</v>
      </c>
      <c r="L2447">
        <v>15.98</v>
      </c>
      <c r="M2447">
        <v>219.7</v>
      </c>
      <c r="N2447">
        <v>125</v>
      </c>
      <c r="O2447">
        <v>9.89</v>
      </c>
      <c r="P2447">
        <v>13.5</v>
      </c>
      <c r="Q2447">
        <v>4</v>
      </c>
      <c r="R2447">
        <v>3.65</v>
      </c>
      <c r="S2447">
        <v>4</v>
      </c>
      <c r="T2447" t="b">
        <v>1</v>
      </c>
    </row>
    <row r="2448" spans="1:20">
      <c r="A2448" t="s">
        <v>109</v>
      </c>
      <c r="B2448">
        <v>115</v>
      </c>
      <c r="C2448">
        <v>415</v>
      </c>
      <c r="D2448" t="s">
        <v>62</v>
      </c>
      <c r="E2448" t="s">
        <v>62</v>
      </c>
      <c r="F2448">
        <v>0</v>
      </c>
      <c r="G2448">
        <v>166.5</v>
      </c>
      <c r="H2448">
        <v>111</v>
      </c>
      <c r="I2448">
        <v>28.31</v>
      </c>
      <c r="J2448">
        <v>236.2</v>
      </c>
      <c r="K2448">
        <v>98</v>
      </c>
      <c r="L2448">
        <v>20.08</v>
      </c>
      <c r="M2448">
        <v>205.6</v>
      </c>
      <c r="N2448">
        <v>92</v>
      </c>
      <c r="O2448">
        <v>9.25</v>
      </c>
      <c r="P2448">
        <v>15.6</v>
      </c>
      <c r="Q2448">
        <v>2</v>
      </c>
      <c r="R2448">
        <v>4.21</v>
      </c>
      <c r="S2448">
        <v>1</v>
      </c>
      <c r="T2448" t="b">
        <v>0</v>
      </c>
    </row>
    <row r="2449" spans="1:20">
      <c r="A2449" t="s">
        <v>109</v>
      </c>
      <c r="B2449">
        <v>103</v>
      </c>
      <c r="C2449">
        <v>415</v>
      </c>
      <c r="D2449" t="s">
        <v>62</v>
      </c>
      <c r="E2449" t="s">
        <v>62</v>
      </c>
      <c r="F2449">
        <v>0</v>
      </c>
      <c r="G2449">
        <v>129.3</v>
      </c>
      <c r="H2449">
        <v>103</v>
      </c>
      <c r="I2449">
        <v>21.98</v>
      </c>
      <c r="J2449">
        <v>202.8</v>
      </c>
      <c r="K2449">
        <v>89</v>
      </c>
      <c r="L2449">
        <v>17.24</v>
      </c>
      <c r="M2449">
        <v>233</v>
      </c>
      <c r="N2449">
        <v>126</v>
      </c>
      <c r="O2449">
        <v>10.49</v>
      </c>
      <c r="P2449">
        <v>12.9</v>
      </c>
      <c r="Q2449">
        <v>2</v>
      </c>
      <c r="R2449">
        <v>3.48</v>
      </c>
      <c r="S2449">
        <v>2</v>
      </c>
      <c r="T2449" t="b">
        <v>0</v>
      </c>
    </row>
    <row r="2450" spans="1:20">
      <c r="A2450" t="s">
        <v>98</v>
      </c>
      <c r="B2450">
        <v>82</v>
      </c>
      <c r="C2450">
        <v>415</v>
      </c>
      <c r="D2450" t="s">
        <v>62</v>
      </c>
      <c r="E2450" t="s">
        <v>62</v>
      </c>
      <c r="F2450">
        <v>0</v>
      </c>
      <c r="G2450">
        <v>199.3</v>
      </c>
      <c r="H2450">
        <v>112</v>
      </c>
      <c r="I2450">
        <v>33.88</v>
      </c>
      <c r="J2450">
        <v>193.4</v>
      </c>
      <c r="K2450">
        <v>120</v>
      </c>
      <c r="L2450">
        <v>16.44</v>
      </c>
      <c r="M2450">
        <v>254.4</v>
      </c>
      <c r="N2450">
        <v>117</v>
      </c>
      <c r="O2450">
        <v>11.45</v>
      </c>
      <c r="P2450">
        <v>7</v>
      </c>
      <c r="Q2450">
        <v>10</v>
      </c>
      <c r="R2450">
        <v>1.89</v>
      </c>
      <c r="S2450">
        <v>0</v>
      </c>
      <c r="T2450" t="b">
        <v>0</v>
      </c>
    </row>
    <row r="2451" spans="1:20">
      <c r="A2451" t="s">
        <v>91</v>
      </c>
      <c r="B2451">
        <v>141</v>
      </c>
      <c r="C2451">
        <v>415</v>
      </c>
      <c r="D2451" t="s">
        <v>62</v>
      </c>
      <c r="E2451" t="s">
        <v>62</v>
      </c>
      <c r="F2451">
        <v>0</v>
      </c>
      <c r="G2451">
        <v>185.1</v>
      </c>
      <c r="H2451">
        <v>126</v>
      </c>
      <c r="I2451">
        <v>31.47</v>
      </c>
      <c r="J2451">
        <v>233</v>
      </c>
      <c r="K2451">
        <v>98</v>
      </c>
      <c r="L2451">
        <v>19.81</v>
      </c>
      <c r="M2451">
        <v>152.2</v>
      </c>
      <c r="N2451">
        <v>106</v>
      </c>
      <c r="O2451">
        <v>6.85</v>
      </c>
      <c r="P2451">
        <v>9.1</v>
      </c>
      <c r="Q2451">
        <v>7</v>
      </c>
      <c r="R2451">
        <v>2.46</v>
      </c>
      <c r="S2451">
        <v>0</v>
      </c>
      <c r="T2451" t="b">
        <v>0</v>
      </c>
    </row>
    <row r="2452" spans="1:20">
      <c r="A2452" t="s">
        <v>115</v>
      </c>
      <c r="B2452">
        <v>149</v>
      </c>
      <c r="C2452">
        <v>408</v>
      </c>
      <c r="D2452" t="s">
        <v>62</v>
      </c>
      <c r="E2452" t="s">
        <v>62</v>
      </c>
      <c r="F2452">
        <v>0</v>
      </c>
      <c r="G2452">
        <v>175.4</v>
      </c>
      <c r="H2452">
        <v>80</v>
      </c>
      <c r="I2452">
        <v>29.82</v>
      </c>
      <c r="J2452">
        <v>197.4</v>
      </c>
      <c r="K2452">
        <v>127</v>
      </c>
      <c r="L2452">
        <v>16.78</v>
      </c>
      <c r="M2452">
        <v>188.2</v>
      </c>
      <c r="N2452">
        <v>102</v>
      </c>
      <c r="O2452">
        <v>8.47</v>
      </c>
      <c r="P2452">
        <v>9.7</v>
      </c>
      <c r="Q2452">
        <v>2</v>
      </c>
      <c r="R2452">
        <v>2.62</v>
      </c>
      <c r="S2452">
        <v>2</v>
      </c>
      <c r="T2452" t="b">
        <v>0</v>
      </c>
    </row>
    <row r="2453" spans="1:20">
      <c r="A2453" t="s">
        <v>99</v>
      </c>
      <c r="B2453">
        <v>119</v>
      </c>
      <c r="C2453">
        <v>510</v>
      </c>
      <c r="D2453" t="s">
        <v>62</v>
      </c>
      <c r="E2453" t="s">
        <v>62</v>
      </c>
      <c r="F2453">
        <v>0</v>
      </c>
      <c r="G2453">
        <v>94.2</v>
      </c>
      <c r="H2453">
        <v>108</v>
      </c>
      <c r="I2453">
        <v>16.01</v>
      </c>
      <c r="J2453">
        <v>264.1</v>
      </c>
      <c r="K2453">
        <v>100</v>
      </c>
      <c r="L2453">
        <v>22.45</v>
      </c>
      <c r="M2453">
        <v>203.7</v>
      </c>
      <c r="N2453">
        <v>79</v>
      </c>
      <c r="O2453">
        <v>9.17</v>
      </c>
      <c r="P2453">
        <v>7.3</v>
      </c>
      <c r="Q2453">
        <v>3</v>
      </c>
      <c r="R2453">
        <v>1.97</v>
      </c>
      <c r="S2453">
        <v>1</v>
      </c>
      <c r="T2453" t="b">
        <v>0</v>
      </c>
    </row>
    <row r="2454" spans="1:20">
      <c r="A2454" t="s">
        <v>67</v>
      </c>
      <c r="B2454">
        <v>112</v>
      </c>
      <c r="C2454">
        <v>510</v>
      </c>
      <c r="D2454" t="s">
        <v>62</v>
      </c>
      <c r="E2454" t="s">
        <v>62</v>
      </c>
      <c r="F2454">
        <v>0</v>
      </c>
      <c r="G2454">
        <v>189.4</v>
      </c>
      <c r="H2454">
        <v>83</v>
      </c>
      <c r="I2454">
        <v>32.2</v>
      </c>
      <c r="J2454">
        <v>219</v>
      </c>
      <c r="K2454">
        <v>89</v>
      </c>
      <c r="L2454">
        <v>18.62</v>
      </c>
      <c r="M2454">
        <v>168</v>
      </c>
      <c r="N2454">
        <v>116</v>
      </c>
      <c r="O2454">
        <v>7.56</v>
      </c>
      <c r="P2454">
        <v>7.1</v>
      </c>
      <c r="Q2454">
        <v>8</v>
      </c>
      <c r="R2454">
        <v>1.92</v>
      </c>
      <c r="S2454">
        <v>3</v>
      </c>
      <c r="T2454" t="b">
        <v>0</v>
      </c>
    </row>
    <row r="2455" spans="1:20">
      <c r="A2455" t="s">
        <v>104</v>
      </c>
      <c r="B2455">
        <v>116</v>
      </c>
      <c r="C2455">
        <v>510</v>
      </c>
      <c r="D2455" t="s">
        <v>62</v>
      </c>
      <c r="E2455" t="s">
        <v>63</v>
      </c>
      <c r="F2455">
        <v>35</v>
      </c>
      <c r="G2455">
        <v>118</v>
      </c>
      <c r="H2455">
        <v>103</v>
      </c>
      <c r="I2455">
        <v>20.06</v>
      </c>
      <c r="J2455">
        <v>167.2</v>
      </c>
      <c r="K2455">
        <v>106</v>
      </c>
      <c r="L2455">
        <v>14.21</v>
      </c>
      <c r="M2455">
        <v>205.7</v>
      </c>
      <c r="N2455">
        <v>102</v>
      </c>
      <c r="O2455">
        <v>9.26</v>
      </c>
      <c r="P2455">
        <v>11.8</v>
      </c>
      <c r="Q2455">
        <v>2</v>
      </c>
      <c r="R2455">
        <v>3.19</v>
      </c>
      <c r="S2455">
        <v>2</v>
      </c>
      <c r="T2455" t="b">
        <v>0</v>
      </c>
    </row>
    <row r="2456" spans="1:20">
      <c r="A2456" t="s">
        <v>88</v>
      </c>
      <c r="B2456">
        <v>94</v>
      </c>
      <c r="C2456">
        <v>415</v>
      </c>
      <c r="D2456" t="s">
        <v>62</v>
      </c>
      <c r="E2456" t="s">
        <v>62</v>
      </c>
      <c r="F2456">
        <v>0</v>
      </c>
      <c r="G2456">
        <v>212.1</v>
      </c>
      <c r="H2456">
        <v>98</v>
      </c>
      <c r="I2456">
        <v>36.06</v>
      </c>
      <c r="J2456">
        <v>189.4</v>
      </c>
      <c r="K2456">
        <v>89</v>
      </c>
      <c r="L2456">
        <v>16.1</v>
      </c>
      <c r="M2456">
        <v>352.2</v>
      </c>
      <c r="N2456">
        <v>95</v>
      </c>
      <c r="O2456">
        <v>15.85</v>
      </c>
      <c r="P2456">
        <v>8.4</v>
      </c>
      <c r="Q2456">
        <v>5</v>
      </c>
      <c r="R2456">
        <v>2.27</v>
      </c>
      <c r="S2456">
        <v>3</v>
      </c>
      <c r="T2456" t="b">
        <v>0</v>
      </c>
    </row>
    <row r="2457" spans="1:20">
      <c r="A2457" t="s">
        <v>79</v>
      </c>
      <c r="B2457">
        <v>90</v>
      </c>
      <c r="C2457">
        <v>408</v>
      </c>
      <c r="D2457" t="s">
        <v>62</v>
      </c>
      <c r="E2457" t="s">
        <v>62</v>
      </c>
      <c r="F2457">
        <v>0</v>
      </c>
      <c r="G2457">
        <v>222</v>
      </c>
      <c r="H2457">
        <v>93</v>
      </c>
      <c r="I2457">
        <v>37.74</v>
      </c>
      <c r="J2457">
        <v>187</v>
      </c>
      <c r="K2457">
        <v>103</v>
      </c>
      <c r="L2457">
        <v>15.9</v>
      </c>
      <c r="M2457">
        <v>282.3</v>
      </c>
      <c r="N2457">
        <v>124</v>
      </c>
      <c r="O2457">
        <v>12.7</v>
      </c>
      <c r="P2457">
        <v>12.4</v>
      </c>
      <c r="Q2457">
        <v>6</v>
      </c>
      <c r="R2457">
        <v>3.35</v>
      </c>
      <c r="S2457">
        <v>2</v>
      </c>
      <c r="T2457" t="b">
        <v>0</v>
      </c>
    </row>
    <row r="2458" spans="1:20">
      <c r="A2458" t="s">
        <v>95</v>
      </c>
      <c r="B2458">
        <v>114</v>
      </c>
      <c r="C2458">
        <v>415</v>
      </c>
      <c r="D2458" t="s">
        <v>62</v>
      </c>
      <c r="E2458" t="s">
        <v>63</v>
      </c>
      <c r="F2458">
        <v>31</v>
      </c>
      <c r="G2458">
        <v>222.8</v>
      </c>
      <c r="H2458">
        <v>98</v>
      </c>
      <c r="I2458">
        <v>37.88</v>
      </c>
      <c r="J2458">
        <v>180.5</v>
      </c>
      <c r="K2458">
        <v>105</v>
      </c>
      <c r="L2458">
        <v>15.34</v>
      </c>
      <c r="M2458">
        <v>151.3</v>
      </c>
      <c r="N2458">
        <v>101</v>
      </c>
      <c r="O2458">
        <v>6.81</v>
      </c>
      <c r="P2458">
        <v>13</v>
      </c>
      <c r="Q2458">
        <v>4</v>
      </c>
      <c r="R2458">
        <v>3.51</v>
      </c>
      <c r="S2458">
        <v>0</v>
      </c>
      <c r="T2458" t="b">
        <v>0</v>
      </c>
    </row>
    <row r="2459" spans="1:20">
      <c r="A2459" t="s">
        <v>116</v>
      </c>
      <c r="B2459">
        <v>63</v>
      </c>
      <c r="C2459">
        <v>408</v>
      </c>
      <c r="D2459" t="s">
        <v>62</v>
      </c>
      <c r="E2459" t="s">
        <v>63</v>
      </c>
      <c r="F2459">
        <v>25</v>
      </c>
      <c r="G2459">
        <v>190</v>
      </c>
      <c r="H2459">
        <v>137</v>
      </c>
      <c r="I2459">
        <v>32.3</v>
      </c>
      <c r="J2459">
        <v>116.6</v>
      </c>
      <c r="K2459">
        <v>76</v>
      </c>
      <c r="L2459">
        <v>9.91</v>
      </c>
      <c r="M2459">
        <v>141.5</v>
      </c>
      <c r="N2459">
        <v>110</v>
      </c>
      <c r="O2459">
        <v>6.37</v>
      </c>
      <c r="P2459">
        <v>12.2</v>
      </c>
      <c r="Q2459">
        <v>2</v>
      </c>
      <c r="R2459">
        <v>3.29</v>
      </c>
      <c r="S2459">
        <v>1</v>
      </c>
      <c r="T2459" t="b">
        <v>0</v>
      </c>
    </row>
    <row r="2460" spans="1:20">
      <c r="A2460" t="s">
        <v>68</v>
      </c>
      <c r="B2460">
        <v>122</v>
      </c>
      <c r="C2460">
        <v>408</v>
      </c>
      <c r="D2460" t="s">
        <v>62</v>
      </c>
      <c r="E2460" t="s">
        <v>63</v>
      </c>
      <c r="F2460">
        <v>29</v>
      </c>
      <c r="G2460">
        <v>195.4</v>
      </c>
      <c r="H2460">
        <v>83</v>
      </c>
      <c r="I2460">
        <v>33.22</v>
      </c>
      <c r="J2460">
        <v>268.2</v>
      </c>
      <c r="K2460">
        <v>93</v>
      </c>
      <c r="L2460">
        <v>22.8</v>
      </c>
      <c r="M2460">
        <v>168</v>
      </c>
      <c r="N2460">
        <v>95</v>
      </c>
      <c r="O2460">
        <v>7.56</v>
      </c>
      <c r="P2460">
        <v>8.4</v>
      </c>
      <c r="Q2460">
        <v>6</v>
      </c>
      <c r="R2460">
        <v>2.27</v>
      </c>
      <c r="S2460">
        <v>3</v>
      </c>
      <c r="T2460" t="b">
        <v>0</v>
      </c>
    </row>
    <row r="2461" spans="1:20">
      <c r="A2461" t="s">
        <v>101</v>
      </c>
      <c r="B2461">
        <v>62</v>
      </c>
      <c r="C2461">
        <v>415</v>
      </c>
      <c r="D2461" t="s">
        <v>62</v>
      </c>
      <c r="E2461" t="s">
        <v>62</v>
      </c>
      <c r="F2461">
        <v>0</v>
      </c>
      <c r="G2461">
        <v>100</v>
      </c>
      <c r="H2461">
        <v>98</v>
      </c>
      <c r="I2461">
        <v>17</v>
      </c>
      <c r="J2461">
        <v>173.5</v>
      </c>
      <c r="K2461">
        <v>95</v>
      </c>
      <c r="L2461">
        <v>14.75</v>
      </c>
      <c r="M2461">
        <v>218</v>
      </c>
      <c r="N2461">
        <v>122</v>
      </c>
      <c r="O2461">
        <v>9.81</v>
      </c>
      <c r="P2461">
        <v>10.1</v>
      </c>
      <c r="Q2461">
        <v>4</v>
      </c>
      <c r="R2461">
        <v>2.73</v>
      </c>
      <c r="S2461">
        <v>0</v>
      </c>
      <c r="T2461" t="b">
        <v>0</v>
      </c>
    </row>
    <row r="2462" spans="1:20">
      <c r="A2462" t="s">
        <v>111</v>
      </c>
      <c r="B2462">
        <v>78</v>
      </c>
      <c r="C2462">
        <v>415</v>
      </c>
      <c r="D2462" t="s">
        <v>62</v>
      </c>
      <c r="E2462" t="s">
        <v>63</v>
      </c>
      <c r="F2462">
        <v>21</v>
      </c>
      <c r="G2462">
        <v>160.6</v>
      </c>
      <c r="H2462">
        <v>85</v>
      </c>
      <c r="I2462">
        <v>27.3</v>
      </c>
      <c r="J2462">
        <v>223.1</v>
      </c>
      <c r="K2462">
        <v>79</v>
      </c>
      <c r="L2462">
        <v>18.96</v>
      </c>
      <c r="M2462">
        <v>124</v>
      </c>
      <c r="N2462">
        <v>92</v>
      </c>
      <c r="O2462">
        <v>5.58</v>
      </c>
      <c r="P2462">
        <v>9.5</v>
      </c>
      <c r="Q2462">
        <v>1</v>
      </c>
      <c r="R2462">
        <v>2.57</v>
      </c>
      <c r="S2462">
        <v>2</v>
      </c>
      <c r="T2462" t="b">
        <v>0</v>
      </c>
    </row>
    <row r="2463" spans="1:20">
      <c r="A2463" t="s">
        <v>96</v>
      </c>
      <c r="B2463">
        <v>148</v>
      </c>
      <c r="C2463">
        <v>415</v>
      </c>
      <c r="D2463" t="s">
        <v>62</v>
      </c>
      <c r="E2463" t="s">
        <v>63</v>
      </c>
      <c r="F2463">
        <v>26</v>
      </c>
      <c r="G2463">
        <v>158.7</v>
      </c>
      <c r="H2463">
        <v>91</v>
      </c>
      <c r="I2463">
        <v>26.98</v>
      </c>
      <c r="J2463">
        <v>160.5</v>
      </c>
      <c r="K2463">
        <v>127</v>
      </c>
      <c r="L2463">
        <v>13.64</v>
      </c>
      <c r="M2463">
        <v>218.3</v>
      </c>
      <c r="N2463">
        <v>88</v>
      </c>
      <c r="O2463">
        <v>9.82</v>
      </c>
      <c r="P2463">
        <v>9.9</v>
      </c>
      <c r="Q2463">
        <v>3</v>
      </c>
      <c r="R2463">
        <v>2.67</v>
      </c>
      <c r="S2463">
        <v>1</v>
      </c>
      <c r="T2463" t="b">
        <v>0</v>
      </c>
    </row>
    <row r="2464" spans="1:20">
      <c r="A2464" t="s">
        <v>91</v>
      </c>
      <c r="B2464">
        <v>154</v>
      </c>
      <c r="C2464">
        <v>510</v>
      </c>
      <c r="D2464" t="s">
        <v>62</v>
      </c>
      <c r="E2464" t="s">
        <v>62</v>
      </c>
      <c r="F2464">
        <v>0</v>
      </c>
      <c r="G2464">
        <v>154.5</v>
      </c>
      <c r="H2464">
        <v>122</v>
      </c>
      <c r="I2464">
        <v>26.27</v>
      </c>
      <c r="J2464">
        <v>214.2</v>
      </c>
      <c r="K2464">
        <v>71</v>
      </c>
      <c r="L2464">
        <v>18.21</v>
      </c>
      <c r="M2464">
        <v>178</v>
      </c>
      <c r="N2464">
        <v>105</v>
      </c>
      <c r="O2464">
        <v>8.01</v>
      </c>
      <c r="P2464">
        <v>12</v>
      </c>
      <c r="Q2464">
        <v>2</v>
      </c>
      <c r="R2464">
        <v>3.24</v>
      </c>
      <c r="S2464">
        <v>3</v>
      </c>
      <c r="T2464" t="b">
        <v>1</v>
      </c>
    </row>
    <row r="2465" spans="1:20">
      <c r="A2465" t="s">
        <v>104</v>
      </c>
      <c r="B2465">
        <v>110</v>
      </c>
      <c r="C2465">
        <v>408</v>
      </c>
      <c r="D2465" t="s">
        <v>62</v>
      </c>
      <c r="E2465" t="s">
        <v>63</v>
      </c>
      <c r="F2465">
        <v>34</v>
      </c>
      <c r="G2465">
        <v>192.3</v>
      </c>
      <c r="H2465">
        <v>114</v>
      </c>
      <c r="I2465">
        <v>32.69</v>
      </c>
      <c r="J2465">
        <v>129.3</v>
      </c>
      <c r="K2465">
        <v>114</v>
      </c>
      <c r="L2465">
        <v>10.99</v>
      </c>
      <c r="M2465">
        <v>136.3</v>
      </c>
      <c r="N2465">
        <v>102</v>
      </c>
      <c r="O2465">
        <v>6.13</v>
      </c>
      <c r="P2465">
        <v>6.3</v>
      </c>
      <c r="Q2465">
        <v>12</v>
      </c>
      <c r="R2465">
        <v>1.7</v>
      </c>
      <c r="S2465">
        <v>1</v>
      </c>
      <c r="T2465" t="b">
        <v>0</v>
      </c>
    </row>
    <row r="2466" spans="1:20">
      <c r="A2466" t="s">
        <v>80</v>
      </c>
      <c r="B2466">
        <v>75</v>
      </c>
      <c r="C2466">
        <v>415</v>
      </c>
      <c r="D2466" t="s">
        <v>62</v>
      </c>
      <c r="E2466" t="s">
        <v>62</v>
      </c>
      <c r="F2466">
        <v>0</v>
      </c>
      <c r="G2466">
        <v>305.1</v>
      </c>
      <c r="H2466">
        <v>106</v>
      </c>
      <c r="I2466">
        <v>51.87</v>
      </c>
      <c r="J2466">
        <v>188</v>
      </c>
      <c r="K2466">
        <v>115</v>
      </c>
      <c r="L2466">
        <v>15.98</v>
      </c>
      <c r="M2466">
        <v>235.4</v>
      </c>
      <c r="N2466">
        <v>116</v>
      </c>
      <c r="O2466">
        <v>10.59</v>
      </c>
      <c r="P2466">
        <v>8.5</v>
      </c>
      <c r="Q2466">
        <v>5</v>
      </c>
      <c r="R2466">
        <v>2.3</v>
      </c>
      <c r="S2466">
        <v>0</v>
      </c>
      <c r="T2466" t="b">
        <v>1</v>
      </c>
    </row>
    <row r="2467" spans="1:20">
      <c r="A2467" t="s">
        <v>115</v>
      </c>
      <c r="B2467">
        <v>84</v>
      </c>
      <c r="C2467">
        <v>408</v>
      </c>
      <c r="D2467" t="s">
        <v>62</v>
      </c>
      <c r="E2467" t="s">
        <v>63</v>
      </c>
      <c r="F2467">
        <v>38</v>
      </c>
      <c r="G2467">
        <v>193</v>
      </c>
      <c r="H2467">
        <v>106</v>
      </c>
      <c r="I2467">
        <v>32.81</v>
      </c>
      <c r="J2467">
        <v>153.6</v>
      </c>
      <c r="K2467">
        <v>106</v>
      </c>
      <c r="L2467">
        <v>13.06</v>
      </c>
      <c r="M2467">
        <v>260.4</v>
      </c>
      <c r="N2467">
        <v>87</v>
      </c>
      <c r="O2467">
        <v>11.72</v>
      </c>
      <c r="P2467">
        <v>7.4</v>
      </c>
      <c r="Q2467">
        <v>5</v>
      </c>
      <c r="R2467">
        <v>2</v>
      </c>
      <c r="S2467">
        <v>2</v>
      </c>
      <c r="T2467" t="b">
        <v>0</v>
      </c>
    </row>
    <row r="2468" spans="1:20">
      <c r="A2468" t="s">
        <v>71</v>
      </c>
      <c r="B2468">
        <v>113</v>
      </c>
      <c r="C2468">
        <v>510</v>
      </c>
      <c r="D2468" t="s">
        <v>62</v>
      </c>
      <c r="E2468" t="s">
        <v>62</v>
      </c>
      <c r="F2468">
        <v>0</v>
      </c>
      <c r="G2468">
        <v>72.5</v>
      </c>
      <c r="H2468">
        <v>88</v>
      </c>
      <c r="I2468">
        <v>12.33</v>
      </c>
      <c r="J2468">
        <v>204</v>
      </c>
      <c r="K2468">
        <v>112</v>
      </c>
      <c r="L2468">
        <v>17.34</v>
      </c>
      <c r="M2468">
        <v>117.9</v>
      </c>
      <c r="N2468">
        <v>118</v>
      </c>
      <c r="O2468">
        <v>5.31</v>
      </c>
      <c r="P2468">
        <v>6.6</v>
      </c>
      <c r="Q2468">
        <v>3</v>
      </c>
      <c r="R2468">
        <v>1.78</v>
      </c>
      <c r="S2468">
        <v>1</v>
      </c>
      <c r="T2468" t="b">
        <v>0</v>
      </c>
    </row>
    <row r="2469" spans="1:20">
      <c r="A2469" t="s">
        <v>82</v>
      </c>
      <c r="B2469">
        <v>181</v>
      </c>
      <c r="C2469">
        <v>510</v>
      </c>
      <c r="D2469" t="s">
        <v>62</v>
      </c>
      <c r="E2469" t="s">
        <v>63</v>
      </c>
      <c r="F2469">
        <v>40</v>
      </c>
      <c r="G2469">
        <v>105.2</v>
      </c>
      <c r="H2469">
        <v>61</v>
      </c>
      <c r="I2469">
        <v>17.88</v>
      </c>
      <c r="J2469">
        <v>341.3</v>
      </c>
      <c r="K2469">
        <v>79</v>
      </c>
      <c r="L2469">
        <v>29.01</v>
      </c>
      <c r="M2469">
        <v>165.7</v>
      </c>
      <c r="N2469">
        <v>97</v>
      </c>
      <c r="O2469">
        <v>7.46</v>
      </c>
      <c r="P2469">
        <v>6.3</v>
      </c>
      <c r="Q2469">
        <v>3</v>
      </c>
      <c r="R2469">
        <v>1.7</v>
      </c>
      <c r="S2469">
        <v>2</v>
      </c>
      <c r="T2469" t="b">
        <v>0</v>
      </c>
    </row>
    <row r="2470" spans="1:20">
      <c r="A2470" t="s">
        <v>80</v>
      </c>
      <c r="B2470">
        <v>51</v>
      </c>
      <c r="C2470">
        <v>415</v>
      </c>
      <c r="D2470" t="s">
        <v>62</v>
      </c>
      <c r="E2470" t="s">
        <v>62</v>
      </c>
      <c r="F2470">
        <v>0</v>
      </c>
      <c r="G2470">
        <v>180.5</v>
      </c>
      <c r="H2470">
        <v>88</v>
      </c>
      <c r="I2470">
        <v>30.69</v>
      </c>
      <c r="J2470">
        <v>134.7</v>
      </c>
      <c r="K2470">
        <v>102</v>
      </c>
      <c r="L2470">
        <v>11.45</v>
      </c>
      <c r="M2470">
        <v>170.7</v>
      </c>
      <c r="N2470">
        <v>97</v>
      </c>
      <c r="O2470">
        <v>7.68</v>
      </c>
      <c r="P2470">
        <v>10</v>
      </c>
      <c r="Q2470">
        <v>3</v>
      </c>
      <c r="R2470">
        <v>2.7</v>
      </c>
      <c r="S2470">
        <v>2</v>
      </c>
      <c r="T2470" t="b">
        <v>0</v>
      </c>
    </row>
    <row r="2471" spans="1:20">
      <c r="A2471" t="s">
        <v>81</v>
      </c>
      <c r="B2471">
        <v>102</v>
      </c>
      <c r="C2471">
        <v>408</v>
      </c>
      <c r="D2471" t="s">
        <v>62</v>
      </c>
      <c r="E2471" t="s">
        <v>63</v>
      </c>
      <c r="F2471">
        <v>29</v>
      </c>
      <c r="G2471">
        <v>214.7</v>
      </c>
      <c r="H2471">
        <v>86</v>
      </c>
      <c r="I2471">
        <v>36.5</v>
      </c>
      <c r="J2471">
        <v>314.3</v>
      </c>
      <c r="K2471">
        <v>109</v>
      </c>
      <c r="L2471">
        <v>26.72</v>
      </c>
      <c r="M2471">
        <v>280.2</v>
      </c>
      <c r="N2471">
        <v>110</v>
      </c>
      <c r="O2471">
        <v>12.61</v>
      </c>
      <c r="P2471">
        <v>14.3</v>
      </c>
      <c r="Q2471">
        <v>2</v>
      </c>
      <c r="R2471">
        <v>3.86</v>
      </c>
      <c r="S2471">
        <v>0</v>
      </c>
      <c r="T2471" t="b">
        <v>0</v>
      </c>
    </row>
    <row r="2472" spans="1:20">
      <c r="A2472" t="s">
        <v>67</v>
      </c>
      <c r="B2472">
        <v>107</v>
      </c>
      <c r="C2472">
        <v>408</v>
      </c>
      <c r="D2472" t="s">
        <v>62</v>
      </c>
      <c r="E2472" t="s">
        <v>62</v>
      </c>
      <c r="F2472">
        <v>0</v>
      </c>
      <c r="G2472">
        <v>86.8</v>
      </c>
      <c r="H2472">
        <v>95</v>
      </c>
      <c r="I2472">
        <v>14.76</v>
      </c>
      <c r="J2472">
        <v>108.1</v>
      </c>
      <c r="K2472">
        <v>85</v>
      </c>
      <c r="L2472">
        <v>9.19</v>
      </c>
      <c r="M2472">
        <v>204.3</v>
      </c>
      <c r="N2472">
        <v>87</v>
      </c>
      <c r="O2472">
        <v>9.19</v>
      </c>
      <c r="P2472">
        <v>13.2</v>
      </c>
      <c r="Q2472">
        <v>3</v>
      </c>
      <c r="R2472">
        <v>3.56</v>
      </c>
      <c r="S2472">
        <v>1</v>
      </c>
      <c r="T2472" t="b">
        <v>0</v>
      </c>
    </row>
    <row r="2473" spans="1:20">
      <c r="A2473" t="s">
        <v>71</v>
      </c>
      <c r="B2473">
        <v>88</v>
      </c>
      <c r="C2473">
        <v>510</v>
      </c>
      <c r="D2473" t="s">
        <v>62</v>
      </c>
      <c r="E2473" t="s">
        <v>62</v>
      </c>
      <c r="F2473">
        <v>0</v>
      </c>
      <c r="G2473">
        <v>131.5</v>
      </c>
      <c r="H2473">
        <v>99</v>
      </c>
      <c r="I2473">
        <v>22.36</v>
      </c>
      <c r="J2473">
        <v>174.8</v>
      </c>
      <c r="K2473">
        <v>128</v>
      </c>
      <c r="L2473">
        <v>14.86</v>
      </c>
      <c r="M2473">
        <v>184.2</v>
      </c>
      <c r="N2473">
        <v>83</v>
      </c>
      <c r="O2473">
        <v>8.29</v>
      </c>
      <c r="P2473">
        <v>7.9</v>
      </c>
      <c r="Q2473">
        <v>2</v>
      </c>
      <c r="R2473">
        <v>2.13</v>
      </c>
      <c r="S2473">
        <v>5</v>
      </c>
      <c r="T2473" t="b">
        <v>1</v>
      </c>
    </row>
    <row r="2474" spans="1:20">
      <c r="A2474" t="s">
        <v>110</v>
      </c>
      <c r="B2474">
        <v>82</v>
      </c>
      <c r="C2474">
        <v>415</v>
      </c>
      <c r="D2474" t="s">
        <v>62</v>
      </c>
      <c r="E2474" t="s">
        <v>62</v>
      </c>
      <c r="F2474">
        <v>0</v>
      </c>
      <c r="G2474">
        <v>135.4</v>
      </c>
      <c r="H2474">
        <v>102</v>
      </c>
      <c r="I2474">
        <v>23.02</v>
      </c>
      <c r="J2474">
        <v>237.1</v>
      </c>
      <c r="K2474">
        <v>122</v>
      </c>
      <c r="L2474">
        <v>20.15</v>
      </c>
      <c r="M2474">
        <v>118.3</v>
      </c>
      <c r="N2474">
        <v>91</v>
      </c>
      <c r="O2474">
        <v>5.32</v>
      </c>
      <c r="P2474">
        <v>17.5</v>
      </c>
      <c r="Q2474">
        <v>4</v>
      </c>
      <c r="R2474">
        <v>4.73</v>
      </c>
      <c r="S2474">
        <v>0</v>
      </c>
      <c r="T2474" t="b">
        <v>0</v>
      </c>
    </row>
    <row r="2475" spans="1:20">
      <c r="A2475" t="s">
        <v>106</v>
      </c>
      <c r="B2475">
        <v>204</v>
      </c>
      <c r="C2475">
        <v>415</v>
      </c>
      <c r="D2475" t="s">
        <v>62</v>
      </c>
      <c r="E2475" t="s">
        <v>62</v>
      </c>
      <c r="F2475">
        <v>0</v>
      </c>
      <c r="G2475">
        <v>174.3</v>
      </c>
      <c r="H2475">
        <v>85</v>
      </c>
      <c r="I2475">
        <v>29.63</v>
      </c>
      <c r="J2475">
        <v>254.1</v>
      </c>
      <c r="K2475">
        <v>95</v>
      </c>
      <c r="L2475">
        <v>21.6</v>
      </c>
      <c r="M2475">
        <v>176.4</v>
      </c>
      <c r="N2475">
        <v>96</v>
      </c>
      <c r="O2475">
        <v>7.94</v>
      </c>
      <c r="P2475">
        <v>5.9</v>
      </c>
      <c r="Q2475">
        <v>3</v>
      </c>
      <c r="R2475">
        <v>1.59</v>
      </c>
      <c r="S2475">
        <v>6</v>
      </c>
      <c r="T2475" t="b">
        <v>0</v>
      </c>
    </row>
    <row r="2476" spans="1:20">
      <c r="A2476" t="s">
        <v>69</v>
      </c>
      <c r="B2476">
        <v>174</v>
      </c>
      <c r="C2476">
        <v>510</v>
      </c>
      <c r="D2476" t="s">
        <v>62</v>
      </c>
      <c r="E2476" t="s">
        <v>62</v>
      </c>
      <c r="F2476">
        <v>0</v>
      </c>
      <c r="G2476">
        <v>235.5</v>
      </c>
      <c r="H2476">
        <v>108</v>
      </c>
      <c r="I2476">
        <v>40.04</v>
      </c>
      <c r="J2476">
        <v>142.3</v>
      </c>
      <c r="K2476">
        <v>143</v>
      </c>
      <c r="L2476">
        <v>12.1</v>
      </c>
      <c r="M2476">
        <v>316.7</v>
      </c>
      <c r="N2476">
        <v>131</v>
      </c>
      <c r="O2476">
        <v>14.25</v>
      </c>
      <c r="P2476">
        <v>12.5</v>
      </c>
      <c r="Q2476">
        <v>5</v>
      </c>
      <c r="R2476">
        <v>3.38</v>
      </c>
      <c r="S2476">
        <v>0</v>
      </c>
      <c r="T2476" t="b">
        <v>0</v>
      </c>
    </row>
    <row r="2477" spans="1:20">
      <c r="A2477" t="s">
        <v>92</v>
      </c>
      <c r="B2477">
        <v>129</v>
      </c>
      <c r="C2477">
        <v>415</v>
      </c>
      <c r="D2477" t="s">
        <v>62</v>
      </c>
      <c r="E2477" t="s">
        <v>62</v>
      </c>
      <c r="F2477">
        <v>0</v>
      </c>
      <c r="G2477">
        <v>157</v>
      </c>
      <c r="H2477">
        <v>113</v>
      </c>
      <c r="I2477">
        <v>26.69</v>
      </c>
      <c r="J2477">
        <v>256.9</v>
      </c>
      <c r="K2477">
        <v>97</v>
      </c>
      <c r="L2477">
        <v>21.84</v>
      </c>
      <c r="M2477">
        <v>185.5</v>
      </c>
      <c r="N2477">
        <v>126</v>
      </c>
      <c r="O2477">
        <v>8.35</v>
      </c>
      <c r="P2477">
        <v>12.1</v>
      </c>
      <c r="Q2477">
        <v>2</v>
      </c>
      <c r="R2477">
        <v>3.27</v>
      </c>
      <c r="S2477">
        <v>2</v>
      </c>
      <c r="T2477" t="b">
        <v>0</v>
      </c>
    </row>
    <row r="2478" spans="1:20">
      <c r="A2478" t="s">
        <v>109</v>
      </c>
      <c r="B2478">
        <v>190</v>
      </c>
      <c r="C2478">
        <v>415</v>
      </c>
      <c r="D2478" t="s">
        <v>63</v>
      </c>
      <c r="E2478" t="s">
        <v>62</v>
      </c>
      <c r="F2478">
        <v>0</v>
      </c>
      <c r="G2478">
        <v>111.9</v>
      </c>
      <c r="H2478">
        <v>55</v>
      </c>
      <c r="I2478">
        <v>19.02</v>
      </c>
      <c r="J2478">
        <v>223</v>
      </c>
      <c r="K2478">
        <v>124</v>
      </c>
      <c r="L2478">
        <v>18.96</v>
      </c>
      <c r="M2478">
        <v>243.2</v>
      </c>
      <c r="N2478">
        <v>81</v>
      </c>
      <c r="O2478">
        <v>10.94</v>
      </c>
      <c r="P2478">
        <v>10</v>
      </c>
      <c r="Q2478">
        <v>7</v>
      </c>
      <c r="R2478">
        <v>2.7</v>
      </c>
      <c r="S2478">
        <v>3</v>
      </c>
      <c r="T2478" t="b">
        <v>0</v>
      </c>
    </row>
    <row r="2479" spans="1:20">
      <c r="A2479" t="s">
        <v>106</v>
      </c>
      <c r="B2479">
        <v>54</v>
      </c>
      <c r="C2479">
        <v>510</v>
      </c>
      <c r="D2479" t="s">
        <v>63</v>
      </c>
      <c r="E2479" t="s">
        <v>62</v>
      </c>
      <c r="F2479">
        <v>0</v>
      </c>
      <c r="G2479">
        <v>236.3</v>
      </c>
      <c r="H2479">
        <v>91</v>
      </c>
      <c r="I2479">
        <v>40.17</v>
      </c>
      <c r="J2479">
        <v>152.8</v>
      </c>
      <c r="K2479">
        <v>130</v>
      </c>
      <c r="L2479">
        <v>12.99</v>
      </c>
      <c r="M2479">
        <v>160.3</v>
      </c>
      <c r="N2479">
        <v>98</v>
      </c>
      <c r="O2479">
        <v>7.21</v>
      </c>
      <c r="P2479">
        <v>11.2</v>
      </c>
      <c r="Q2479">
        <v>8</v>
      </c>
      <c r="R2479">
        <v>3.02</v>
      </c>
      <c r="S2479">
        <v>3</v>
      </c>
      <c r="T2479" t="b">
        <v>0</v>
      </c>
    </row>
    <row r="2480" spans="1:20">
      <c r="A2480" t="s">
        <v>99</v>
      </c>
      <c r="B2480">
        <v>78</v>
      </c>
      <c r="C2480">
        <v>408</v>
      </c>
      <c r="D2480" t="s">
        <v>62</v>
      </c>
      <c r="E2480" t="s">
        <v>62</v>
      </c>
      <c r="F2480">
        <v>0</v>
      </c>
      <c r="G2480">
        <v>163.6</v>
      </c>
      <c r="H2480">
        <v>88</v>
      </c>
      <c r="I2480">
        <v>27.81</v>
      </c>
      <c r="J2480">
        <v>283.4</v>
      </c>
      <c r="K2480">
        <v>93</v>
      </c>
      <c r="L2480">
        <v>24.09</v>
      </c>
      <c r="M2480">
        <v>262.1</v>
      </c>
      <c r="N2480">
        <v>108</v>
      </c>
      <c r="O2480">
        <v>11.79</v>
      </c>
      <c r="P2480">
        <v>8.6</v>
      </c>
      <c r="Q2480">
        <v>9</v>
      </c>
      <c r="R2480">
        <v>2.32</v>
      </c>
      <c r="S2480">
        <v>0</v>
      </c>
      <c r="T2480" t="b">
        <v>0</v>
      </c>
    </row>
    <row r="2481" spans="1:20">
      <c r="A2481" t="s">
        <v>90</v>
      </c>
      <c r="B2481">
        <v>100</v>
      </c>
      <c r="C2481">
        <v>415</v>
      </c>
      <c r="D2481" t="s">
        <v>62</v>
      </c>
      <c r="E2481" t="s">
        <v>63</v>
      </c>
      <c r="F2481">
        <v>29</v>
      </c>
      <c r="G2481">
        <v>213.6</v>
      </c>
      <c r="H2481">
        <v>127</v>
      </c>
      <c r="I2481">
        <v>36.31</v>
      </c>
      <c r="J2481">
        <v>175.9</v>
      </c>
      <c r="K2481">
        <v>82</v>
      </c>
      <c r="L2481">
        <v>14.95</v>
      </c>
      <c r="M2481">
        <v>207.2</v>
      </c>
      <c r="N2481">
        <v>100</v>
      </c>
      <c r="O2481">
        <v>9.32</v>
      </c>
      <c r="P2481">
        <v>8.9</v>
      </c>
      <c r="Q2481">
        <v>3</v>
      </c>
      <c r="R2481">
        <v>2.4</v>
      </c>
      <c r="S2481">
        <v>1</v>
      </c>
      <c r="T2481" t="b">
        <v>0</v>
      </c>
    </row>
    <row r="2482" spans="1:20">
      <c r="A2482" t="s">
        <v>71</v>
      </c>
      <c r="B2482">
        <v>70</v>
      </c>
      <c r="C2482">
        <v>510</v>
      </c>
      <c r="D2482" t="s">
        <v>62</v>
      </c>
      <c r="E2482" t="s">
        <v>63</v>
      </c>
      <c r="F2482">
        <v>30</v>
      </c>
      <c r="G2482">
        <v>143.4</v>
      </c>
      <c r="H2482">
        <v>72</v>
      </c>
      <c r="I2482">
        <v>24.38</v>
      </c>
      <c r="J2482">
        <v>170</v>
      </c>
      <c r="K2482">
        <v>92</v>
      </c>
      <c r="L2482">
        <v>14.45</v>
      </c>
      <c r="M2482">
        <v>127.9</v>
      </c>
      <c r="N2482">
        <v>68</v>
      </c>
      <c r="O2482">
        <v>5.76</v>
      </c>
      <c r="P2482">
        <v>9.4</v>
      </c>
      <c r="Q2482">
        <v>4</v>
      </c>
      <c r="R2482">
        <v>2.54</v>
      </c>
      <c r="S2482">
        <v>3</v>
      </c>
      <c r="T2482" t="b">
        <v>0</v>
      </c>
    </row>
    <row r="2483" spans="1:20">
      <c r="A2483" t="s">
        <v>79</v>
      </c>
      <c r="B2483">
        <v>117</v>
      </c>
      <c r="C2483">
        <v>408</v>
      </c>
      <c r="D2483" t="s">
        <v>62</v>
      </c>
      <c r="E2483" t="s">
        <v>62</v>
      </c>
      <c r="F2483">
        <v>0</v>
      </c>
      <c r="G2483">
        <v>97.1</v>
      </c>
      <c r="H2483">
        <v>98</v>
      </c>
      <c r="I2483">
        <v>16.51</v>
      </c>
      <c r="J2483">
        <v>228</v>
      </c>
      <c r="K2483">
        <v>131</v>
      </c>
      <c r="L2483">
        <v>19.38</v>
      </c>
      <c r="M2483">
        <v>240</v>
      </c>
      <c r="N2483">
        <v>111</v>
      </c>
      <c r="O2483">
        <v>10.8</v>
      </c>
      <c r="P2483">
        <v>10.6</v>
      </c>
      <c r="Q2483">
        <v>3</v>
      </c>
      <c r="R2483">
        <v>2.86</v>
      </c>
      <c r="S2483">
        <v>1</v>
      </c>
      <c r="T2483" t="b">
        <v>0</v>
      </c>
    </row>
    <row r="2484" spans="1:20">
      <c r="A2484" t="s">
        <v>109</v>
      </c>
      <c r="B2484">
        <v>68</v>
      </c>
      <c r="C2484">
        <v>415</v>
      </c>
      <c r="D2484" t="s">
        <v>62</v>
      </c>
      <c r="E2484" t="s">
        <v>62</v>
      </c>
      <c r="F2484">
        <v>0</v>
      </c>
      <c r="G2484">
        <v>94.1</v>
      </c>
      <c r="H2484">
        <v>93</v>
      </c>
      <c r="I2484">
        <v>16</v>
      </c>
      <c r="J2484">
        <v>147.6</v>
      </c>
      <c r="K2484">
        <v>80</v>
      </c>
      <c r="L2484">
        <v>12.55</v>
      </c>
      <c r="M2484">
        <v>213.5</v>
      </c>
      <c r="N2484">
        <v>85</v>
      </c>
      <c r="O2484">
        <v>9.61</v>
      </c>
      <c r="P2484">
        <v>10.1</v>
      </c>
      <c r="Q2484">
        <v>2</v>
      </c>
      <c r="R2484">
        <v>2.73</v>
      </c>
      <c r="S2484">
        <v>0</v>
      </c>
      <c r="T2484" t="b">
        <v>0</v>
      </c>
    </row>
    <row r="2485" spans="1:20">
      <c r="A2485" t="s">
        <v>99</v>
      </c>
      <c r="B2485">
        <v>27</v>
      </c>
      <c r="C2485">
        <v>510</v>
      </c>
      <c r="D2485" t="s">
        <v>62</v>
      </c>
      <c r="E2485" t="s">
        <v>62</v>
      </c>
      <c r="F2485">
        <v>0</v>
      </c>
      <c r="G2485">
        <v>226.3</v>
      </c>
      <c r="H2485">
        <v>95</v>
      </c>
      <c r="I2485">
        <v>38.47</v>
      </c>
      <c r="J2485">
        <v>274.3</v>
      </c>
      <c r="K2485">
        <v>109</v>
      </c>
      <c r="L2485">
        <v>23.32</v>
      </c>
      <c r="M2485">
        <v>242.7</v>
      </c>
      <c r="N2485">
        <v>119</v>
      </c>
      <c r="O2485">
        <v>10.92</v>
      </c>
      <c r="P2485">
        <v>8.2</v>
      </c>
      <c r="Q2485">
        <v>3</v>
      </c>
      <c r="R2485">
        <v>2.21</v>
      </c>
      <c r="S2485">
        <v>2</v>
      </c>
      <c r="T2485" t="b">
        <v>1</v>
      </c>
    </row>
    <row r="2486" spans="1:20">
      <c r="A2486" t="s">
        <v>102</v>
      </c>
      <c r="B2486">
        <v>91</v>
      </c>
      <c r="C2486">
        <v>415</v>
      </c>
      <c r="D2486" t="s">
        <v>62</v>
      </c>
      <c r="E2486" t="s">
        <v>62</v>
      </c>
      <c r="F2486">
        <v>0</v>
      </c>
      <c r="G2486">
        <v>133.8</v>
      </c>
      <c r="H2486">
        <v>61</v>
      </c>
      <c r="I2486">
        <v>22.75</v>
      </c>
      <c r="J2486">
        <v>158.8</v>
      </c>
      <c r="K2486">
        <v>96</v>
      </c>
      <c r="L2486">
        <v>13.5</v>
      </c>
      <c r="M2486">
        <v>189.6</v>
      </c>
      <c r="N2486">
        <v>92</v>
      </c>
      <c r="O2486">
        <v>8.53</v>
      </c>
      <c r="P2486">
        <v>10.5</v>
      </c>
      <c r="Q2486">
        <v>2</v>
      </c>
      <c r="R2486">
        <v>2.84</v>
      </c>
      <c r="S2486">
        <v>1</v>
      </c>
      <c r="T2486" t="b">
        <v>0</v>
      </c>
    </row>
    <row r="2487" spans="1:20">
      <c r="A2487" t="s">
        <v>67</v>
      </c>
      <c r="B2487">
        <v>181</v>
      </c>
      <c r="C2487">
        <v>415</v>
      </c>
      <c r="D2487" t="s">
        <v>62</v>
      </c>
      <c r="E2487" t="s">
        <v>63</v>
      </c>
      <c r="F2487">
        <v>27</v>
      </c>
      <c r="G2487">
        <v>190.3</v>
      </c>
      <c r="H2487">
        <v>93</v>
      </c>
      <c r="I2487">
        <v>32.35</v>
      </c>
      <c r="J2487">
        <v>249</v>
      </c>
      <c r="K2487">
        <v>127</v>
      </c>
      <c r="L2487">
        <v>21.17</v>
      </c>
      <c r="M2487">
        <v>215.7</v>
      </c>
      <c r="N2487">
        <v>82</v>
      </c>
      <c r="O2487">
        <v>9.71</v>
      </c>
      <c r="P2487">
        <v>10.6</v>
      </c>
      <c r="Q2487">
        <v>4</v>
      </c>
      <c r="R2487">
        <v>2.86</v>
      </c>
      <c r="S2487">
        <v>1</v>
      </c>
      <c r="T2487" t="b">
        <v>0</v>
      </c>
    </row>
    <row r="2488" spans="1:20">
      <c r="A2488" t="s">
        <v>82</v>
      </c>
      <c r="B2488">
        <v>118</v>
      </c>
      <c r="C2488">
        <v>415</v>
      </c>
      <c r="D2488" t="s">
        <v>62</v>
      </c>
      <c r="E2488" t="s">
        <v>63</v>
      </c>
      <c r="F2488">
        <v>36</v>
      </c>
      <c r="G2488">
        <v>294.9</v>
      </c>
      <c r="H2488">
        <v>106</v>
      </c>
      <c r="I2488">
        <v>50.13</v>
      </c>
      <c r="J2488">
        <v>165.7</v>
      </c>
      <c r="K2488">
        <v>115</v>
      </c>
      <c r="L2488">
        <v>14.08</v>
      </c>
      <c r="M2488">
        <v>189.2</v>
      </c>
      <c r="N2488">
        <v>63</v>
      </c>
      <c r="O2488">
        <v>8.51</v>
      </c>
      <c r="P2488">
        <v>9.8</v>
      </c>
      <c r="Q2488">
        <v>5</v>
      </c>
      <c r="R2488">
        <v>2.65</v>
      </c>
      <c r="S2488">
        <v>3</v>
      </c>
      <c r="T2488" t="b">
        <v>0</v>
      </c>
    </row>
    <row r="2489" spans="1:20">
      <c r="A2489" t="s">
        <v>108</v>
      </c>
      <c r="B2489">
        <v>112</v>
      </c>
      <c r="C2489">
        <v>415</v>
      </c>
      <c r="D2489" t="s">
        <v>62</v>
      </c>
      <c r="E2489" t="s">
        <v>62</v>
      </c>
      <c r="F2489">
        <v>0</v>
      </c>
      <c r="G2489">
        <v>185.4</v>
      </c>
      <c r="H2489">
        <v>114</v>
      </c>
      <c r="I2489">
        <v>31.52</v>
      </c>
      <c r="J2489">
        <v>191.4</v>
      </c>
      <c r="K2489">
        <v>119</v>
      </c>
      <c r="L2489">
        <v>16.27</v>
      </c>
      <c r="M2489">
        <v>144</v>
      </c>
      <c r="N2489">
        <v>78</v>
      </c>
      <c r="O2489">
        <v>6.48</v>
      </c>
      <c r="P2489">
        <v>10</v>
      </c>
      <c r="Q2489">
        <v>11</v>
      </c>
      <c r="R2489">
        <v>2.7</v>
      </c>
      <c r="S2489">
        <v>2</v>
      </c>
      <c r="T2489" t="b">
        <v>0</v>
      </c>
    </row>
    <row r="2490" spans="1:20">
      <c r="A2490" t="s">
        <v>89</v>
      </c>
      <c r="B2490">
        <v>93</v>
      </c>
      <c r="C2490">
        <v>415</v>
      </c>
      <c r="D2490" t="s">
        <v>62</v>
      </c>
      <c r="E2490" t="s">
        <v>62</v>
      </c>
      <c r="F2490">
        <v>0</v>
      </c>
      <c r="G2490">
        <v>179.5</v>
      </c>
      <c r="H2490">
        <v>121</v>
      </c>
      <c r="I2490">
        <v>30.52</v>
      </c>
      <c r="J2490">
        <v>191.9</v>
      </c>
      <c r="K2490">
        <v>131</v>
      </c>
      <c r="L2490">
        <v>16.31</v>
      </c>
      <c r="M2490">
        <v>165.5</v>
      </c>
      <c r="N2490">
        <v>125</v>
      </c>
      <c r="O2490">
        <v>7.45</v>
      </c>
      <c r="P2490">
        <v>12</v>
      </c>
      <c r="Q2490">
        <v>4</v>
      </c>
      <c r="R2490">
        <v>3.24</v>
      </c>
      <c r="S2490">
        <v>0</v>
      </c>
      <c r="T2490" t="b">
        <v>0</v>
      </c>
    </row>
    <row r="2491" spans="1:20">
      <c r="A2491" t="s">
        <v>83</v>
      </c>
      <c r="B2491">
        <v>102</v>
      </c>
      <c r="C2491">
        <v>408</v>
      </c>
      <c r="D2491" t="s">
        <v>62</v>
      </c>
      <c r="E2491" t="s">
        <v>62</v>
      </c>
      <c r="F2491">
        <v>0</v>
      </c>
      <c r="G2491">
        <v>158</v>
      </c>
      <c r="H2491">
        <v>94</v>
      </c>
      <c r="I2491">
        <v>26.86</v>
      </c>
      <c r="J2491">
        <v>207.9</v>
      </c>
      <c r="K2491">
        <v>100</v>
      </c>
      <c r="L2491">
        <v>17.67</v>
      </c>
      <c r="M2491">
        <v>190.4</v>
      </c>
      <c r="N2491">
        <v>120</v>
      </c>
      <c r="O2491">
        <v>8.57</v>
      </c>
      <c r="P2491">
        <v>10.1</v>
      </c>
      <c r="Q2491">
        <v>10</v>
      </c>
      <c r="R2491">
        <v>2.73</v>
      </c>
      <c r="S2491">
        <v>0</v>
      </c>
      <c r="T2491" t="b">
        <v>0</v>
      </c>
    </row>
    <row r="2492" spans="1:20">
      <c r="A2492" t="s">
        <v>68</v>
      </c>
      <c r="B2492">
        <v>93</v>
      </c>
      <c r="C2492">
        <v>415</v>
      </c>
      <c r="D2492" t="s">
        <v>62</v>
      </c>
      <c r="E2492" t="s">
        <v>62</v>
      </c>
      <c r="F2492">
        <v>0</v>
      </c>
      <c r="G2492">
        <v>173</v>
      </c>
      <c r="H2492">
        <v>131</v>
      </c>
      <c r="I2492">
        <v>29.41</v>
      </c>
      <c r="J2492">
        <v>190.4</v>
      </c>
      <c r="K2492">
        <v>108</v>
      </c>
      <c r="L2492">
        <v>16.18</v>
      </c>
      <c r="M2492">
        <v>290</v>
      </c>
      <c r="N2492">
        <v>66</v>
      </c>
      <c r="O2492">
        <v>13.05</v>
      </c>
      <c r="P2492">
        <v>10.4</v>
      </c>
      <c r="Q2492">
        <v>2</v>
      </c>
      <c r="R2492">
        <v>2.81</v>
      </c>
      <c r="S2492">
        <v>0</v>
      </c>
      <c r="T2492" t="b">
        <v>0</v>
      </c>
    </row>
    <row r="2493" spans="1:20">
      <c r="A2493" t="s">
        <v>83</v>
      </c>
      <c r="B2493">
        <v>107</v>
      </c>
      <c r="C2493">
        <v>415</v>
      </c>
      <c r="D2493" t="s">
        <v>62</v>
      </c>
      <c r="E2493" t="s">
        <v>63</v>
      </c>
      <c r="F2493">
        <v>32</v>
      </c>
      <c r="G2493">
        <v>134.2</v>
      </c>
      <c r="H2493">
        <v>101</v>
      </c>
      <c r="I2493">
        <v>22.81</v>
      </c>
      <c r="J2493">
        <v>211.9</v>
      </c>
      <c r="K2493">
        <v>145</v>
      </c>
      <c r="L2493">
        <v>18.01</v>
      </c>
      <c r="M2493">
        <v>167.6</v>
      </c>
      <c r="N2493">
        <v>138</v>
      </c>
      <c r="O2493">
        <v>7.54</v>
      </c>
      <c r="P2493">
        <v>8.2</v>
      </c>
      <c r="Q2493">
        <v>5</v>
      </c>
      <c r="R2493">
        <v>2.21</v>
      </c>
      <c r="S2493">
        <v>1</v>
      </c>
      <c r="T2493" t="b">
        <v>0</v>
      </c>
    </row>
    <row r="2494" spans="1:20">
      <c r="A2494" t="s">
        <v>95</v>
      </c>
      <c r="B2494">
        <v>115</v>
      </c>
      <c r="C2494">
        <v>415</v>
      </c>
      <c r="D2494" t="s">
        <v>62</v>
      </c>
      <c r="E2494" t="s">
        <v>62</v>
      </c>
      <c r="F2494">
        <v>0</v>
      </c>
      <c r="G2494">
        <v>195.9</v>
      </c>
      <c r="H2494">
        <v>111</v>
      </c>
      <c r="I2494">
        <v>33.3</v>
      </c>
      <c r="J2494">
        <v>227</v>
      </c>
      <c r="K2494">
        <v>108</v>
      </c>
      <c r="L2494">
        <v>19.3</v>
      </c>
      <c r="M2494">
        <v>313.2</v>
      </c>
      <c r="N2494">
        <v>113</v>
      </c>
      <c r="O2494">
        <v>14.09</v>
      </c>
      <c r="P2494">
        <v>13.2</v>
      </c>
      <c r="Q2494">
        <v>1</v>
      </c>
      <c r="R2494">
        <v>3.56</v>
      </c>
      <c r="S2494">
        <v>2</v>
      </c>
      <c r="T2494" t="b">
        <v>0</v>
      </c>
    </row>
    <row r="2495" spans="1:20">
      <c r="A2495" t="s">
        <v>93</v>
      </c>
      <c r="B2495">
        <v>63</v>
      </c>
      <c r="C2495">
        <v>510</v>
      </c>
      <c r="D2495" t="s">
        <v>62</v>
      </c>
      <c r="E2495" t="s">
        <v>63</v>
      </c>
      <c r="F2495">
        <v>13</v>
      </c>
      <c r="G2495">
        <v>214.2</v>
      </c>
      <c r="H2495">
        <v>61</v>
      </c>
      <c r="I2495">
        <v>36.41</v>
      </c>
      <c r="J2495">
        <v>181.2</v>
      </c>
      <c r="K2495">
        <v>88</v>
      </c>
      <c r="L2495">
        <v>15.4</v>
      </c>
      <c r="M2495">
        <v>174</v>
      </c>
      <c r="N2495">
        <v>68</v>
      </c>
      <c r="O2495">
        <v>7.83</v>
      </c>
      <c r="P2495">
        <v>10.3</v>
      </c>
      <c r="Q2495">
        <v>2</v>
      </c>
      <c r="R2495">
        <v>2.78</v>
      </c>
      <c r="S2495">
        <v>0</v>
      </c>
      <c r="T2495" t="b">
        <v>0</v>
      </c>
    </row>
    <row r="2496" spans="1:20">
      <c r="A2496" t="s">
        <v>105</v>
      </c>
      <c r="B2496">
        <v>119</v>
      </c>
      <c r="C2496">
        <v>408</v>
      </c>
      <c r="D2496" t="s">
        <v>62</v>
      </c>
      <c r="E2496" t="s">
        <v>63</v>
      </c>
      <c r="F2496">
        <v>26</v>
      </c>
      <c r="G2496">
        <v>132</v>
      </c>
      <c r="H2496">
        <v>100</v>
      </c>
      <c r="I2496">
        <v>22.44</v>
      </c>
      <c r="J2496">
        <v>173.3</v>
      </c>
      <c r="K2496">
        <v>121</v>
      </c>
      <c r="L2496">
        <v>14.73</v>
      </c>
      <c r="M2496">
        <v>203.5</v>
      </c>
      <c r="N2496">
        <v>108</v>
      </c>
      <c r="O2496">
        <v>9.16</v>
      </c>
      <c r="P2496">
        <v>11.6</v>
      </c>
      <c r="Q2496">
        <v>5</v>
      </c>
      <c r="R2496">
        <v>3.13</v>
      </c>
      <c r="S2496">
        <v>1</v>
      </c>
      <c r="T2496" t="b">
        <v>0</v>
      </c>
    </row>
    <row r="2497" spans="1:20">
      <c r="A2497" t="s">
        <v>89</v>
      </c>
      <c r="B2497">
        <v>73</v>
      </c>
      <c r="C2497">
        <v>408</v>
      </c>
      <c r="D2497" t="s">
        <v>62</v>
      </c>
      <c r="E2497" t="s">
        <v>62</v>
      </c>
      <c r="F2497">
        <v>0</v>
      </c>
      <c r="G2497">
        <v>157.6</v>
      </c>
      <c r="H2497">
        <v>92</v>
      </c>
      <c r="I2497">
        <v>26.79</v>
      </c>
      <c r="J2497">
        <v>198.3</v>
      </c>
      <c r="K2497">
        <v>87</v>
      </c>
      <c r="L2497">
        <v>16.86</v>
      </c>
      <c r="M2497">
        <v>364.9</v>
      </c>
      <c r="N2497">
        <v>106</v>
      </c>
      <c r="O2497">
        <v>16.42</v>
      </c>
      <c r="P2497">
        <v>9.1</v>
      </c>
      <c r="Q2497">
        <v>4</v>
      </c>
      <c r="R2497">
        <v>2.46</v>
      </c>
      <c r="S2497">
        <v>1</v>
      </c>
      <c r="T2497" t="b">
        <v>0</v>
      </c>
    </row>
    <row r="2498" spans="1:20">
      <c r="A2498" t="s">
        <v>114</v>
      </c>
      <c r="B2498">
        <v>98</v>
      </c>
      <c r="C2498">
        <v>408</v>
      </c>
      <c r="D2498" t="s">
        <v>62</v>
      </c>
      <c r="E2498" t="s">
        <v>63</v>
      </c>
      <c r="F2498">
        <v>30</v>
      </c>
      <c r="G2498">
        <v>110.3</v>
      </c>
      <c r="H2498">
        <v>71</v>
      </c>
      <c r="I2498">
        <v>18.75</v>
      </c>
      <c r="J2498">
        <v>182.4</v>
      </c>
      <c r="K2498">
        <v>108</v>
      </c>
      <c r="L2498">
        <v>15.5</v>
      </c>
      <c r="M2498">
        <v>183.8</v>
      </c>
      <c r="N2498">
        <v>88</v>
      </c>
      <c r="O2498">
        <v>8.27</v>
      </c>
      <c r="P2498">
        <v>11</v>
      </c>
      <c r="Q2498">
        <v>8</v>
      </c>
      <c r="R2498">
        <v>2.97</v>
      </c>
      <c r="S2498">
        <v>2</v>
      </c>
      <c r="T2498" t="b">
        <v>0</v>
      </c>
    </row>
    <row r="2499" spans="1:20">
      <c r="A2499" t="s">
        <v>79</v>
      </c>
      <c r="B2499">
        <v>139</v>
      </c>
      <c r="C2499">
        <v>415</v>
      </c>
      <c r="D2499" t="s">
        <v>63</v>
      </c>
      <c r="E2499" t="s">
        <v>62</v>
      </c>
      <c r="F2499">
        <v>0</v>
      </c>
      <c r="G2499">
        <v>161.5</v>
      </c>
      <c r="H2499">
        <v>121</v>
      </c>
      <c r="I2499">
        <v>27.46</v>
      </c>
      <c r="J2499">
        <v>192.9</v>
      </c>
      <c r="K2499">
        <v>137</v>
      </c>
      <c r="L2499">
        <v>16.4</v>
      </c>
      <c r="M2499">
        <v>168.3</v>
      </c>
      <c r="N2499">
        <v>96</v>
      </c>
      <c r="O2499">
        <v>7.57</v>
      </c>
      <c r="P2499">
        <v>11.2</v>
      </c>
      <c r="Q2499">
        <v>13</v>
      </c>
      <c r="R2499">
        <v>3.02</v>
      </c>
      <c r="S2499">
        <v>0</v>
      </c>
      <c r="T2499" t="b">
        <v>0</v>
      </c>
    </row>
    <row r="2500" spans="1:20">
      <c r="A2500" t="s">
        <v>106</v>
      </c>
      <c r="B2500">
        <v>31</v>
      </c>
      <c r="C2500">
        <v>408</v>
      </c>
      <c r="D2500" t="s">
        <v>62</v>
      </c>
      <c r="E2500" t="s">
        <v>63</v>
      </c>
      <c r="F2500">
        <v>28</v>
      </c>
      <c r="G2500">
        <v>171.8</v>
      </c>
      <c r="H2500">
        <v>116</v>
      </c>
      <c r="I2500">
        <v>29.21</v>
      </c>
      <c r="J2500">
        <v>240.7</v>
      </c>
      <c r="K2500">
        <v>125</v>
      </c>
      <c r="L2500">
        <v>20.46</v>
      </c>
      <c r="M2500">
        <v>245.5</v>
      </c>
      <c r="N2500">
        <v>80</v>
      </c>
      <c r="O2500">
        <v>11.05</v>
      </c>
      <c r="P2500">
        <v>10.6</v>
      </c>
      <c r="Q2500">
        <v>7</v>
      </c>
      <c r="R2500">
        <v>2.86</v>
      </c>
      <c r="S2500">
        <v>1</v>
      </c>
      <c r="T2500" t="b">
        <v>0</v>
      </c>
    </row>
    <row r="2501" spans="1:20">
      <c r="A2501" t="s">
        <v>113</v>
      </c>
      <c r="B2501">
        <v>129</v>
      </c>
      <c r="C2501">
        <v>510</v>
      </c>
      <c r="D2501" t="s">
        <v>62</v>
      </c>
      <c r="E2501" t="s">
        <v>63</v>
      </c>
      <c r="F2501">
        <v>32</v>
      </c>
      <c r="G2501">
        <v>211</v>
      </c>
      <c r="H2501">
        <v>99</v>
      </c>
      <c r="I2501">
        <v>35.87</v>
      </c>
      <c r="J2501">
        <v>155.1</v>
      </c>
      <c r="K2501">
        <v>89</v>
      </c>
      <c r="L2501">
        <v>13.18</v>
      </c>
      <c r="M2501">
        <v>234.8</v>
      </c>
      <c r="N2501">
        <v>96</v>
      </c>
      <c r="O2501">
        <v>10.57</v>
      </c>
      <c r="P2501">
        <v>11.4</v>
      </c>
      <c r="Q2501">
        <v>5</v>
      </c>
      <c r="R2501">
        <v>3.08</v>
      </c>
      <c r="S2501">
        <v>1</v>
      </c>
      <c r="T2501" t="b">
        <v>0</v>
      </c>
    </row>
    <row r="2502" spans="1:20">
      <c r="A2502" t="s">
        <v>92</v>
      </c>
      <c r="B2502">
        <v>115</v>
      </c>
      <c r="C2502">
        <v>415</v>
      </c>
      <c r="D2502" t="s">
        <v>62</v>
      </c>
      <c r="E2502" t="s">
        <v>62</v>
      </c>
      <c r="F2502">
        <v>0</v>
      </c>
      <c r="G2502">
        <v>139.3</v>
      </c>
      <c r="H2502">
        <v>89</v>
      </c>
      <c r="I2502">
        <v>23.68</v>
      </c>
      <c r="J2502">
        <v>192.3</v>
      </c>
      <c r="K2502">
        <v>95</v>
      </c>
      <c r="L2502">
        <v>16.35</v>
      </c>
      <c r="M2502">
        <v>151</v>
      </c>
      <c r="N2502">
        <v>75</v>
      </c>
      <c r="O2502">
        <v>6.8</v>
      </c>
      <c r="P2502">
        <v>9.3</v>
      </c>
      <c r="Q2502">
        <v>3</v>
      </c>
      <c r="R2502">
        <v>2.51</v>
      </c>
      <c r="S2502">
        <v>7</v>
      </c>
      <c r="T2502" t="b">
        <v>1</v>
      </c>
    </row>
    <row r="2503" spans="1:20">
      <c r="A2503" t="s">
        <v>114</v>
      </c>
      <c r="B2503">
        <v>108</v>
      </c>
      <c r="C2503">
        <v>415</v>
      </c>
      <c r="D2503" t="s">
        <v>62</v>
      </c>
      <c r="E2503" t="s">
        <v>62</v>
      </c>
      <c r="F2503">
        <v>0</v>
      </c>
      <c r="G2503">
        <v>291.6</v>
      </c>
      <c r="H2503">
        <v>99</v>
      </c>
      <c r="I2503">
        <v>49.57</v>
      </c>
      <c r="J2503">
        <v>221.1</v>
      </c>
      <c r="K2503">
        <v>93</v>
      </c>
      <c r="L2503">
        <v>18.79</v>
      </c>
      <c r="M2503">
        <v>229.2</v>
      </c>
      <c r="N2503">
        <v>110</v>
      </c>
      <c r="O2503">
        <v>10.31</v>
      </c>
      <c r="P2503">
        <v>14</v>
      </c>
      <c r="Q2503">
        <v>9</v>
      </c>
      <c r="R2503">
        <v>3.78</v>
      </c>
      <c r="S2503">
        <v>2</v>
      </c>
      <c r="T2503" t="b">
        <v>1</v>
      </c>
    </row>
    <row r="2504" spans="1:20">
      <c r="A2504" t="s">
        <v>71</v>
      </c>
      <c r="B2504">
        <v>102</v>
      </c>
      <c r="C2504">
        <v>408</v>
      </c>
      <c r="D2504" t="s">
        <v>62</v>
      </c>
      <c r="E2504" t="s">
        <v>62</v>
      </c>
      <c r="F2504">
        <v>0</v>
      </c>
      <c r="G2504">
        <v>234.8</v>
      </c>
      <c r="H2504">
        <v>125</v>
      </c>
      <c r="I2504">
        <v>39.92</v>
      </c>
      <c r="J2504">
        <v>199.2</v>
      </c>
      <c r="K2504">
        <v>99</v>
      </c>
      <c r="L2504">
        <v>16.93</v>
      </c>
      <c r="M2504">
        <v>163.2</v>
      </c>
      <c r="N2504">
        <v>88</v>
      </c>
      <c r="O2504">
        <v>7.34</v>
      </c>
      <c r="P2504">
        <v>10</v>
      </c>
      <c r="Q2504">
        <v>1</v>
      </c>
      <c r="R2504">
        <v>2.7</v>
      </c>
      <c r="S2504">
        <v>4</v>
      </c>
      <c r="T2504" t="b">
        <v>0</v>
      </c>
    </row>
    <row r="2505" spans="1:20">
      <c r="A2505" t="s">
        <v>66</v>
      </c>
      <c r="B2505">
        <v>149</v>
      </c>
      <c r="C2505">
        <v>408</v>
      </c>
      <c r="D2505" t="s">
        <v>62</v>
      </c>
      <c r="E2505" t="s">
        <v>62</v>
      </c>
      <c r="F2505">
        <v>0</v>
      </c>
      <c r="G2505">
        <v>187.6</v>
      </c>
      <c r="H2505">
        <v>83</v>
      </c>
      <c r="I2505">
        <v>31.89</v>
      </c>
      <c r="J2505">
        <v>201.4</v>
      </c>
      <c r="K2505">
        <v>81</v>
      </c>
      <c r="L2505">
        <v>17.12</v>
      </c>
      <c r="M2505">
        <v>264.2</v>
      </c>
      <c r="N2505">
        <v>79</v>
      </c>
      <c r="O2505">
        <v>11.89</v>
      </c>
      <c r="P2505">
        <v>8.8</v>
      </c>
      <c r="Q2505">
        <v>1</v>
      </c>
      <c r="R2505">
        <v>2.38</v>
      </c>
      <c r="S2505">
        <v>1</v>
      </c>
      <c r="T2505" t="b">
        <v>0</v>
      </c>
    </row>
    <row r="2506" spans="1:20">
      <c r="A2506" t="s">
        <v>115</v>
      </c>
      <c r="B2506">
        <v>131</v>
      </c>
      <c r="C2506">
        <v>408</v>
      </c>
      <c r="D2506" t="s">
        <v>62</v>
      </c>
      <c r="E2506" t="s">
        <v>63</v>
      </c>
      <c r="F2506">
        <v>33</v>
      </c>
      <c r="G2506">
        <v>177.1</v>
      </c>
      <c r="H2506">
        <v>100</v>
      </c>
      <c r="I2506">
        <v>30.11</v>
      </c>
      <c r="J2506">
        <v>194</v>
      </c>
      <c r="K2506">
        <v>85</v>
      </c>
      <c r="L2506">
        <v>16.49</v>
      </c>
      <c r="M2506">
        <v>253.4</v>
      </c>
      <c r="N2506">
        <v>124</v>
      </c>
      <c r="O2506">
        <v>11.4</v>
      </c>
      <c r="P2506">
        <v>5.2</v>
      </c>
      <c r="Q2506">
        <v>5</v>
      </c>
      <c r="R2506">
        <v>1.4</v>
      </c>
      <c r="S2506">
        <v>1</v>
      </c>
      <c r="T2506" t="b">
        <v>0</v>
      </c>
    </row>
    <row r="2507" spans="1:20">
      <c r="A2507" t="s">
        <v>69</v>
      </c>
      <c r="B2507">
        <v>83</v>
      </c>
      <c r="C2507">
        <v>408</v>
      </c>
      <c r="D2507" t="s">
        <v>62</v>
      </c>
      <c r="E2507" t="s">
        <v>62</v>
      </c>
      <c r="F2507">
        <v>0</v>
      </c>
      <c r="G2507">
        <v>117.9</v>
      </c>
      <c r="H2507">
        <v>101</v>
      </c>
      <c r="I2507">
        <v>20.04</v>
      </c>
      <c r="J2507">
        <v>160.4</v>
      </c>
      <c r="K2507">
        <v>92</v>
      </c>
      <c r="L2507">
        <v>13.63</v>
      </c>
      <c r="M2507">
        <v>235.3</v>
      </c>
      <c r="N2507">
        <v>150</v>
      </c>
      <c r="O2507">
        <v>10.59</v>
      </c>
      <c r="P2507">
        <v>11.4</v>
      </c>
      <c r="Q2507">
        <v>10</v>
      </c>
      <c r="R2507">
        <v>3.08</v>
      </c>
      <c r="S2507">
        <v>0</v>
      </c>
      <c r="T2507" t="b">
        <v>0</v>
      </c>
    </row>
    <row r="2508" spans="1:20">
      <c r="A2508" t="s">
        <v>92</v>
      </c>
      <c r="B2508">
        <v>96</v>
      </c>
      <c r="C2508">
        <v>415</v>
      </c>
      <c r="D2508" t="s">
        <v>62</v>
      </c>
      <c r="E2508" t="s">
        <v>63</v>
      </c>
      <c r="F2508">
        <v>21</v>
      </c>
      <c r="G2508">
        <v>247.6</v>
      </c>
      <c r="H2508">
        <v>95</v>
      </c>
      <c r="I2508">
        <v>42.09</v>
      </c>
      <c r="J2508">
        <v>256.3</v>
      </c>
      <c r="K2508">
        <v>150</v>
      </c>
      <c r="L2508">
        <v>21.79</v>
      </c>
      <c r="M2508">
        <v>158.6</v>
      </c>
      <c r="N2508">
        <v>72</v>
      </c>
      <c r="O2508">
        <v>7.14</v>
      </c>
      <c r="P2508">
        <v>10.8</v>
      </c>
      <c r="Q2508">
        <v>6</v>
      </c>
      <c r="R2508">
        <v>2.92</v>
      </c>
      <c r="S2508">
        <v>2</v>
      </c>
      <c r="T2508" t="b">
        <v>0</v>
      </c>
    </row>
    <row r="2509" spans="1:20">
      <c r="A2509" t="s">
        <v>89</v>
      </c>
      <c r="B2509">
        <v>98</v>
      </c>
      <c r="C2509">
        <v>408</v>
      </c>
      <c r="D2509" t="s">
        <v>62</v>
      </c>
      <c r="E2509" t="s">
        <v>62</v>
      </c>
      <c r="F2509">
        <v>0</v>
      </c>
      <c r="G2509">
        <v>169.9</v>
      </c>
      <c r="H2509">
        <v>77</v>
      </c>
      <c r="I2509">
        <v>28.88</v>
      </c>
      <c r="J2509">
        <v>138.3</v>
      </c>
      <c r="K2509">
        <v>155</v>
      </c>
      <c r="L2509">
        <v>11.76</v>
      </c>
      <c r="M2509">
        <v>142.6</v>
      </c>
      <c r="N2509">
        <v>105</v>
      </c>
      <c r="O2509">
        <v>6.42</v>
      </c>
      <c r="P2509">
        <v>8.5</v>
      </c>
      <c r="Q2509">
        <v>7</v>
      </c>
      <c r="R2509">
        <v>2.3</v>
      </c>
      <c r="S2509">
        <v>1</v>
      </c>
      <c r="T2509" t="b">
        <v>0</v>
      </c>
    </row>
    <row r="2510" spans="1:20">
      <c r="A2510" t="s">
        <v>112</v>
      </c>
      <c r="B2510">
        <v>3</v>
      </c>
      <c r="C2510">
        <v>415</v>
      </c>
      <c r="D2510" t="s">
        <v>62</v>
      </c>
      <c r="E2510" t="s">
        <v>62</v>
      </c>
      <c r="F2510">
        <v>0</v>
      </c>
      <c r="G2510">
        <v>185</v>
      </c>
      <c r="H2510">
        <v>120</v>
      </c>
      <c r="I2510">
        <v>31.45</v>
      </c>
      <c r="J2510">
        <v>203.7</v>
      </c>
      <c r="K2510">
        <v>129</v>
      </c>
      <c r="L2510">
        <v>17.31</v>
      </c>
      <c r="M2510">
        <v>170.5</v>
      </c>
      <c r="N2510">
        <v>89</v>
      </c>
      <c r="O2510">
        <v>7.67</v>
      </c>
      <c r="P2510">
        <v>14.1</v>
      </c>
      <c r="Q2510">
        <v>3</v>
      </c>
      <c r="R2510">
        <v>3.81</v>
      </c>
      <c r="S2510">
        <v>3</v>
      </c>
      <c r="T2510" t="b">
        <v>0</v>
      </c>
    </row>
    <row r="2511" spans="1:20">
      <c r="A2511" t="s">
        <v>68</v>
      </c>
      <c r="B2511">
        <v>77</v>
      </c>
      <c r="C2511">
        <v>408</v>
      </c>
      <c r="D2511" t="s">
        <v>62</v>
      </c>
      <c r="E2511" t="s">
        <v>63</v>
      </c>
      <c r="F2511">
        <v>17</v>
      </c>
      <c r="G2511">
        <v>204.9</v>
      </c>
      <c r="H2511">
        <v>84</v>
      </c>
      <c r="I2511">
        <v>34.83</v>
      </c>
      <c r="J2511">
        <v>201</v>
      </c>
      <c r="K2511">
        <v>102</v>
      </c>
      <c r="L2511">
        <v>17.09</v>
      </c>
      <c r="M2511">
        <v>219.7</v>
      </c>
      <c r="N2511">
        <v>97</v>
      </c>
      <c r="O2511">
        <v>9.89</v>
      </c>
      <c r="P2511">
        <v>11.3</v>
      </c>
      <c r="Q2511">
        <v>5</v>
      </c>
      <c r="R2511">
        <v>3.05</v>
      </c>
      <c r="S2511">
        <v>0</v>
      </c>
      <c r="T2511" t="b">
        <v>0</v>
      </c>
    </row>
    <row r="2512" spans="1:20">
      <c r="A2512" t="s">
        <v>115</v>
      </c>
      <c r="B2512">
        <v>75</v>
      </c>
      <c r="C2512">
        <v>408</v>
      </c>
      <c r="D2512" t="s">
        <v>62</v>
      </c>
      <c r="E2512" t="s">
        <v>63</v>
      </c>
      <c r="F2512">
        <v>24</v>
      </c>
      <c r="G2512">
        <v>225.5</v>
      </c>
      <c r="H2512">
        <v>119</v>
      </c>
      <c r="I2512">
        <v>38.34</v>
      </c>
      <c r="J2512">
        <v>182</v>
      </c>
      <c r="K2512">
        <v>108</v>
      </c>
      <c r="L2512">
        <v>15.47</v>
      </c>
      <c r="M2512">
        <v>270.9</v>
      </c>
      <c r="N2512">
        <v>106</v>
      </c>
      <c r="O2512">
        <v>12.19</v>
      </c>
      <c r="P2512">
        <v>9.4</v>
      </c>
      <c r="Q2512">
        <v>2</v>
      </c>
      <c r="R2512">
        <v>2.54</v>
      </c>
      <c r="S2512">
        <v>3</v>
      </c>
      <c r="T2512" t="b">
        <v>0</v>
      </c>
    </row>
    <row r="2513" spans="1:20">
      <c r="A2513" t="s">
        <v>75</v>
      </c>
      <c r="B2513">
        <v>40</v>
      </c>
      <c r="C2513">
        <v>510</v>
      </c>
      <c r="D2513" t="s">
        <v>62</v>
      </c>
      <c r="E2513" t="s">
        <v>62</v>
      </c>
      <c r="F2513">
        <v>0</v>
      </c>
      <c r="G2513">
        <v>169.7</v>
      </c>
      <c r="H2513">
        <v>115</v>
      </c>
      <c r="I2513">
        <v>28.85</v>
      </c>
      <c r="J2513">
        <v>141.4</v>
      </c>
      <c r="K2513">
        <v>123</v>
      </c>
      <c r="L2513">
        <v>12.02</v>
      </c>
      <c r="M2513">
        <v>253</v>
      </c>
      <c r="N2513">
        <v>115</v>
      </c>
      <c r="O2513">
        <v>11.39</v>
      </c>
      <c r="P2513">
        <v>10.5</v>
      </c>
      <c r="Q2513">
        <v>3</v>
      </c>
      <c r="R2513">
        <v>2.84</v>
      </c>
      <c r="S2513">
        <v>4</v>
      </c>
      <c r="T2513" t="b">
        <v>1</v>
      </c>
    </row>
    <row r="2514" spans="1:20">
      <c r="A2514" t="s">
        <v>67</v>
      </c>
      <c r="B2514">
        <v>16</v>
      </c>
      <c r="C2514">
        <v>415</v>
      </c>
      <c r="D2514" t="s">
        <v>62</v>
      </c>
      <c r="E2514" t="s">
        <v>62</v>
      </c>
      <c r="F2514">
        <v>0</v>
      </c>
      <c r="G2514">
        <v>161.9</v>
      </c>
      <c r="H2514">
        <v>100</v>
      </c>
      <c r="I2514">
        <v>27.52</v>
      </c>
      <c r="J2514">
        <v>230.1</v>
      </c>
      <c r="K2514">
        <v>138</v>
      </c>
      <c r="L2514">
        <v>19.56</v>
      </c>
      <c r="M2514">
        <v>148.8</v>
      </c>
      <c r="N2514">
        <v>78</v>
      </c>
      <c r="O2514">
        <v>6.7</v>
      </c>
      <c r="P2514">
        <v>10.2</v>
      </c>
      <c r="Q2514">
        <v>11</v>
      </c>
      <c r="R2514">
        <v>2.75</v>
      </c>
      <c r="S2514">
        <v>3</v>
      </c>
      <c r="T2514" t="b">
        <v>0</v>
      </c>
    </row>
    <row r="2515" spans="1:20">
      <c r="A2515" t="s">
        <v>106</v>
      </c>
      <c r="B2515">
        <v>115</v>
      </c>
      <c r="C2515">
        <v>510</v>
      </c>
      <c r="D2515" t="s">
        <v>62</v>
      </c>
      <c r="E2515" t="s">
        <v>63</v>
      </c>
      <c r="F2515">
        <v>16</v>
      </c>
      <c r="G2515">
        <v>133.3</v>
      </c>
      <c r="H2515">
        <v>110</v>
      </c>
      <c r="I2515">
        <v>22.66</v>
      </c>
      <c r="J2515">
        <v>185.7</v>
      </c>
      <c r="K2515">
        <v>111</v>
      </c>
      <c r="L2515">
        <v>15.78</v>
      </c>
      <c r="M2515">
        <v>161.5</v>
      </c>
      <c r="N2515">
        <v>113</v>
      </c>
      <c r="O2515">
        <v>7.27</v>
      </c>
      <c r="P2515">
        <v>5.6</v>
      </c>
      <c r="Q2515">
        <v>4</v>
      </c>
      <c r="R2515">
        <v>1.51</v>
      </c>
      <c r="S2515">
        <v>2</v>
      </c>
      <c r="T2515" t="b">
        <v>0</v>
      </c>
    </row>
    <row r="2516" spans="1:20">
      <c r="A2516" t="s">
        <v>113</v>
      </c>
      <c r="B2516">
        <v>108</v>
      </c>
      <c r="C2516">
        <v>510</v>
      </c>
      <c r="D2516" t="s">
        <v>62</v>
      </c>
      <c r="E2516" t="s">
        <v>63</v>
      </c>
      <c r="F2516">
        <v>25</v>
      </c>
      <c r="G2516">
        <v>170.7</v>
      </c>
      <c r="H2516">
        <v>88</v>
      </c>
      <c r="I2516">
        <v>29.02</v>
      </c>
      <c r="J2516">
        <v>109.9</v>
      </c>
      <c r="K2516">
        <v>113</v>
      </c>
      <c r="L2516">
        <v>9.34</v>
      </c>
      <c r="M2516">
        <v>165.7</v>
      </c>
      <c r="N2516">
        <v>99</v>
      </c>
      <c r="O2516">
        <v>7.46</v>
      </c>
      <c r="P2516">
        <v>8.7</v>
      </c>
      <c r="Q2516">
        <v>1</v>
      </c>
      <c r="R2516">
        <v>2.35</v>
      </c>
      <c r="S2516">
        <v>3</v>
      </c>
      <c r="T2516" t="b">
        <v>0</v>
      </c>
    </row>
    <row r="2517" spans="1:20">
      <c r="A2517" t="s">
        <v>78</v>
      </c>
      <c r="B2517">
        <v>107</v>
      </c>
      <c r="C2517">
        <v>510</v>
      </c>
      <c r="D2517" t="s">
        <v>62</v>
      </c>
      <c r="E2517" t="s">
        <v>62</v>
      </c>
      <c r="F2517">
        <v>0</v>
      </c>
      <c r="G2517">
        <v>189.7</v>
      </c>
      <c r="H2517">
        <v>76</v>
      </c>
      <c r="I2517">
        <v>32.25</v>
      </c>
      <c r="J2517">
        <v>156.1</v>
      </c>
      <c r="K2517">
        <v>65</v>
      </c>
      <c r="L2517">
        <v>13.27</v>
      </c>
      <c r="M2517">
        <v>244</v>
      </c>
      <c r="N2517">
        <v>91</v>
      </c>
      <c r="O2517">
        <v>10.98</v>
      </c>
      <c r="P2517">
        <v>8.3</v>
      </c>
      <c r="Q2517">
        <v>3</v>
      </c>
      <c r="R2517">
        <v>2.24</v>
      </c>
      <c r="S2517">
        <v>5</v>
      </c>
      <c r="T2517" t="b">
        <v>0</v>
      </c>
    </row>
    <row r="2518" spans="1:20">
      <c r="A2518" t="s">
        <v>100</v>
      </c>
      <c r="B2518">
        <v>161</v>
      </c>
      <c r="C2518">
        <v>415</v>
      </c>
      <c r="D2518" t="s">
        <v>62</v>
      </c>
      <c r="E2518" t="s">
        <v>62</v>
      </c>
      <c r="F2518">
        <v>0</v>
      </c>
      <c r="G2518">
        <v>322.3</v>
      </c>
      <c r="H2518">
        <v>100</v>
      </c>
      <c r="I2518">
        <v>54.79</v>
      </c>
      <c r="J2518">
        <v>230.4</v>
      </c>
      <c r="K2518">
        <v>135</v>
      </c>
      <c r="L2518">
        <v>19.58</v>
      </c>
      <c r="M2518">
        <v>241.5</v>
      </c>
      <c r="N2518">
        <v>104</v>
      </c>
      <c r="O2518">
        <v>10.87</v>
      </c>
      <c r="P2518">
        <v>7.8</v>
      </c>
      <c r="Q2518">
        <v>5</v>
      </c>
      <c r="R2518">
        <v>2.11</v>
      </c>
      <c r="S2518">
        <v>2</v>
      </c>
      <c r="T2518" t="b">
        <v>1</v>
      </c>
    </row>
    <row r="2519" spans="1:20">
      <c r="A2519" t="s">
        <v>116</v>
      </c>
      <c r="B2519">
        <v>147</v>
      </c>
      <c r="C2519">
        <v>415</v>
      </c>
      <c r="D2519" t="s">
        <v>62</v>
      </c>
      <c r="E2519" t="s">
        <v>62</v>
      </c>
      <c r="F2519">
        <v>0</v>
      </c>
      <c r="G2519">
        <v>124.4</v>
      </c>
      <c r="H2519">
        <v>74</v>
      </c>
      <c r="I2519">
        <v>21.15</v>
      </c>
      <c r="J2519">
        <v>320.9</v>
      </c>
      <c r="K2519">
        <v>78</v>
      </c>
      <c r="L2519">
        <v>27.28</v>
      </c>
      <c r="M2519">
        <v>157.2</v>
      </c>
      <c r="N2519">
        <v>126</v>
      </c>
      <c r="O2519">
        <v>7.07</v>
      </c>
      <c r="P2519">
        <v>10.4</v>
      </c>
      <c r="Q2519">
        <v>4</v>
      </c>
      <c r="R2519">
        <v>2.81</v>
      </c>
      <c r="S2519">
        <v>2</v>
      </c>
      <c r="T2519" t="b">
        <v>0</v>
      </c>
    </row>
    <row r="2520" spans="1:20">
      <c r="A2520" t="s">
        <v>69</v>
      </c>
      <c r="B2520">
        <v>107</v>
      </c>
      <c r="C2520">
        <v>415</v>
      </c>
      <c r="D2520" t="s">
        <v>62</v>
      </c>
      <c r="E2520" t="s">
        <v>62</v>
      </c>
      <c r="F2520">
        <v>0</v>
      </c>
      <c r="G2520">
        <v>146.9</v>
      </c>
      <c r="H2520">
        <v>94</v>
      </c>
      <c r="I2520">
        <v>24.97</v>
      </c>
      <c r="J2520">
        <v>114.3</v>
      </c>
      <c r="K2520">
        <v>111</v>
      </c>
      <c r="L2520">
        <v>9.72</v>
      </c>
      <c r="M2520">
        <v>114.5</v>
      </c>
      <c r="N2520">
        <v>97</v>
      </c>
      <c r="O2520">
        <v>5.15</v>
      </c>
      <c r="P2520">
        <v>11.4</v>
      </c>
      <c r="Q2520">
        <v>5</v>
      </c>
      <c r="R2520">
        <v>3.08</v>
      </c>
      <c r="S2520">
        <v>3</v>
      </c>
      <c r="T2520" t="b">
        <v>0</v>
      </c>
    </row>
    <row r="2521" spans="1:20">
      <c r="A2521" t="s">
        <v>90</v>
      </c>
      <c r="B2521">
        <v>58</v>
      </c>
      <c r="C2521">
        <v>510</v>
      </c>
      <c r="D2521" t="s">
        <v>62</v>
      </c>
      <c r="E2521" t="s">
        <v>62</v>
      </c>
      <c r="F2521">
        <v>0</v>
      </c>
      <c r="G2521">
        <v>131.9</v>
      </c>
      <c r="H2521">
        <v>96</v>
      </c>
      <c r="I2521">
        <v>22.42</v>
      </c>
      <c r="J2521">
        <v>167.6</v>
      </c>
      <c r="K2521">
        <v>107</v>
      </c>
      <c r="L2521">
        <v>14.25</v>
      </c>
      <c r="M2521">
        <v>205.9</v>
      </c>
      <c r="N2521">
        <v>106</v>
      </c>
      <c r="O2521">
        <v>9.27</v>
      </c>
      <c r="P2521">
        <v>14.7</v>
      </c>
      <c r="Q2521">
        <v>5</v>
      </c>
      <c r="R2521">
        <v>3.97</v>
      </c>
      <c r="S2521">
        <v>3</v>
      </c>
      <c r="T2521" t="b">
        <v>0</v>
      </c>
    </row>
    <row r="2522" spans="1:20">
      <c r="A2522" t="s">
        <v>88</v>
      </c>
      <c r="B2522">
        <v>91</v>
      </c>
      <c r="C2522">
        <v>408</v>
      </c>
      <c r="D2522" t="s">
        <v>62</v>
      </c>
      <c r="E2522" t="s">
        <v>62</v>
      </c>
      <c r="F2522">
        <v>0</v>
      </c>
      <c r="G2522">
        <v>147.2</v>
      </c>
      <c r="H2522">
        <v>121</v>
      </c>
      <c r="I2522">
        <v>25.02</v>
      </c>
      <c r="J2522">
        <v>175.2</v>
      </c>
      <c r="K2522">
        <v>87</v>
      </c>
      <c r="L2522">
        <v>14.89</v>
      </c>
      <c r="M2522">
        <v>136.3</v>
      </c>
      <c r="N2522">
        <v>80</v>
      </c>
      <c r="O2522">
        <v>6.13</v>
      </c>
      <c r="P2522">
        <v>13.3</v>
      </c>
      <c r="Q2522">
        <v>3</v>
      </c>
      <c r="R2522">
        <v>3.59</v>
      </c>
      <c r="S2522">
        <v>2</v>
      </c>
      <c r="T2522" t="b">
        <v>0</v>
      </c>
    </row>
    <row r="2523" spans="1:20">
      <c r="A2523" t="s">
        <v>67</v>
      </c>
      <c r="B2523">
        <v>13</v>
      </c>
      <c r="C2523">
        <v>415</v>
      </c>
      <c r="D2523" t="s">
        <v>62</v>
      </c>
      <c r="E2523" t="s">
        <v>62</v>
      </c>
      <c r="F2523">
        <v>0</v>
      </c>
      <c r="G2523">
        <v>143.1</v>
      </c>
      <c r="H2523">
        <v>139</v>
      </c>
      <c r="I2523">
        <v>24.33</v>
      </c>
      <c r="J2523">
        <v>239.6</v>
      </c>
      <c r="K2523">
        <v>88</v>
      </c>
      <c r="L2523">
        <v>20.37</v>
      </c>
      <c r="M2523">
        <v>221.7</v>
      </c>
      <c r="N2523">
        <v>123</v>
      </c>
      <c r="O2523">
        <v>9.98</v>
      </c>
      <c r="P2523">
        <v>7.1</v>
      </c>
      <c r="Q2523">
        <v>5</v>
      </c>
      <c r="R2523">
        <v>1.92</v>
      </c>
      <c r="S2523">
        <v>2</v>
      </c>
      <c r="T2523" t="b">
        <v>0</v>
      </c>
    </row>
    <row r="2524" spans="1:20">
      <c r="A2524" t="s">
        <v>68</v>
      </c>
      <c r="B2524">
        <v>93</v>
      </c>
      <c r="C2524">
        <v>415</v>
      </c>
      <c r="D2524" t="s">
        <v>62</v>
      </c>
      <c r="E2524" t="s">
        <v>63</v>
      </c>
      <c r="F2524">
        <v>31</v>
      </c>
      <c r="G2524">
        <v>237.2</v>
      </c>
      <c r="H2524">
        <v>85</v>
      </c>
      <c r="I2524">
        <v>40.32</v>
      </c>
      <c r="J2524">
        <v>213.1</v>
      </c>
      <c r="K2524">
        <v>100</v>
      </c>
      <c r="L2524">
        <v>18.11</v>
      </c>
      <c r="M2524">
        <v>192.7</v>
      </c>
      <c r="N2524">
        <v>87</v>
      </c>
      <c r="O2524">
        <v>8.67</v>
      </c>
      <c r="P2524">
        <v>10.7</v>
      </c>
      <c r="Q2524">
        <v>4</v>
      </c>
      <c r="R2524">
        <v>2.89</v>
      </c>
      <c r="S2524">
        <v>1</v>
      </c>
      <c r="T2524" t="b">
        <v>0</v>
      </c>
    </row>
    <row r="2525" spans="1:20">
      <c r="A2525" t="s">
        <v>95</v>
      </c>
      <c r="B2525">
        <v>95</v>
      </c>
      <c r="C2525">
        <v>510</v>
      </c>
      <c r="D2525" t="s">
        <v>62</v>
      </c>
      <c r="E2525" t="s">
        <v>62</v>
      </c>
      <c r="F2525">
        <v>0</v>
      </c>
      <c r="G2525">
        <v>184.2</v>
      </c>
      <c r="H2525">
        <v>95</v>
      </c>
      <c r="I2525">
        <v>31.31</v>
      </c>
      <c r="J2525">
        <v>181.6</v>
      </c>
      <c r="K2525">
        <v>101</v>
      </c>
      <c r="L2525">
        <v>15.44</v>
      </c>
      <c r="M2525">
        <v>143.4</v>
      </c>
      <c r="N2525">
        <v>113</v>
      </c>
      <c r="O2525">
        <v>6.45</v>
      </c>
      <c r="P2525">
        <v>12.8</v>
      </c>
      <c r="Q2525">
        <v>4</v>
      </c>
      <c r="R2525">
        <v>3.46</v>
      </c>
      <c r="S2525">
        <v>2</v>
      </c>
      <c r="T2525" t="b">
        <v>0</v>
      </c>
    </row>
    <row r="2526" spans="1:20">
      <c r="A2526" t="s">
        <v>111</v>
      </c>
      <c r="B2526">
        <v>104</v>
      </c>
      <c r="C2526">
        <v>415</v>
      </c>
      <c r="D2526" t="s">
        <v>62</v>
      </c>
      <c r="E2526" t="s">
        <v>62</v>
      </c>
      <c r="F2526">
        <v>0</v>
      </c>
      <c r="G2526">
        <v>109.1</v>
      </c>
      <c r="H2526">
        <v>141</v>
      </c>
      <c r="I2526">
        <v>18.55</v>
      </c>
      <c r="J2526">
        <v>187.1</v>
      </c>
      <c r="K2526">
        <v>140</v>
      </c>
      <c r="L2526">
        <v>15.9</v>
      </c>
      <c r="M2526">
        <v>216.6</v>
      </c>
      <c r="N2526">
        <v>100</v>
      </c>
      <c r="O2526">
        <v>9.75</v>
      </c>
      <c r="P2526">
        <v>10</v>
      </c>
      <c r="Q2526">
        <v>4</v>
      </c>
      <c r="R2526">
        <v>2.7</v>
      </c>
      <c r="S2526">
        <v>3</v>
      </c>
      <c r="T2526" t="b">
        <v>0</v>
      </c>
    </row>
    <row r="2527" spans="1:20">
      <c r="A2527" t="s">
        <v>87</v>
      </c>
      <c r="B2527">
        <v>35</v>
      </c>
      <c r="C2527">
        <v>408</v>
      </c>
      <c r="D2527" t="s">
        <v>62</v>
      </c>
      <c r="E2527" t="s">
        <v>62</v>
      </c>
      <c r="F2527">
        <v>0</v>
      </c>
      <c r="G2527">
        <v>138.1</v>
      </c>
      <c r="H2527">
        <v>115</v>
      </c>
      <c r="I2527">
        <v>23.48</v>
      </c>
      <c r="J2527">
        <v>158.2</v>
      </c>
      <c r="K2527">
        <v>82</v>
      </c>
      <c r="L2527">
        <v>13.45</v>
      </c>
      <c r="M2527">
        <v>215.7</v>
      </c>
      <c r="N2527">
        <v>118</v>
      </c>
      <c r="O2527">
        <v>9.71</v>
      </c>
      <c r="P2527">
        <v>10.3</v>
      </c>
      <c r="Q2527">
        <v>2</v>
      </c>
      <c r="R2527">
        <v>2.78</v>
      </c>
      <c r="S2527">
        <v>5</v>
      </c>
      <c r="T2527" t="b">
        <v>1</v>
      </c>
    </row>
    <row r="2528" spans="1:20">
      <c r="A2528" t="s">
        <v>88</v>
      </c>
      <c r="B2528">
        <v>62</v>
      </c>
      <c r="C2528">
        <v>415</v>
      </c>
      <c r="D2528" t="s">
        <v>62</v>
      </c>
      <c r="E2528" t="s">
        <v>62</v>
      </c>
      <c r="F2528">
        <v>0</v>
      </c>
      <c r="G2528">
        <v>186.8</v>
      </c>
      <c r="H2528">
        <v>94</v>
      </c>
      <c r="I2528">
        <v>31.76</v>
      </c>
      <c r="J2528">
        <v>207.6</v>
      </c>
      <c r="K2528">
        <v>92</v>
      </c>
      <c r="L2528">
        <v>17.65</v>
      </c>
      <c r="M2528">
        <v>195</v>
      </c>
      <c r="N2528">
        <v>98</v>
      </c>
      <c r="O2528">
        <v>8.78</v>
      </c>
      <c r="P2528">
        <v>8.8</v>
      </c>
      <c r="Q2528">
        <v>4</v>
      </c>
      <c r="R2528">
        <v>2.38</v>
      </c>
      <c r="S2528">
        <v>3</v>
      </c>
      <c r="T2528" t="b">
        <v>0</v>
      </c>
    </row>
    <row r="2529" spans="1:20">
      <c r="A2529" t="s">
        <v>109</v>
      </c>
      <c r="B2529">
        <v>143</v>
      </c>
      <c r="C2529">
        <v>510</v>
      </c>
      <c r="D2529" t="s">
        <v>62</v>
      </c>
      <c r="E2529" t="s">
        <v>62</v>
      </c>
      <c r="F2529">
        <v>0</v>
      </c>
      <c r="G2529">
        <v>155.4</v>
      </c>
      <c r="H2529">
        <v>112</v>
      </c>
      <c r="I2529">
        <v>26.42</v>
      </c>
      <c r="J2529">
        <v>290.9</v>
      </c>
      <c r="K2529">
        <v>92</v>
      </c>
      <c r="L2529">
        <v>24.73</v>
      </c>
      <c r="M2529">
        <v>228.4</v>
      </c>
      <c r="N2529">
        <v>91</v>
      </c>
      <c r="O2529">
        <v>10.28</v>
      </c>
      <c r="P2529">
        <v>13.9</v>
      </c>
      <c r="Q2529">
        <v>5</v>
      </c>
      <c r="R2529">
        <v>3.75</v>
      </c>
      <c r="S2529">
        <v>1</v>
      </c>
      <c r="T2529" t="b">
        <v>0</v>
      </c>
    </row>
    <row r="2530" spans="1:20">
      <c r="A2530" t="s">
        <v>101</v>
      </c>
      <c r="B2530">
        <v>60</v>
      </c>
      <c r="C2530">
        <v>415</v>
      </c>
      <c r="D2530" t="s">
        <v>63</v>
      </c>
      <c r="E2530" t="s">
        <v>62</v>
      </c>
      <c r="F2530">
        <v>0</v>
      </c>
      <c r="G2530">
        <v>205.9</v>
      </c>
      <c r="H2530">
        <v>97</v>
      </c>
      <c r="I2530">
        <v>35</v>
      </c>
      <c r="J2530">
        <v>277.4</v>
      </c>
      <c r="K2530">
        <v>117</v>
      </c>
      <c r="L2530">
        <v>23.58</v>
      </c>
      <c r="M2530">
        <v>202</v>
      </c>
      <c r="N2530">
        <v>139</v>
      </c>
      <c r="O2530">
        <v>9.09</v>
      </c>
      <c r="P2530">
        <v>11</v>
      </c>
      <c r="Q2530">
        <v>2</v>
      </c>
      <c r="R2530">
        <v>2.97</v>
      </c>
      <c r="S2530">
        <v>0</v>
      </c>
      <c r="T2530" t="b">
        <v>1</v>
      </c>
    </row>
    <row r="2531" spans="1:20">
      <c r="A2531" t="s">
        <v>111</v>
      </c>
      <c r="B2531">
        <v>41</v>
      </c>
      <c r="C2531">
        <v>510</v>
      </c>
      <c r="D2531" t="s">
        <v>62</v>
      </c>
      <c r="E2531" t="s">
        <v>62</v>
      </c>
      <c r="F2531">
        <v>0</v>
      </c>
      <c r="G2531">
        <v>207.2</v>
      </c>
      <c r="H2531">
        <v>138</v>
      </c>
      <c r="I2531">
        <v>35.22</v>
      </c>
      <c r="J2531">
        <v>214.1</v>
      </c>
      <c r="K2531">
        <v>83</v>
      </c>
      <c r="L2531">
        <v>18.2</v>
      </c>
      <c r="M2531">
        <v>193</v>
      </c>
      <c r="N2531">
        <v>105</v>
      </c>
      <c r="O2531">
        <v>8.69</v>
      </c>
      <c r="P2531">
        <v>11.9</v>
      </c>
      <c r="Q2531">
        <v>4</v>
      </c>
      <c r="R2531">
        <v>3.21</v>
      </c>
      <c r="S2531">
        <v>1</v>
      </c>
      <c r="T2531" t="b">
        <v>0</v>
      </c>
    </row>
    <row r="2532" spans="1:20">
      <c r="A2532" t="s">
        <v>108</v>
      </c>
      <c r="B2532">
        <v>56</v>
      </c>
      <c r="C2532">
        <v>408</v>
      </c>
      <c r="D2532" t="s">
        <v>62</v>
      </c>
      <c r="E2532" t="s">
        <v>62</v>
      </c>
      <c r="F2532">
        <v>0</v>
      </c>
      <c r="G2532">
        <v>221.9</v>
      </c>
      <c r="H2532">
        <v>112</v>
      </c>
      <c r="I2532">
        <v>37.72</v>
      </c>
      <c r="J2532">
        <v>278.2</v>
      </c>
      <c r="K2532">
        <v>122</v>
      </c>
      <c r="L2532">
        <v>23.65</v>
      </c>
      <c r="M2532">
        <v>288.1</v>
      </c>
      <c r="N2532">
        <v>85</v>
      </c>
      <c r="O2532">
        <v>12.96</v>
      </c>
      <c r="P2532">
        <v>7.1</v>
      </c>
      <c r="Q2532">
        <v>5</v>
      </c>
      <c r="R2532">
        <v>1.92</v>
      </c>
      <c r="S2532">
        <v>0</v>
      </c>
      <c r="T2532" t="b">
        <v>1</v>
      </c>
    </row>
    <row r="2533" spans="1:20">
      <c r="A2533" t="s">
        <v>83</v>
      </c>
      <c r="B2533">
        <v>94</v>
      </c>
      <c r="C2533">
        <v>415</v>
      </c>
      <c r="D2533" t="s">
        <v>62</v>
      </c>
      <c r="E2533" t="s">
        <v>62</v>
      </c>
      <c r="F2533">
        <v>0</v>
      </c>
      <c r="G2533">
        <v>220.8</v>
      </c>
      <c r="H2533">
        <v>111</v>
      </c>
      <c r="I2533">
        <v>37.54</v>
      </c>
      <c r="J2533">
        <v>156.2</v>
      </c>
      <c r="K2533">
        <v>67</v>
      </c>
      <c r="L2533">
        <v>13.28</v>
      </c>
      <c r="M2533">
        <v>187.9</v>
      </c>
      <c r="N2533">
        <v>89</v>
      </c>
      <c r="O2533">
        <v>8.46</v>
      </c>
      <c r="P2533">
        <v>10.5</v>
      </c>
      <c r="Q2533">
        <v>4</v>
      </c>
      <c r="R2533">
        <v>2.84</v>
      </c>
      <c r="S2533">
        <v>2</v>
      </c>
      <c r="T2533" t="b">
        <v>0</v>
      </c>
    </row>
    <row r="2534" spans="1:20">
      <c r="A2534" t="s">
        <v>116</v>
      </c>
      <c r="B2534">
        <v>73</v>
      </c>
      <c r="C2534">
        <v>415</v>
      </c>
      <c r="D2534" t="s">
        <v>62</v>
      </c>
      <c r="E2534" t="s">
        <v>63</v>
      </c>
      <c r="F2534">
        <v>47</v>
      </c>
      <c r="G2534">
        <v>173.7</v>
      </c>
      <c r="H2534">
        <v>117</v>
      </c>
      <c r="I2534">
        <v>29.53</v>
      </c>
      <c r="J2534">
        <v>204</v>
      </c>
      <c r="K2534">
        <v>114</v>
      </c>
      <c r="L2534">
        <v>17.34</v>
      </c>
      <c r="M2534">
        <v>174.6</v>
      </c>
      <c r="N2534">
        <v>94</v>
      </c>
      <c r="O2534">
        <v>7.86</v>
      </c>
      <c r="P2534">
        <v>6.3</v>
      </c>
      <c r="Q2534">
        <v>3</v>
      </c>
      <c r="R2534">
        <v>1.7</v>
      </c>
      <c r="S2534">
        <v>2</v>
      </c>
      <c r="T2534" t="b">
        <v>0</v>
      </c>
    </row>
    <row r="2535" spans="1:20">
      <c r="A2535" t="s">
        <v>92</v>
      </c>
      <c r="B2535">
        <v>127</v>
      </c>
      <c r="C2535">
        <v>415</v>
      </c>
      <c r="D2535" t="s">
        <v>63</v>
      </c>
      <c r="E2535" t="s">
        <v>62</v>
      </c>
      <c r="F2535">
        <v>0</v>
      </c>
      <c r="G2535">
        <v>143.2</v>
      </c>
      <c r="H2535">
        <v>60</v>
      </c>
      <c r="I2535">
        <v>24.34</v>
      </c>
      <c r="J2535">
        <v>179.5</v>
      </c>
      <c r="K2535">
        <v>159</v>
      </c>
      <c r="L2535">
        <v>15.26</v>
      </c>
      <c r="M2535">
        <v>171.8</v>
      </c>
      <c r="N2535">
        <v>122</v>
      </c>
      <c r="O2535">
        <v>7.73</v>
      </c>
      <c r="P2535">
        <v>6.2</v>
      </c>
      <c r="Q2535">
        <v>4</v>
      </c>
      <c r="R2535">
        <v>1.67</v>
      </c>
      <c r="S2535">
        <v>4</v>
      </c>
      <c r="T2535" t="b">
        <v>1</v>
      </c>
    </row>
    <row r="2536" spans="1:20">
      <c r="A2536" t="s">
        <v>73</v>
      </c>
      <c r="B2536">
        <v>33</v>
      </c>
      <c r="C2536">
        <v>415</v>
      </c>
      <c r="D2536" t="s">
        <v>62</v>
      </c>
      <c r="E2536" t="s">
        <v>62</v>
      </c>
      <c r="F2536">
        <v>0</v>
      </c>
      <c r="G2536">
        <v>184.4</v>
      </c>
      <c r="H2536">
        <v>111</v>
      </c>
      <c r="I2536">
        <v>31.35</v>
      </c>
      <c r="J2536">
        <v>203.8</v>
      </c>
      <c r="K2536">
        <v>110</v>
      </c>
      <c r="L2536">
        <v>17.32</v>
      </c>
      <c r="M2536">
        <v>237.4</v>
      </c>
      <c r="N2536">
        <v>100</v>
      </c>
      <c r="O2536">
        <v>10.68</v>
      </c>
      <c r="P2536">
        <v>9.3</v>
      </c>
      <c r="Q2536">
        <v>5</v>
      </c>
      <c r="R2536">
        <v>2.51</v>
      </c>
      <c r="S2536">
        <v>3</v>
      </c>
      <c r="T2536" t="b">
        <v>0</v>
      </c>
    </row>
    <row r="2537" spans="1:20">
      <c r="A2537" t="s">
        <v>104</v>
      </c>
      <c r="B2537">
        <v>148</v>
      </c>
      <c r="C2537">
        <v>510</v>
      </c>
      <c r="D2537" t="s">
        <v>62</v>
      </c>
      <c r="E2537" t="s">
        <v>62</v>
      </c>
      <c r="F2537">
        <v>0</v>
      </c>
      <c r="G2537">
        <v>216.2</v>
      </c>
      <c r="H2537">
        <v>95</v>
      </c>
      <c r="I2537">
        <v>36.75</v>
      </c>
      <c r="J2537">
        <v>185.7</v>
      </c>
      <c r="K2537">
        <v>105</v>
      </c>
      <c r="L2537">
        <v>15.78</v>
      </c>
      <c r="M2537">
        <v>300</v>
      </c>
      <c r="N2537">
        <v>143</v>
      </c>
      <c r="O2537">
        <v>13.5</v>
      </c>
      <c r="P2537">
        <v>10</v>
      </c>
      <c r="Q2537">
        <v>5</v>
      </c>
      <c r="R2537">
        <v>2.7</v>
      </c>
      <c r="S2537">
        <v>2</v>
      </c>
      <c r="T2537" t="b">
        <v>0</v>
      </c>
    </row>
    <row r="2538" spans="1:20">
      <c r="A2538" t="s">
        <v>97</v>
      </c>
      <c r="B2538">
        <v>81</v>
      </c>
      <c r="C2538">
        <v>415</v>
      </c>
      <c r="D2538" t="s">
        <v>62</v>
      </c>
      <c r="E2538" t="s">
        <v>62</v>
      </c>
      <c r="F2538">
        <v>0</v>
      </c>
      <c r="G2538">
        <v>129.9</v>
      </c>
      <c r="H2538">
        <v>121</v>
      </c>
      <c r="I2538">
        <v>22.08</v>
      </c>
      <c r="J2538">
        <v>230.1</v>
      </c>
      <c r="K2538">
        <v>105</v>
      </c>
      <c r="L2538">
        <v>19.56</v>
      </c>
      <c r="M2538">
        <v>140.5</v>
      </c>
      <c r="N2538">
        <v>123</v>
      </c>
      <c r="O2538">
        <v>6.32</v>
      </c>
      <c r="P2538">
        <v>13.3</v>
      </c>
      <c r="Q2538">
        <v>3</v>
      </c>
      <c r="R2538">
        <v>3.59</v>
      </c>
      <c r="S2538">
        <v>0</v>
      </c>
      <c r="T2538" t="b">
        <v>0</v>
      </c>
    </row>
    <row r="2539" spans="1:20">
      <c r="A2539" t="s">
        <v>100</v>
      </c>
      <c r="B2539">
        <v>122</v>
      </c>
      <c r="C2539">
        <v>510</v>
      </c>
      <c r="D2539" t="s">
        <v>62</v>
      </c>
      <c r="E2539" t="s">
        <v>63</v>
      </c>
      <c r="F2539">
        <v>30</v>
      </c>
      <c r="G2539">
        <v>230.1</v>
      </c>
      <c r="H2539">
        <v>108</v>
      </c>
      <c r="I2539">
        <v>39.12</v>
      </c>
      <c r="J2539">
        <v>287.6</v>
      </c>
      <c r="K2539">
        <v>76</v>
      </c>
      <c r="L2539">
        <v>24.45</v>
      </c>
      <c r="M2539">
        <v>177.1</v>
      </c>
      <c r="N2539">
        <v>85</v>
      </c>
      <c r="O2539">
        <v>7.97</v>
      </c>
      <c r="P2539">
        <v>6.9</v>
      </c>
      <c r="Q2539">
        <v>3</v>
      </c>
      <c r="R2539">
        <v>1.86</v>
      </c>
      <c r="S2539">
        <v>2</v>
      </c>
      <c r="T2539" t="b">
        <v>0</v>
      </c>
    </row>
    <row r="2540" spans="1:20">
      <c r="A2540" t="s">
        <v>110</v>
      </c>
      <c r="B2540">
        <v>52</v>
      </c>
      <c r="C2540">
        <v>415</v>
      </c>
      <c r="D2540" t="s">
        <v>62</v>
      </c>
      <c r="E2540" t="s">
        <v>62</v>
      </c>
      <c r="F2540">
        <v>0</v>
      </c>
      <c r="G2540">
        <v>204.4</v>
      </c>
      <c r="H2540">
        <v>97</v>
      </c>
      <c r="I2540">
        <v>34.75</v>
      </c>
      <c r="J2540">
        <v>273.2</v>
      </c>
      <c r="K2540">
        <v>128</v>
      </c>
      <c r="L2540">
        <v>23.22</v>
      </c>
      <c r="M2540">
        <v>179.6</v>
      </c>
      <c r="N2540">
        <v>118</v>
      </c>
      <c r="O2540">
        <v>8.08</v>
      </c>
      <c r="P2540">
        <v>11</v>
      </c>
      <c r="Q2540">
        <v>5</v>
      </c>
      <c r="R2540">
        <v>2.97</v>
      </c>
      <c r="S2540">
        <v>1</v>
      </c>
      <c r="T2540" t="b">
        <v>0</v>
      </c>
    </row>
    <row r="2541" spans="1:20">
      <c r="A2541" t="s">
        <v>93</v>
      </c>
      <c r="B2541">
        <v>91</v>
      </c>
      <c r="C2541">
        <v>408</v>
      </c>
      <c r="D2541" t="s">
        <v>62</v>
      </c>
      <c r="E2541" t="s">
        <v>63</v>
      </c>
      <c r="F2541">
        <v>44</v>
      </c>
      <c r="G2541">
        <v>216.6</v>
      </c>
      <c r="H2541">
        <v>101</v>
      </c>
      <c r="I2541">
        <v>36.82</v>
      </c>
      <c r="J2541">
        <v>173.1</v>
      </c>
      <c r="K2541">
        <v>98</v>
      </c>
      <c r="L2541">
        <v>14.71</v>
      </c>
      <c r="M2541">
        <v>242.1</v>
      </c>
      <c r="N2541">
        <v>95</v>
      </c>
      <c r="O2541">
        <v>10.89</v>
      </c>
      <c r="P2541">
        <v>9.1</v>
      </c>
      <c r="Q2541">
        <v>3</v>
      </c>
      <c r="R2541">
        <v>2.46</v>
      </c>
      <c r="S2541">
        <v>1</v>
      </c>
      <c r="T2541" t="b">
        <v>0</v>
      </c>
    </row>
    <row r="2542" spans="1:20">
      <c r="A2542" t="s">
        <v>92</v>
      </c>
      <c r="B2542">
        <v>54</v>
      </c>
      <c r="C2542">
        <v>415</v>
      </c>
      <c r="D2542" t="s">
        <v>62</v>
      </c>
      <c r="E2542" t="s">
        <v>62</v>
      </c>
      <c r="F2542">
        <v>0</v>
      </c>
      <c r="G2542">
        <v>247.5</v>
      </c>
      <c r="H2542">
        <v>85</v>
      </c>
      <c r="I2542">
        <v>42.08</v>
      </c>
      <c r="J2542">
        <v>225.4</v>
      </c>
      <c r="K2542">
        <v>93</v>
      </c>
      <c r="L2542">
        <v>19.16</v>
      </c>
      <c r="M2542">
        <v>244.3</v>
      </c>
      <c r="N2542">
        <v>132</v>
      </c>
      <c r="O2542">
        <v>10.99</v>
      </c>
      <c r="P2542">
        <v>10.2</v>
      </c>
      <c r="Q2542">
        <v>2</v>
      </c>
      <c r="R2542">
        <v>2.75</v>
      </c>
      <c r="S2542">
        <v>2</v>
      </c>
      <c r="T2542" t="b">
        <v>1</v>
      </c>
    </row>
    <row r="2543" spans="1:20">
      <c r="A2543" t="s">
        <v>87</v>
      </c>
      <c r="B2543">
        <v>152</v>
      </c>
      <c r="C2543">
        <v>510</v>
      </c>
      <c r="D2543" t="s">
        <v>62</v>
      </c>
      <c r="E2543" t="s">
        <v>62</v>
      </c>
      <c r="F2543">
        <v>0</v>
      </c>
      <c r="G2543">
        <v>228.1</v>
      </c>
      <c r="H2543">
        <v>93</v>
      </c>
      <c r="I2543">
        <v>38.78</v>
      </c>
      <c r="J2543">
        <v>136.4</v>
      </c>
      <c r="K2543">
        <v>106</v>
      </c>
      <c r="L2543">
        <v>11.59</v>
      </c>
      <c r="M2543">
        <v>197.3</v>
      </c>
      <c r="N2543">
        <v>107</v>
      </c>
      <c r="O2543">
        <v>8.88</v>
      </c>
      <c r="P2543">
        <v>9</v>
      </c>
      <c r="Q2543">
        <v>2</v>
      </c>
      <c r="R2543">
        <v>2.43</v>
      </c>
      <c r="S2543">
        <v>1</v>
      </c>
      <c r="T2543" t="b">
        <v>0</v>
      </c>
    </row>
    <row r="2544" spans="1:20">
      <c r="A2544" t="s">
        <v>80</v>
      </c>
      <c r="B2544">
        <v>201</v>
      </c>
      <c r="C2544">
        <v>415</v>
      </c>
      <c r="D2544" t="s">
        <v>62</v>
      </c>
      <c r="E2544" t="s">
        <v>62</v>
      </c>
      <c r="F2544">
        <v>0</v>
      </c>
      <c r="G2544">
        <v>225.9</v>
      </c>
      <c r="H2544">
        <v>110</v>
      </c>
      <c r="I2544">
        <v>38.4</v>
      </c>
      <c r="J2544">
        <v>299.1</v>
      </c>
      <c r="K2544">
        <v>86</v>
      </c>
      <c r="L2544">
        <v>25.42</v>
      </c>
      <c r="M2544">
        <v>251.3</v>
      </c>
      <c r="N2544">
        <v>81</v>
      </c>
      <c r="O2544">
        <v>11.31</v>
      </c>
      <c r="P2544">
        <v>11.2</v>
      </c>
      <c r="Q2544">
        <v>4</v>
      </c>
      <c r="R2544">
        <v>3.02</v>
      </c>
      <c r="S2544">
        <v>1</v>
      </c>
      <c r="T2544" t="b">
        <v>1</v>
      </c>
    </row>
    <row r="2545" spans="1:20">
      <c r="A2545" t="s">
        <v>77</v>
      </c>
      <c r="B2545">
        <v>78</v>
      </c>
      <c r="C2545">
        <v>415</v>
      </c>
      <c r="D2545" t="s">
        <v>62</v>
      </c>
      <c r="E2545" t="s">
        <v>62</v>
      </c>
      <c r="F2545">
        <v>0</v>
      </c>
      <c r="G2545">
        <v>103.5</v>
      </c>
      <c r="H2545">
        <v>115</v>
      </c>
      <c r="I2545">
        <v>17.6</v>
      </c>
      <c r="J2545">
        <v>117.9</v>
      </c>
      <c r="K2545">
        <v>102</v>
      </c>
      <c r="L2545">
        <v>10.02</v>
      </c>
      <c r="M2545">
        <v>201</v>
      </c>
      <c r="N2545">
        <v>94</v>
      </c>
      <c r="O2545">
        <v>9.05</v>
      </c>
      <c r="P2545">
        <v>12</v>
      </c>
      <c r="Q2545">
        <v>3</v>
      </c>
      <c r="R2545">
        <v>3.24</v>
      </c>
      <c r="S2545">
        <v>4</v>
      </c>
      <c r="T2545" t="b">
        <v>1</v>
      </c>
    </row>
    <row r="2546" spans="1:20">
      <c r="A2546" t="s">
        <v>116</v>
      </c>
      <c r="B2546">
        <v>67</v>
      </c>
      <c r="C2546">
        <v>415</v>
      </c>
      <c r="D2546" t="s">
        <v>62</v>
      </c>
      <c r="E2546" t="s">
        <v>62</v>
      </c>
      <c r="F2546">
        <v>0</v>
      </c>
      <c r="G2546">
        <v>115.5</v>
      </c>
      <c r="H2546">
        <v>70</v>
      </c>
      <c r="I2546">
        <v>19.64</v>
      </c>
      <c r="J2546">
        <v>252.2</v>
      </c>
      <c r="K2546">
        <v>143</v>
      </c>
      <c r="L2546">
        <v>21.44</v>
      </c>
      <c r="M2546">
        <v>208.9</v>
      </c>
      <c r="N2546">
        <v>91</v>
      </c>
      <c r="O2546">
        <v>9.4</v>
      </c>
      <c r="P2546">
        <v>7.5</v>
      </c>
      <c r="Q2546">
        <v>6</v>
      </c>
      <c r="R2546">
        <v>2.03</v>
      </c>
      <c r="S2546">
        <v>0</v>
      </c>
      <c r="T2546" t="b">
        <v>0</v>
      </c>
    </row>
    <row r="2547" spans="1:20">
      <c r="A2547" t="s">
        <v>87</v>
      </c>
      <c r="B2547">
        <v>100</v>
      </c>
      <c r="C2547">
        <v>408</v>
      </c>
      <c r="D2547" t="s">
        <v>62</v>
      </c>
      <c r="E2547" t="s">
        <v>62</v>
      </c>
      <c r="F2547">
        <v>0</v>
      </c>
      <c r="G2547">
        <v>218.8</v>
      </c>
      <c r="H2547">
        <v>125</v>
      </c>
      <c r="I2547">
        <v>37.2</v>
      </c>
      <c r="J2547">
        <v>148.3</v>
      </c>
      <c r="K2547">
        <v>102</v>
      </c>
      <c r="L2547">
        <v>12.61</v>
      </c>
      <c r="M2547">
        <v>277.8</v>
      </c>
      <c r="N2547">
        <v>97</v>
      </c>
      <c r="O2547">
        <v>12.5</v>
      </c>
      <c r="P2547">
        <v>9.7</v>
      </c>
      <c r="Q2547">
        <v>6</v>
      </c>
      <c r="R2547">
        <v>2.62</v>
      </c>
      <c r="S2547">
        <v>1</v>
      </c>
      <c r="T2547" t="b">
        <v>0</v>
      </c>
    </row>
    <row r="2548" spans="1:20">
      <c r="A2548" t="s">
        <v>85</v>
      </c>
      <c r="B2548">
        <v>41</v>
      </c>
      <c r="C2548">
        <v>510</v>
      </c>
      <c r="D2548" t="s">
        <v>62</v>
      </c>
      <c r="E2548" t="s">
        <v>62</v>
      </c>
      <c r="F2548">
        <v>0</v>
      </c>
      <c r="G2548">
        <v>223.8</v>
      </c>
      <c r="H2548">
        <v>67</v>
      </c>
      <c r="I2548">
        <v>38.05</v>
      </c>
      <c r="J2548">
        <v>244.8</v>
      </c>
      <c r="K2548">
        <v>74</v>
      </c>
      <c r="L2548">
        <v>20.81</v>
      </c>
      <c r="M2548">
        <v>223.8</v>
      </c>
      <c r="N2548">
        <v>156</v>
      </c>
      <c r="O2548">
        <v>10.07</v>
      </c>
      <c r="P2548">
        <v>12.3</v>
      </c>
      <c r="Q2548">
        <v>5</v>
      </c>
      <c r="R2548">
        <v>3.32</v>
      </c>
      <c r="S2548">
        <v>3</v>
      </c>
      <c r="T2548" t="b">
        <v>0</v>
      </c>
    </row>
    <row r="2549" spans="1:20">
      <c r="A2549" t="s">
        <v>94</v>
      </c>
      <c r="B2549">
        <v>133</v>
      </c>
      <c r="C2549">
        <v>415</v>
      </c>
      <c r="D2549" t="s">
        <v>62</v>
      </c>
      <c r="E2549" t="s">
        <v>62</v>
      </c>
      <c r="F2549">
        <v>0</v>
      </c>
      <c r="G2549">
        <v>143.8</v>
      </c>
      <c r="H2549">
        <v>71</v>
      </c>
      <c r="I2549">
        <v>24.45</v>
      </c>
      <c r="J2549">
        <v>184</v>
      </c>
      <c r="K2549">
        <v>131</v>
      </c>
      <c r="L2549">
        <v>15.64</v>
      </c>
      <c r="M2549">
        <v>275.5</v>
      </c>
      <c r="N2549">
        <v>132</v>
      </c>
      <c r="O2549">
        <v>12.4</v>
      </c>
      <c r="P2549">
        <v>12.9</v>
      </c>
      <c r="Q2549">
        <v>4</v>
      </c>
      <c r="R2549">
        <v>3.48</v>
      </c>
      <c r="S2549">
        <v>3</v>
      </c>
      <c r="T2549" t="b">
        <v>0</v>
      </c>
    </row>
    <row r="2550" spans="1:20">
      <c r="A2550" t="s">
        <v>111</v>
      </c>
      <c r="B2550">
        <v>36</v>
      </c>
      <c r="C2550">
        <v>408</v>
      </c>
      <c r="D2550" t="s">
        <v>62</v>
      </c>
      <c r="E2550" t="s">
        <v>63</v>
      </c>
      <c r="F2550">
        <v>43</v>
      </c>
      <c r="G2550">
        <v>29.9</v>
      </c>
      <c r="H2550">
        <v>123</v>
      </c>
      <c r="I2550">
        <v>5.08</v>
      </c>
      <c r="J2550">
        <v>129.1</v>
      </c>
      <c r="K2550">
        <v>117</v>
      </c>
      <c r="L2550">
        <v>10.97</v>
      </c>
      <c r="M2550">
        <v>325.9</v>
      </c>
      <c r="N2550">
        <v>105</v>
      </c>
      <c r="O2550">
        <v>14.67</v>
      </c>
      <c r="P2550">
        <v>8.6</v>
      </c>
      <c r="Q2550">
        <v>6</v>
      </c>
      <c r="R2550">
        <v>2.32</v>
      </c>
      <c r="S2550">
        <v>2</v>
      </c>
      <c r="T2550" t="b">
        <v>0</v>
      </c>
    </row>
    <row r="2551" spans="1:20">
      <c r="A2551" t="s">
        <v>91</v>
      </c>
      <c r="B2551">
        <v>51</v>
      </c>
      <c r="C2551">
        <v>510</v>
      </c>
      <c r="D2551" t="s">
        <v>62</v>
      </c>
      <c r="E2551" t="s">
        <v>63</v>
      </c>
      <c r="F2551">
        <v>28</v>
      </c>
      <c r="G2551">
        <v>276.7</v>
      </c>
      <c r="H2551">
        <v>121</v>
      </c>
      <c r="I2551">
        <v>47.04</v>
      </c>
      <c r="J2551">
        <v>203.7</v>
      </c>
      <c r="K2551">
        <v>99</v>
      </c>
      <c r="L2551">
        <v>17.31</v>
      </c>
      <c r="M2551">
        <v>246.2</v>
      </c>
      <c r="N2551">
        <v>88</v>
      </c>
      <c r="O2551">
        <v>11.08</v>
      </c>
      <c r="P2551">
        <v>8.3</v>
      </c>
      <c r="Q2551">
        <v>3</v>
      </c>
      <c r="R2551">
        <v>2.24</v>
      </c>
      <c r="S2551">
        <v>0</v>
      </c>
      <c r="T2551" t="b">
        <v>0</v>
      </c>
    </row>
    <row r="2552" spans="1:20">
      <c r="A2552" t="s">
        <v>106</v>
      </c>
      <c r="B2552">
        <v>122</v>
      </c>
      <c r="C2552">
        <v>415</v>
      </c>
      <c r="D2552" t="s">
        <v>62</v>
      </c>
      <c r="E2552" t="s">
        <v>62</v>
      </c>
      <c r="F2552">
        <v>0</v>
      </c>
      <c r="G2552">
        <v>141.4</v>
      </c>
      <c r="H2552">
        <v>128</v>
      </c>
      <c r="I2552">
        <v>24.04</v>
      </c>
      <c r="J2552">
        <v>146.4</v>
      </c>
      <c r="K2552">
        <v>70</v>
      </c>
      <c r="L2552">
        <v>12.44</v>
      </c>
      <c r="M2552">
        <v>123</v>
      </c>
      <c r="N2552">
        <v>75</v>
      </c>
      <c r="O2552">
        <v>5.54</v>
      </c>
      <c r="P2552">
        <v>8.1</v>
      </c>
      <c r="Q2552">
        <v>4</v>
      </c>
      <c r="R2552">
        <v>2.19</v>
      </c>
      <c r="S2552">
        <v>0</v>
      </c>
      <c r="T2552" t="b">
        <v>0</v>
      </c>
    </row>
    <row r="2553" spans="1:20">
      <c r="A2553" t="s">
        <v>97</v>
      </c>
      <c r="B2553">
        <v>110</v>
      </c>
      <c r="C2553">
        <v>408</v>
      </c>
      <c r="D2553" t="s">
        <v>62</v>
      </c>
      <c r="E2553" t="s">
        <v>62</v>
      </c>
      <c r="F2553">
        <v>0</v>
      </c>
      <c r="G2553">
        <v>192.6</v>
      </c>
      <c r="H2553">
        <v>102</v>
      </c>
      <c r="I2553">
        <v>32.74</v>
      </c>
      <c r="J2553">
        <v>178.9</v>
      </c>
      <c r="K2553">
        <v>118</v>
      </c>
      <c r="L2553">
        <v>15.21</v>
      </c>
      <c r="M2553">
        <v>214.6</v>
      </c>
      <c r="N2553">
        <v>74</v>
      </c>
      <c r="O2553">
        <v>9.66</v>
      </c>
      <c r="P2553">
        <v>9.4</v>
      </c>
      <c r="Q2553">
        <v>4</v>
      </c>
      <c r="R2553">
        <v>2.54</v>
      </c>
      <c r="S2553">
        <v>1</v>
      </c>
      <c r="T2553" t="b">
        <v>0</v>
      </c>
    </row>
    <row r="2554" spans="1:20">
      <c r="A2554" t="s">
        <v>67</v>
      </c>
      <c r="B2554">
        <v>91</v>
      </c>
      <c r="C2554">
        <v>408</v>
      </c>
      <c r="D2554" t="s">
        <v>63</v>
      </c>
      <c r="E2554" t="s">
        <v>62</v>
      </c>
      <c r="F2554">
        <v>0</v>
      </c>
      <c r="G2554">
        <v>151.8</v>
      </c>
      <c r="H2554">
        <v>115</v>
      </c>
      <c r="I2554">
        <v>25.81</v>
      </c>
      <c r="J2554">
        <v>103.6</v>
      </c>
      <c r="K2554">
        <v>116</v>
      </c>
      <c r="L2554">
        <v>8.81</v>
      </c>
      <c r="M2554">
        <v>156.3</v>
      </c>
      <c r="N2554">
        <v>86</v>
      </c>
      <c r="O2554">
        <v>7.03</v>
      </c>
      <c r="P2554">
        <v>12.2</v>
      </c>
      <c r="Q2554">
        <v>4</v>
      </c>
      <c r="R2554">
        <v>3.29</v>
      </c>
      <c r="S2554">
        <v>1</v>
      </c>
      <c r="T2554" t="b">
        <v>0</v>
      </c>
    </row>
    <row r="2555" spans="1:20">
      <c r="A2555" t="s">
        <v>95</v>
      </c>
      <c r="B2555">
        <v>121</v>
      </c>
      <c r="C2555">
        <v>408</v>
      </c>
      <c r="D2555" t="s">
        <v>62</v>
      </c>
      <c r="E2555" t="s">
        <v>62</v>
      </c>
      <c r="F2555">
        <v>0</v>
      </c>
      <c r="G2555">
        <v>215.6</v>
      </c>
      <c r="H2555">
        <v>74</v>
      </c>
      <c r="I2555">
        <v>36.65</v>
      </c>
      <c r="J2555">
        <v>192.9</v>
      </c>
      <c r="K2555">
        <v>98</v>
      </c>
      <c r="L2555">
        <v>16.4</v>
      </c>
      <c r="M2555">
        <v>144</v>
      </c>
      <c r="N2555">
        <v>103</v>
      </c>
      <c r="O2555">
        <v>6.48</v>
      </c>
      <c r="P2555">
        <v>10.1</v>
      </c>
      <c r="Q2555">
        <v>4</v>
      </c>
      <c r="R2555">
        <v>2.73</v>
      </c>
      <c r="S2555">
        <v>5</v>
      </c>
      <c r="T2555" t="b">
        <v>0</v>
      </c>
    </row>
    <row r="2556" spans="1:20">
      <c r="A2556" t="s">
        <v>71</v>
      </c>
      <c r="B2556">
        <v>109</v>
      </c>
      <c r="C2556">
        <v>415</v>
      </c>
      <c r="D2556" t="s">
        <v>62</v>
      </c>
      <c r="E2556" t="s">
        <v>62</v>
      </c>
      <c r="F2556">
        <v>0</v>
      </c>
      <c r="G2556">
        <v>180</v>
      </c>
      <c r="H2556">
        <v>100</v>
      </c>
      <c r="I2556">
        <v>30.6</v>
      </c>
      <c r="J2556">
        <v>229</v>
      </c>
      <c r="K2556">
        <v>103</v>
      </c>
      <c r="L2556">
        <v>19.47</v>
      </c>
      <c r="M2556">
        <v>139.4</v>
      </c>
      <c r="N2556">
        <v>105</v>
      </c>
      <c r="O2556">
        <v>6.27</v>
      </c>
      <c r="P2556">
        <v>7.8</v>
      </c>
      <c r="Q2556">
        <v>8</v>
      </c>
      <c r="R2556">
        <v>2.11</v>
      </c>
      <c r="S2556">
        <v>3</v>
      </c>
      <c r="T2556" t="b">
        <v>0</v>
      </c>
    </row>
    <row r="2557" spans="1:20">
      <c r="A2557" t="s">
        <v>100</v>
      </c>
      <c r="B2557">
        <v>72</v>
      </c>
      <c r="C2557">
        <v>415</v>
      </c>
      <c r="D2557" t="s">
        <v>62</v>
      </c>
      <c r="E2557" t="s">
        <v>62</v>
      </c>
      <c r="F2557">
        <v>0</v>
      </c>
      <c r="G2557">
        <v>196.5</v>
      </c>
      <c r="H2557">
        <v>88</v>
      </c>
      <c r="I2557">
        <v>33.41</v>
      </c>
      <c r="J2557">
        <v>158.6</v>
      </c>
      <c r="K2557">
        <v>129</v>
      </c>
      <c r="L2557">
        <v>13.48</v>
      </c>
      <c r="M2557">
        <v>269.3</v>
      </c>
      <c r="N2557">
        <v>118</v>
      </c>
      <c r="O2557">
        <v>12.12</v>
      </c>
      <c r="P2557">
        <v>6.8</v>
      </c>
      <c r="Q2557">
        <v>3</v>
      </c>
      <c r="R2557">
        <v>1.84</v>
      </c>
      <c r="S2557">
        <v>0</v>
      </c>
      <c r="T2557" t="b">
        <v>0</v>
      </c>
    </row>
    <row r="2558" spans="1:20">
      <c r="A2558" t="s">
        <v>83</v>
      </c>
      <c r="B2558">
        <v>108</v>
      </c>
      <c r="C2558">
        <v>415</v>
      </c>
      <c r="D2558" t="s">
        <v>62</v>
      </c>
      <c r="E2558" t="s">
        <v>62</v>
      </c>
      <c r="F2558">
        <v>0</v>
      </c>
      <c r="G2558">
        <v>193.3</v>
      </c>
      <c r="H2558">
        <v>126</v>
      </c>
      <c r="I2558">
        <v>32.86</v>
      </c>
      <c r="J2558">
        <v>154.7</v>
      </c>
      <c r="K2558">
        <v>85</v>
      </c>
      <c r="L2558">
        <v>13.15</v>
      </c>
      <c r="M2558">
        <v>174.8</v>
      </c>
      <c r="N2558">
        <v>98</v>
      </c>
      <c r="O2558">
        <v>7.87</v>
      </c>
      <c r="P2558">
        <v>9.4</v>
      </c>
      <c r="Q2558">
        <v>6</v>
      </c>
      <c r="R2558">
        <v>2.54</v>
      </c>
      <c r="S2558">
        <v>3</v>
      </c>
      <c r="T2558" t="b">
        <v>0</v>
      </c>
    </row>
    <row r="2559" spans="1:20">
      <c r="A2559" t="s">
        <v>115</v>
      </c>
      <c r="B2559">
        <v>148</v>
      </c>
      <c r="C2559">
        <v>415</v>
      </c>
      <c r="D2559" t="s">
        <v>63</v>
      </c>
      <c r="E2559" t="s">
        <v>62</v>
      </c>
      <c r="F2559">
        <v>0</v>
      </c>
      <c r="G2559">
        <v>218.7</v>
      </c>
      <c r="H2559">
        <v>111</v>
      </c>
      <c r="I2559">
        <v>37.18</v>
      </c>
      <c r="J2559">
        <v>155.6</v>
      </c>
      <c r="K2559">
        <v>133</v>
      </c>
      <c r="L2559">
        <v>13.23</v>
      </c>
      <c r="M2559">
        <v>277.4</v>
      </c>
      <c r="N2559">
        <v>62</v>
      </c>
      <c r="O2559">
        <v>12.48</v>
      </c>
      <c r="P2559">
        <v>8.2</v>
      </c>
      <c r="Q2559">
        <v>5</v>
      </c>
      <c r="R2559">
        <v>2.21</v>
      </c>
      <c r="S2559">
        <v>1</v>
      </c>
      <c r="T2559" t="b">
        <v>0</v>
      </c>
    </row>
    <row r="2560" spans="1:20">
      <c r="A2560" t="s">
        <v>101</v>
      </c>
      <c r="B2560">
        <v>76</v>
      </c>
      <c r="C2560">
        <v>510</v>
      </c>
      <c r="D2560" t="s">
        <v>63</v>
      </c>
      <c r="E2560" t="s">
        <v>62</v>
      </c>
      <c r="F2560">
        <v>0</v>
      </c>
      <c r="G2560">
        <v>246.8</v>
      </c>
      <c r="H2560">
        <v>110</v>
      </c>
      <c r="I2560">
        <v>41.96</v>
      </c>
      <c r="J2560">
        <v>206.3</v>
      </c>
      <c r="K2560">
        <v>63</v>
      </c>
      <c r="L2560">
        <v>17.54</v>
      </c>
      <c r="M2560">
        <v>208.4</v>
      </c>
      <c r="N2560">
        <v>123</v>
      </c>
      <c r="O2560">
        <v>9.38</v>
      </c>
      <c r="P2560">
        <v>13.2</v>
      </c>
      <c r="Q2560">
        <v>5</v>
      </c>
      <c r="R2560">
        <v>3.56</v>
      </c>
      <c r="S2560">
        <v>0</v>
      </c>
      <c r="T2560" t="b">
        <v>1</v>
      </c>
    </row>
    <row r="2561" spans="1:20">
      <c r="A2561" t="s">
        <v>77</v>
      </c>
      <c r="B2561">
        <v>103</v>
      </c>
      <c r="C2561">
        <v>415</v>
      </c>
      <c r="D2561" t="s">
        <v>62</v>
      </c>
      <c r="E2561" t="s">
        <v>62</v>
      </c>
      <c r="F2561">
        <v>0</v>
      </c>
      <c r="G2561">
        <v>174.7</v>
      </c>
      <c r="H2561">
        <v>151</v>
      </c>
      <c r="I2561">
        <v>29.7</v>
      </c>
      <c r="J2561">
        <v>148</v>
      </c>
      <c r="K2561">
        <v>56</v>
      </c>
      <c r="L2561">
        <v>12.58</v>
      </c>
      <c r="M2561">
        <v>168.2</v>
      </c>
      <c r="N2561">
        <v>109</v>
      </c>
      <c r="O2561">
        <v>7.57</v>
      </c>
      <c r="P2561">
        <v>15.8</v>
      </c>
      <c r="Q2561">
        <v>3</v>
      </c>
      <c r="R2561">
        <v>4.27</v>
      </c>
      <c r="S2561">
        <v>6</v>
      </c>
      <c r="T2561" t="b">
        <v>1</v>
      </c>
    </row>
    <row r="2562" spans="1:20">
      <c r="A2562" t="s">
        <v>116</v>
      </c>
      <c r="B2562">
        <v>87</v>
      </c>
      <c r="C2562">
        <v>415</v>
      </c>
      <c r="D2562" t="s">
        <v>62</v>
      </c>
      <c r="E2562" t="s">
        <v>62</v>
      </c>
      <c r="F2562">
        <v>0</v>
      </c>
      <c r="G2562">
        <v>240</v>
      </c>
      <c r="H2562">
        <v>83</v>
      </c>
      <c r="I2562">
        <v>40.8</v>
      </c>
      <c r="J2562">
        <v>134.1</v>
      </c>
      <c r="K2562">
        <v>106</v>
      </c>
      <c r="L2562">
        <v>11.4</v>
      </c>
      <c r="M2562">
        <v>189.1</v>
      </c>
      <c r="N2562">
        <v>84</v>
      </c>
      <c r="O2562">
        <v>8.51</v>
      </c>
      <c r="P2562">
        <v>9.3</v>
      </c>
      <c r="Q2562">
        <v>2</v>
      </c>
      <c r="R2562">
        <v>2.51</v>
      </c>
      <c r="S2562">
        <v>0</v>
      </c>
      <c r="T2562" t="b">
        <v>1</v>
      </c>
    </row>
    <row r="2563" spans="1:20">
      <c r="A2563" t="s">
        <v>66</v>
      </c>
      <c r="B2563">
        <v>35</v>
      </c>
      <c r="C2563">
        <v>510</v>
      </c>
      <c r="D2563" t="s">
        <v>62</v>
      </c>
      <c r="E2563" t="s">
        <v>63</v>
      </c>
      <c r="F2563">
        <v>37</v>
      </c>
      <c r="G2563">
        <v>181.2</v>
      </c>
      <c r="H2563">
        <v>76</v>
      </c>
      <c r="I2563">
        <v>30.8</v>
      </c>
      <c r="J2563">
        <v>177.6</v>
      </c>
      <c r="K2563">
        <v>98</v>
      </c>
      <c r="L2563">
        <v>15.1</v>
      </c>
      <c r="M2563">
        <v>228</v>
      </c>
      <c r="N2563">
        <v>136</v>
      </c>
      <c r="O2563">
        <v>10.26</v>
      </c>
      <c r="P2563">
        <v>5</v>
      </c>
      <c r="Q2563">
        <v>3</v>
      </c>
      <c r="R2563">
        <v>1.35</v>
      </c>
      <c r="S2563">
        <v>2</v>
      </c>
      <c r="T2563" t="b">
        <v>0</v>
      </c>
    </row>
    <row r="2564" spans="1:20">
      <c r="A2564" t="s">
        <v>77</v>
      </c>
      <c r="B2564">
        <v>77</v>
      </c>
      <c r="C2564">
        <v>510</v>
      </c>
      <c r="D2564" t="s">
        <v>62</v>
      </c>
      <c r="E2564" t="s">
        <v>63</v>
      </c>
      <c r="F2564">
        <v>29</v>
      </c>
      <c r="G2564">
        <v>211.1</v>
      </c>
      <c r="H2564">
        <v>89</v>
      </c>
      <c r="I2564">
        <v>35.89</v>
      </c>
      <c r="J2564">
        <v>223.5</v>
      </c>
      <c r="K2564">
        <v>97</v>
      </c>
      <c r="L2564">
        <v>19</v>
      </c>
      <c r="M2564">
        <v>148.4</v>
      </c>
      <c r="N2564">
        <v>106</v>
      </c>
      <c r="O2564">
        <v>6.68</v>
      </c>
      <c r="P2564">
        <v>9.7</v>
      </c>
      <c r="Q2564">
        <v>9</v>
      </c>
      <c r="R2564">
        <v>2.62</v>
      </c>
      <c r="S2564">
        <v>2</v>
      </c>
      <c r="T2564" t="b">
        <v>0</v>
      </c>
    </row>
    <row r="2565" spans="1:20">
      <c r="A2565" t="s">
        <v>94</v>
      </c>
      <c r="B2565">
        <v>124</v>
      </c>
      <c r="C2565">
        <v>510</v>
      </c>
      <c r="D2565" t="s">
        <v>62</v>
      </c>
      <c r="E2565" t="s">
        <v>62</v>
      </c>
      <c r="F2565">
        <v>0</v>
      </c>
      <c r="G2565">
        <v>169.3</v>
      </c>
      <c r="H2565">
        <v>108</v>
      </c>
      <c r="I2565">
        <v>28.78</v>
      </c>
      <c r="J2565">
        <v>178.6</v>
      </c>
      <c r="K2565">
        <v>91</v>
      </c>
      <c r="L2565">
        <v>15.18</v>
      </c>
      <c r="M2565">
        <v>242.3</v>
      </c>
      <c r="N2565">
        <v>82</v>
      </c>
      <c r="O2565">
        <v>10.9</v>
      </c>
      <c r="P2565">
        <v>12.2</v>
      </c>
      <c r="Q2565">
        <v>3</v>
      </c>
      <c r="R2565">
        <v>3.29</v>
      </c>
      <c r="S2565">
        <v>1</v>
      </c>
      <c r="T2565" t="b">
        <v>0</v>
      </c>
    </row>
    <row r="2566" spans="1:20">
      <c r="A2566" t="s">
        <v>99</v>
      </c>
      <c r="B2566">
        <v>30</v>
      </c>
      <c r="C2566">
        <v>415</v>
      </c>
      <c r="D2566" t="s">
        <v>62</v>
      </c>
      <c r="E2566" t="s">
        <v>62</v>
      </c>
      <c r="F2566">
        <v>0</v>
      </c>
      <c r="G2566">
        <v>247.4</v>
      </c>
      <c r="H2566">
        <v>107</v>
      </c>
      <c r="I2566">
        <v>42.06</v>
      </c>
      <c r="J2566">
        <v>175.9</v>
      </c>
      <c r="K2566">
        <v>76</v>
      </c>
      <c r="L2566">
        <v>14.95</v>
      </c>
      <c r="M2566">
        <v>287.4</v>
      </c>
      <c r="N2566">
        <v>90</v>
      </c>
      <c r="O2566">
        <v>12.93</v>
      </c>
      <c r="P2566">
        <v>11.3</v>
      </c>
      <c r="Q2566">
        <v>2</v>
      </c>
      <c r="R2566">
        <v>3.05</v>
      </c>
      <c r="S2566">
        <v>0</v>
      </c>
      <c r="T2566" t="b">
        <v>0</v>
      </c>
    </row>
    <row r="2567" spans="1:20">
      <c r="A2567" t="s">
        <v>95</v>
      </c>
      <c r="B2567">
        <v>53</v>
      </c>
      <c r="C2567">
        <v>415</v>
      </c>
      <c r="D2567" t="s">
        <v>62</v>
      </c>
      <c r="E2567" t="s">
        <v>63</v>
      </c>
      <c r="F2567">
        <v>32</v>
      </c>
      <c r="G2567">
        <v>131.2</v>
      </c>
      <c r="H2567">
        <v>63</v>
      </c>
      <c r="I2567">
        <v>22.3</v>
      </c>
      <c r="J2567">
        <v>227.4</v>
      </c>
      <c r="K2567">
        <v>125</v>
      </c>
      <c r="L2567">
        <v>19.33</v>
      </c>
      <c r="M2567">
        <v>178.9</v>
      </c>
      <c r="N2567">
        <v>105</v>
      </c>
      <c r="O2567">
        <v>8.05</v>
      </c>
      <c r="P2567">
        <v>12.8</v>
      </c>
      <c r="Q2567">
        <v>2</v>
      </c>
      <c r="R2567">
        <v>3.46</v>
      </c>
      <c r="S2567">
        <v>2</v>
      </c>
      <c r="T2567" t="b">
        <v>0</v>
      </c>
    </row>
    <row r="2568" spans="1:20">
      <c r="A2568" t="s">
        <v>116</v>
      </c>
      <c r="B2568">
        <v>100</v>
      </c>
      <c r="C2568">
        <v>510</v>
      </c>
      <c r="D2568" t="s">
        <v>63</v>
      </c>
      <c r="E2568" t="s">
        <v>62</v>
      </c>
      <c r="F2568">
        <v>0</v>
      </c>
      <c r="G2568">
        <v>107.2</v>
      </c>
      <c r="H2568">
        <v>98</v>
      </c>
      <c r="I2568">
        <v>18.22</v>
      </c>
      <c r="J2568">
        <v>86.8</v>
      </c>
      <c r="K2568">
        <v>122</v>
      </c>
      <c r="L2568">
        <v>7.38</v>
      </c>
      <c r="M2568">
        <v>156.2</v>
      </c>
      <c r="N2568">
        <v>117</v>
      </c>
      <c r="O2568">
        <v>7.03</v>
      </c>
      <c r="P2568">
        <v>9.7</v>
      </c>
      <c r="Q2568">
        <v>4</v>
      </c>
      <c r="R2568">
        <v>2.62</v>
      </c>
      <c r="S2568">
        <v>1</v>
      </c>
      <c r="T2568" t="b">
        <v>0</v>
      </c>
    </row>
    <row r="2569" spans="1:20">
      <c r="A2569" t="s">
        <v>102</v>
      </c>
      <c r="B2569">
        <v>59</v>
      </c>
      <c r="C2569">
        <v>408</v>
      </c>
      <c r="D2569" t="s">
        <v>62</v>
      </c>
      <c r="E2569" t="s">
        <v>63</v>
      </c>
      <c r="F2569">
        <v>32</v>
      </c>
      <c r="G2569">
        <v>211.9</v>
      </c>
      <c r="H2569">
        <v>120</v>
      </c>
      <c r="I2569">
        <v>36.02</v>
      </c>
      <c r="J2569">
        <v>202.9</v>
      </c>
      <c r="K2569">
        <v>136</v>
      </c>
      <c r="L2569">
        <v>17.25</v>
      </c>
      <c r="M2569">
        <v>213.5</v>
      </c>
      <c r="N2569">
        <v>95</v>
      </c>
      <c r="O2569">
        <v>9.61</v>
      </c>
      <c r="P2569">
        <v>8.8</v>
      </c>
      <c r="Q2569">
        <v>5</v>
      </c>
      <c r="R2569">
        <v>2.38</v>
      </c>
      <c r="S2569">
        <v>1</v>
      </c>
      <c r="T2569" t="b">
        <v>0</v>
      </c>
    </row>
    <row r="2570" spans="1:20">
      <c r="A2570" t="s">
        <v>101</v>
      </c>
      <c r="B2570">
        <v>143</v>
      </c>
      <c r="C2570">
        <v>510</v>
      </c>
      <c r="D2570" t="s">
        <v>62</v>
      </c>
      <c r="E2570" t="s">
        <v>62</v>
      </c>
      <c r="F2570">
        <v>0</v>
      </c>
      <c r="G2570">
        <v>160.4</v>
      </c>
      <c r="H2570">
        <v>120</v>
      </c>
      <c r="I2570">
        <v>27.27</v>
      </c>
      <c r="J2570">
        <v>285.9</v>
      </c>
      <c r="K2570">
        <v>104</v>
      </c>
      <c r="L2570">
        <v>24.3</v>
      </c>
      <c r="M2570">
        <v>182.5</v>
      </c>
      <c r="N2570">
        <v>85</v>
      </c>
      <c r="O2570">
        <v>8.21</v>
      </c>
      <c r="P2570">
        <v>6.9</v>
      </c>
      <c r="Q2570">
        <v>4</v>
      </c>
      <c r="R2570">
        <v>1.86</v>
      </c>
      <c r="S2570">
        <v>3</v>
      </c>
      <c r="T2570" t="b">
        <v>0</v>
      </c>
    </row>
    <row r="2571" spans="1:20">
      <c r="A2571" t="s">
        <v>109</v>
      </c>
      <c r="B2571">
        <v>111</v>
      </c>
      <c r="C2571">
        <v>408</v>
      </c>
      <c r="D2571" t="s">
        <v>62</v>
      </c>
      <c r="E2571" t="s">
        <v>62</v>
      </c>
      <c r="F2571">
        <v>0</v>
      </c>
      <c r="G2571">
        <v>294.7</v>
      </c>
      <c r="H2571">
        <v>90</v>
      </c>
      <c r="I2571">
        <v>50.1</v>
      </c>
      <c r="J2571">
        <v>294.6</v>
      </c>
      <c r="K2571">
        <v>72</v>
      </c>
      <c r="L2571">
        <v>25.04</v>
      </c>
      <c r="M2571">
        <v>260.1</v>
      </c>
      <c r="N2571">
        <v>121</v>
      </c>
      <c r="O2571">
        <v>11.7</v>
      </c>
      <c r="P2571">
        <v>10.8</v>
      </c>
      <c r="Q2571">
        <v>3</v>
      </c>
      <c r="R2571">
        <v>2.92</v>
      </c>
      <c r="S2571">
        <v>1</v>
      </c>
      <c r="T2571" t="b">
        <v>1</v>
      </c>
    </row>
    <row r="2572" spans="1:20">
      <c r="A2572" t="s">
        <v>101</v>
      </c>
      <c r="B2572">
        <v>143</v>
      </c>
      <c r="C2572">
        <v>510</v>
      </c>
      <c r="D2572" t="s">
        <v>62</v>
      </c>
      <c r="E2572" t="s">
        <v>62</v>
      </c>
      <c r="F2572">
        <v>0</v>
      </c>
      <c r="G2572">
        <v>133.4</v>
      </c>
      <c r="H2572">
        <v>107</v>
      </c>
      <c r="I2572">
        <v>22.68</v>
      </c>
      <c r="J2572">
        <v>223.9</v>
      </c>
      <c r="K2572">
        <v>117</v>
      </c>
      <c r="L2572">
        <v>19.03</v>
      </c>
      <c r="M2572">
        <v>180.4</v>
      </c>
      <c r="N2572">
        <v>85</v>
      </c>
      <c r="O2572">
        <v>8.12</v>
      </c>
      <c r="P2572">
        <v>10.2</v>
      </c>
      <c r="Q2572">
        <v>13</v>
      </c>
      <c r="R2572">
        <v>2.75</v>
      </c>
      <c r="S2572">
        <v>1</v>
      </c>
      <c r="T2572" t="b">
        <v>0</v>
      </c>
    </row>
    <row r="2573" spans="1:20">
      <c r="A2573" t="s">
        <v>64</v>
      </c>
      <c r="B2573">
        <v>68</v>
      </c>
      <c r="C2573">
        <v>415</v>
      </c>
      <c r="D2573" t="s">
        <v>63</v>
      </c>
      <c r="E2573" t="s">
        <v>63</v>
      </c>
      <c r="F2573">
        <v>24</v>
      </c>
      <c r="G2573">
        <v>125.7</v>
      </c>
      <c r="H2573">
        <v>92</v>
      </c>
      <c r="I2573">
        <v>21.37</v>
      </c>
      <c r="J2573">
        <v>275.9</v>
      </c>
      <c r="K2573">
        <v>98</v>
      </c>
      <c r="L2573">
        <v>23.45</v>
      </c>
      <c r="M2573">
        <v>214.5</v>
      </c>
      <c r="N2573">
        <v>108</v>
      </c>
      <c r="O2573">
        <v>9.65</v>
      </c>
      <c r="P2573">
        <v>14.2</v>
      </c>
      <c r="Q2573">
        <v>6</v>
      </c>
      <c r="R2573">
        <v>3.83</v>
      </c>
      <c r="S2573">
        <v>3</v>
      </c>
      <c r="T2573" t="b">
        <v>1</v>
      </c>
    </row>
    <row r="2574" spans="1:20">
      <c r="A2574" t="s">
        <v>112</v>
      </c>
      <c r="B2574">
        <v>93</v>
      </c>
      <c r="C2574">
        <v>510</v>
      </c>
      <c r="D2574" t="s">
        <v>63</v>
      </c>
      <c r="E2574" t="s">
        <v>62</v>
      </c>
      <c r="F2574">
        <v>0</v>
      </c>
      <c r="G2574">
        <v>168.4</v>
      </c>
      <c r="H2574">
        <v>114</v>
      </c>
      <c r="I2574">
        <v>28.63</v>
      </c>
      <c r="J2574">
        <v>276</v>
      </c>
      <c r="K2574">
        <v>127</v>
      </c>
      <c r="L2574">
        <v>23.46</v>
      </c>
      <c r="M2574">
        <v>196.2</v>
      </c>
      <c r="N2574">
        <v>48</v>
      </c>
      <c r="O2574">
        <v>8.83</v>
      </c>
      <c r="P2574">
        <v>11.4</v>
      </c>
      <c r="Q2574">
        <v>3</v>
      </c>
      <c r="R2574">
        <v>3.08</v>
      </c>
      <c r="S2574">
        <v>1</v>
      </c>
      <c r="T2574" t="b">
        <v>0</v>
      </c>
    </row>
    <row r="2575" spans="1:20">
      <c r="A2575" t="s">
        <v>77</v>
      </c>
      <c r="B2575">
        <v>103</v>
      </c>
      <c r="C2575">
        <v>415</v>
      </c>
      <c r="D2575" t="s">
        <v>62</v>
      </c>
      <c r="E2575" t="s">
        <v>62</v>
      </c>
      <c r="F2575">
        <v>0</v>
      </c>
      <c r="G2575">
        <v>70.9</v>
      </c>
      <c r="H2575">
        <v>134</v>
      </c>
      <c r="I2575">
        <v>12.05</v>
      </c>
      <c r="J2575">
        <v>134.5</v>
      </c>
      <c r="K2575">
        <v>112</v>
      </c>
      <c r="L2575">
        <v>11.43</v>
      </c>
      <c r="M2575">
        <v>168.8</v>
      </c>
      <c r="N2575">
        <v>164</v>
      </c>
      <c r="O2575">
        <v>7.6</v>
      </c>
      <c r="P2575">
        <v>12</v>
      </c>
      <c r="Q2575">
        <v>6</v>
      </c>
      <c r="R2575">
        <v>3.24</v>
      </c>
      <c r="S2575">
        <v>2</v>
      </c>
      <c r="T2575" t="b">
        <v>0</v>
      </c>
    </row>
    <row r="2576" spans="1:20">
      <c r="A2576" t="s">
        <v>71</v>
      </c>
      <c r="B2576">
        <v>144</v>
      </c>
      <c r="C2576">
        <v>510</v>
      </c>
      <c r="D2576" t="s">
        <v>62</v>
      </c>
      <c r="E2576" t="s">
        <v>63</v>
      </c>
      <c r="F2576">
        <v>38</v>
      </c>
      <c r="G2576">
        <v>105</v>
      </c>
      <c r="H2576">
        <v>86</v>
      </c>
      <c r="I2576">
        <v>17.85</v>
      </c>
      <c r="J2576">
        <v>121.8</v>
      </c>
      <c r="K2576">
        <v>123</v>
      </c>
      <c r="L2576">
        <v>10.35</v>
      </c>
      <c r="M2576">
        <v>221.5</v>
      </c>
      <c r="N2576">
        <v>122</v>
      </c>
      <c r="O2576">
        <v>9.97</v>
      </c>
      <c r="P2576">
        <v>3.7</v>
      </c>
      <c r="Q2576">
        <v>4</v>
      </c>
      <c r="R2576">
        <v>1</v>
      </c>
      <c r="S2576">
        <v>0</v>
      </c>
      <c r="T2576" t="b">
        <v>0</v>
      </c>
    </row>
    <row r="2577" spans="1:20">
      <c r="A2577" t="s">
        <v>93</v>
      </c>
      <c r="B2577">
        <v>93</v>
      </c>
      <c r="C2577">
        <v>415</v>
      </c>
      <c r="D2577" t="s">
        <v>62</v>
      </c>
      <c r="E2577" t="s">
        <v>62</v>
      </c>
      <c r="F2577">
        <v>0</v>
      </c>
      <c r="G2577">
        <v>152.1</v>
      </c>
      <c r="H2577">
        <v>141</v>
      </c>
      <c r="I2577">
        <v>25.86</v>
      </c>
      <c r="J2577">
        <v>215.5</v>
      </c>
      <c r="K2577">
        <v>107</v>
      </c>
      <c r="L2577">
        <v>18.32</v>
      </c>
      <c r="M2577">
        <v>262.4</v>
      </c>
      <c r="N2577">
        <v>111</v>
      </c>
      <c r="O2577">
        <v>11.81</v>
      </c>
      <c r="P2577">
        <v>12</v>
      </c>
      <c r="Q2577">
        <v>7</v>
      </c>
      <c r="R2577">
        <v>3.24</v>
      </c>
      <c r="S2577">
        <v>1</v>
      </c>
      <c r="T2577" t="b">
        <v>0</v>
      </c>
    </row>
    <row r="2578" spans="1:20">
      <c r="A2578" t="s">
        <v>66</v>
      </c>
      <c r="B2578">
        <v>149</v>
      </c>
      <c r="C2578">
        <v>510</v>
      </c>
      <c r="D2578" t="s">
        <v>63</v>
      </c>
      <c r="E2578" t="s">
        <v>62</v>
      </c>
      <c r="F2578">
        <v>0</v>
      </c>
      <c r="G2578">
        <v>180.9</v>
      </c>
      <c r="H2578">
        <v>79</v>
      </c>
      <c r="I2578">
        <v>30.75</v>
      </c>
      <c r="J2578">
        <v>194.9</v>
      </c>
      <c r="K2578">
        <v>83</v>
      </c>
      <c r="L2578">
        <v>16.57</v>
      </c>
      <c r="M2578">
        <v>197.8</v>
      </c>
      <c r="N2578">
        <v>109</v>
      </c>
      <c r="O2578">
        <v>8.9</v>
      </c>
      <c r="P2578">
        <v>8.8</v>
      </c>
      <c r="Q2578">
        <v>9</v>
      </c>
      <c r="R2578">
        <v>2.38</v>
      </c>
      <c r="S2578">
        <v>3</v>
      </c>
      <c r="T2578" t="b">
        <v>0</v>
      </c>
    </row>
    <row r="2579" spans="1:20">
      <c r="A2579" t="s">
        <v>71</v>
      </c>
      <c r="B2579">
        <v>23</v>
      </c>
      <c r="C2579">
        <v>510</v>
      </c>
      <c r="D2579" t="s">
        <v>62</v>
      </c>
      <c r="E2579" t="s">
        <v>63</v>
      </c>
      <c r="F2579">
        <v>31</v>
      </c>
      <c r="G2579">
        <v>156.6</v>
      </c>
      <c r="H2579">
        <v>84</v>
      </c>
      <c r="I2579">
        <v>26.62</v>
      </c>
      <c r="J2579">
        <v>161.5</v>
      </c>
      <c r="K2579">
        <v>96</v>
      </c>
      <c r="L2579">
        <v>13.73</v>
      </c>
      <c r="M2579">
        <v>294.6</v>
      </c>
      <c r="N2579">
        <v>107</v>
      </c>
      <c r="O2579">
        <v>13.26</v>
      </c>
      <c r="P2579">
        <v>9.4</v>
      </c>
      <c r="Q2579">
        <v>6</v>
      </c>
      <c r="R2579">
        <v>2.54</v>
      </c>
      <c r="S2579">
        <v>1</v>
      </c>
      <c r="T2579" t="b">
        <v>0</v>
      </c>
    </row>
    <row r="2580" spans="1:20">
      <c r="A2580" t="s">
        <v>99</v>
      </c>
      <c r="B2580">
        <v>221</v>
      </c>
      <c r="C2580">
        <v>510</v>
      </c>
      <c r="D2580" t="s">
        <v>62</v>
      </c>
      <c r="E2580" t="s">
        <v>63</v>
      </c>
      <c r="F2580">
        <v>24</v>
      </c>
      <c r="G2580">
        <v>180.5</v>
      </c>
      <c r="H2580">
        <v>85</v>
      </c>
      <c r="I2580">
        <v>30.69</v>
      </c>
      <c r="J2580">
        <v>224.1</v>
      </c>
      <c r="K2580">
        <v>92</v>
      </c>
      <c r="L2580">
        <v>19.05</v>
      </c>
      <c r="M2580">
        <v>205.7</v>
      </c>
      <c r="N2580">
        <v>103</v>
      </c>
      <c r="O2580">
        <v>9.26</v>
      </c>
      <c r="P2580">
        <v>2.4</v>
      </c>
      <c r="Q2580">
        <v>3</v>
      </c>
      <c r="R2580">
        <v>0.65</v>
      </c>
      <c r="S2580">
        <v>0</v>
      </c>
      <c r="T2580" t="b">
        <v>0</v>
      </c>
    </row>
    <row r="2581" spans="1:20">
      <c r="A2581" t="s">
        <v>61</v>
      </c>
      <c r="B2581">
        <v>164</v>
      </c>
      <c r="C2581">
        <v>510</v>
      </c>
      <c r="D2581" t="s">
        <v>62</v>
      </c>
      <c r="E2581" t="s">
        <v>63</v>
      </c>
      <c r="F2581">
        <v>30</v>
      </c>
      <c r="G2581">
        <v>238.8</v>
      </c>
      <c r="H2581">
        <v>100</v>
      </c>
      <c r="I2581">
        <v>40.6</v>
      </c>
      <c r="J2581">
        <v>230</v>
      </c>
      <c r="K2581">
        <v>121</v>
      </c>
      <c r="L2581">
        <v>19.55</v>
      </c>
      <c r="M2581">
        <v>206.3</v>
      </c>
      <c r="N2581">
        <v>66</v>
      </c>
      <c r="O2581">
        <v>9.28</v>
      </c>
      <c r="P2581">
        <v>13.2</v>
      </c>
      <c r="Q2581">
        <v>8</v>
      </c>
      <c r="R2581">
        <v>3.56</v>
      </c>
      <c r="S2581">
        <v>1</v>
      </c>
      <c r="T2581" t="b">
        <v>0</v>
      </c>
    </row>
    <row r="2582" spans="1:20">
      <c r="A2582" t="s">
        <v>100</v>
      </c>
      <c r="B2582">
        <v>104</v>
      </c>
      <c r="C2582">
        <v>415</v>
      </c>
      <c r="D2582" t="s">
        <v>62</v>
      </c>
      <c r="E2582" t="s">
        <v>63</v>
      </c>
      <c r="F2582">
        <v>18</v>
      </c>
      <c r="G2582">
        <v>182.1</v>
      </c>
      <c r="H2582">
        <v>66</v>
      </c>
      <c r="I2582">
        <v>30.96</v>
      </c>
      <c r="J2582">
        <v>213.6</v>
      </c>
      <c r="K2582">
        <v>65</v>
      </c>
      <c r="L2582">
        <v>18.16</v>
      </c>
      <c r="M2582">
        <v>193</v>
      </c>
      <c r="N2582">
        <v>108</v>
      </c>
      <c r="O2582">
        <v>8.69</v>
      </c>
      <c r="P2582">
        <v>13.4</v>
      </c>
      <c r="Q2582">
        <v>9</v>
      </c>
      <c r="R2582">
        <v>3.62</v>
      </c>
      <c r="S2582">
        <v>2</v>
      </c>
      <c r="T2582" t="b">
        <v>0</v>
      </c>
    </row>
    <row r="2583" spans="1:20">
      <c r="A2583" t="s">
        <v>106</v>
      </c>
      <c r="B2583">
        <v>150</v>
      </c>
      <c r="C2583">
        <v>415</v>
      </c>
      <c r="D2583" t="s">
        <v>62</v>
      </c>
      <c r="E2583" t="s">
        <v>63</v>
      </c>
      <c r="F2583">
        <v>35</v>
      </c>
      <c r="G2583">
        <v>139.6</v>
      </c>
      <c r="H2583">
        <v>72</v>
      </c>
      <c r="I2583">
        <v>23.73</v>
      </c>
      <c r="J2583">
        <v>332.8</v>
      </c>
      <c r="K2583">
        <v>170</v>
      </c>
      <c r="L2583">
        <v>28.29</v>
      </c>
      <c r="M2583">
        <v>213.8</v>
      </c>
      <c r="N2583">
        <v>105</v>
      </c>
      <c r="O2583">
        <v>9.62</v>
      </c>
      <c r="P2583">
        <v>8.8</v>
      </c>
      <c r="Q2583">
        <v>2</v>
      </c>
      <c r="R2583">
        <v>2.38</v>
      </c>
      <c r="S2583">
        <v>2</v>
      </c>
      <c r="T2583" t="b">
        <v>0</v>
      </c>
    </row>
    <row r="2584" spans="1:20">
      <c r="A2584" t="s">
        <v>93</v>
      </c>
      <c r="B2584">
        <v>184</v>
      </c>
      <c r="C2584">
        <v>408</v>
      </c>
      <c r="D2584" t="s">
        <v>62</v>
      </c>
      <c r="E2584" t="s">
        <v>63</v>
      </c>
      <c r="F2584">
        <v>12</v>
      </c>
      <c r="G2584">
        <v>200.3</v>
      </c>
      <c r="H2584">
        <v>76</v>
      </c>
      <c r="I2584">
        <v>34.05</v>
      </c>
      <c r="J2584">
        <v>253.6</v>
      </c>
      <c r="K2584">
        <v>105</v>
      </c>
      <c r="L2584">
        <v>21.56</v>
      </c>
      <c r="M2584">
        <v>149.3</v>
      </c>
      <c r="N2584">
        <v>93</v>
      </c>
      <c r="O2584">
        <v>6.72</v>
      </c>
      <c r="P2584">
        <v>10.2</v>
      </c>
      <c r="Q2584">
        <v>5</v>
      </c>
      <c r="R2584">
        <v>2.75</v>
      </c>
      <c r="S2584">
        <v>0</v>
      </c>
      <c r="T2584" t="b">
        <v>0</v>
      </c>
    </row>
    <row r="2585" spans="1:20">
      <c r="A2585" t="s">
        <v>97</v>
      </c>
      <c r="B2585">
        <v>61</v>
      </c>
      <c r="C2585">
        <v>415</v>
      </c>
      <c r="D2585" t="s">
        <v>63</v>
      </c>
      <c r="E2585" t="s">
        <v>63</v>
      </c>
      <c r="F2585">
        <v>29</v>
      </c>
      <c r="G2585">
        <v>128.2</v>
      </c>
      <c r="H2585">
        <v>119</v>
      </c>
      <c r="I2585">
        <v>21.79</v>
      </c>
      <c r="J2585">
        <v>171.7</v>
      </c>
      <c r="K2585">
        <v>83</v>
      </c>
      <c r="L2585">
        <v>14.59</v>
      </c>
      <c r="M2585">
        <v>250.9</v>
      </c>
      <c r="N2585">
        <v>114</v>
      </c>
      <c r="O2585">
        <v>11.29</v>
      </c>
      <c r="P2585">
        <v>11.7</v>
      </c>
      <c r="Q2585">
        <v>6</v>
      </c>
      <c r="R2585">
        <v>3.16</v>
      </c>
      <c r="S2585">
        <v>3</v>
      </c>
      <c r="T2585" t="b">
        <v>0</v>
      </c>
    </row>
    <row r="2586" spans="1:20">
      <c r="A2586" t="s">
        <v>96</v>
      </c>
      <c r="B2586">
        <v>115</v>
      </c>
      <c r="C2586">
        <v>415</v>
      </c>
      <c r="D2586" t="s">
        <v>62</v>
      </c>
      <c r="E2586" t="s">
        <v>62</v>
      </c>
      <c r="F2586">
        <v>0</v>
      </c>
      <c r="G2586">
        <v>226.4</v>
      </c>
      <c r="H2586">
        <v>101</v>
      </c>
      <c r="I2586">
        <v>38.49</v>
      </c>
      <c r="J2586">
        <v>276.8</v>
      </c>
      <c r="K2586">
        <v>60</v>
      </c>
      <c r="L2586">
        <v>23.53</v>
      </c>
      <c r="M2586">
        <v>213.4</v>
      </c>
      <c r="N2586">
        <v>82</v>
      </c>
      <c r="O2586">
        <v>9.6</v>
      </c>
      <c r="P2586">
        <v>12.3</v>
      </c>
      <c r="Q2586">
        <v>4</v>
      </c>
      <c r="R2586">
        <v>3.32</v>
      </c>
      <c r="S2586">
        <v>3</v>
      </c>
      <c r="T2586" t="b">
        <v>1</v>
      </c>
    </row>
    <row r="2587" spans="1:20">
      <c r="A2587" t="s">
        <v>92</v>
      </c>
      <c r="B2587">
        <v>33</v>
      </c>
      <c r="C2587">
        <v>408</v>
      </c>
      <c r="D2587" t="s">
        <v>62</v>
      </c>
      <c r="E2587" t="s">
        <v>62</v>
      </c>
      <c r="F2587">
        <v>0</v>
      </c>
      <c r="G2587">
        <v>251.9</v>
      </c>
      <c r="H2587">
        <v>81</v>
      </c>
      <c r="I2587">
        <v>42.82</v>
      </c>
      <c r="J2587">
        <v>194.6</v>
      </c>
      <c r="K2587">
        <v>96</v>
      </c>
      <c r="L2587">
        <v>16.54</v>
      </c>
      <c r="M2587">
        <v>211.2</v>
      </c>
      <c r="N2587">
        <v>87</v>
      </c>
      <c r="O2587">
        <v>9.5</v>
      </c>
      <c r="P2587">
        <v>8.4</v>
      </c>
      <c r="Q2587">
        <v>3</v>
      </c>
      <c r="R2587">
        <v>2.27</v>
      </c>
      <c r="S2587">
        <v>2</v>
      </c>
      <c r="T2587" t="b">
        <v>0</v>
      </c>
    </row>
    <row r="2588" spans="1:20">
      <c r="A2588" t="s">
        <v>108</v>
      </c>
      <c r="B2588">
        <v>100</v>
      </c>
      <c r="C2588">
        <v>510</v>
      </c>
      <c r="D2588" t="s">
        <v>62</v>
      </c>
      <c r="E2588" t="s">
        <v>62</v>
      </c>
      <c r="F2588">
        <v>0</v>
      </c>
      <c r="G2588">
        <v>264.5</v>
      </c>
      <c r="H2588">
        <v>117</v>
      </c>
      <c r="I2588">
        <v>44.97</v>
      </c>
      <c r="J2588">
        <v>194</v>
      </c>
      <c r="K2588">
        <v>111</v>
      </c>
      <c r="L2588">
        <v>16.49</v>
      </c>
      <c r="M2588">
        <v>262.7</v>
      </c>
      <c r="N2588">
        <v>111</v>
      </c>
      <c r="O2588">
        <v>11.82</v>
      </c>
      <c r="P2588">
        <v>7.5</v>
      </c>
      <c r="Q2588">
        <v>4</v>
      </c>
      <c r="R2588">
        <v>2.03</v>
      </c>
      <c r="S2588">
        <v>2</v>
      </c>
      <c r="T2588" t="b">
        <v>1</v>
      </c>
    </row>
    <row r="2589" spans="1:20">
      <c r="A2589" t="s">
        <v>95</v>
      </c>
      <c r="B2589">
        <v>75</v>
      </c>
      <c r="C2589">
        <v>510</v>
      </c>
      <c r="D2589" t="s">
        <v>62</v>
      </c>
      <c r="E2589" t="s">
        <v>63</v>
      </c>
      <c r="F2589">
        <v>28</v>
      </c>
      <c r="G2589">
        <v>200.6</v>
      </c>
      <c r="H2589">
        <v>96</v>
      </c>
      <c r="I2589">
        <v>34.1</v>
      </c>
      <c r="J2589">
        <v>164.1</v>
      </c>
      <c r="K2589">
        <v>111</v>
      </c>
      <c r="L2589">
        <v>13.95</v>
      </c>
      <c r="M2589">
        <v>169.6</v>
      </c>
      <c r="N2589">
        <v>153</v>
      </c>
      <c r="O2589">
        <v>7.63</v>
      </c>
      <c r="P2589">
        <v>2.5</v>
      </c>
      <c r="Q2589">
        <v>5</v>
      </c>
      <c r="R2589">
        <v>0.68</v>
      </c>
      <c r="S2589">
        <v>1</v>
      </c>
      <c r="T2589" t="b">
        <v>0</v>
      </c>
    </row>
    <row r="2590" spans="1:20">
      <c r="A2590" t="s">
        <v>90</v>
      </c>
      <c r="B2590">
        <v>121</v>
      </c>
      <c r="C2590">
        <v>408</v>
      </c>
      <c r="D2590" t="s">
        <v>62</v>
      </c>
      <c r="E2590" t="s">
        <v>63</v>
      </c>
      <c r="F2590">
        <v>34</v>
      </c>
      <c r="G2590">
        <v>245</v>
      </c>
      <c r="H2590">
        <v>95</v>
      </c>
      <c r="I2590">
        <v>41.65</v>
      </c>
      <c r="J2590">
        <v>216.9</v>
      </c>
      <c r="K2590">
        <v>66</v>
      </c>
      <c r="L2590">
        <v>18.44</v>
      </c>
      <c r="M2590">
        <v>112.4</v>
      </c>
      <c r="N2590">
        <v>125</v>
      </c>
      <c r="O2590">
        <v>5.06</v>
      </c>
      <c r="P2590">
        <v>7.5</v>
      </c>
      <c r="Q2590">
        <v>8</v>
      </c>
      <c r="R2590">
        <v>2.03</v>
      </c>
      <c r="S2590">
        <v>0</v>
      </c>
      <c r="T2590" t="b">
        <v>0</v>
      </c>
    </row>
    <row r="2591" spans="1:20">
      <c r="A2591" t="s">
        <v>110</v>
      </c>
      <c r="B2591">
        <v>142</v>
      </c>
      <c r="C2591">
        <v>415</v>
      </c>
      <c r="D2591" t="s">
        <v>63</v>
      </c>
      <c r="E2591" t="s">
        <v>62</v>
      </c>
      <c r="F2591">
        <v>0</v>
      </c>
      <c r="G2591">
        <v>140.8</v>
      </c>
      <c r="H2591">
        <v>140</v>
      </c>
      <c r="I2591">
        <v>23.94</v>
      </c>
      <c r="J2591">
        <v>228.6</v>
      </c>
      <c r="K2591">
        <v>119</v>
      </c>
      <c r="L2591">
        <v>19.43</v>
      </c>
      <c r="M2591">
        <v>152.9</v>
      </c>
      <c r="N2591">
        <v>88</v>
      </c>
      <c r="O2591">
        <v>6.88</v>
      </c>
      <c r="P2591">
        <v>10.9</v>
      </c>
      <c r="Q2591">
        <v>7</v>
      </c>
      <c r="R2591">
        <v>2.94</v>
      </c>
      <c r="S2591">
        <v>1</v>
      </c>
      <c r="T2591" t="b">
        <v>0</v>
      </c>
    </row>
    <row r="2592" spans="1:20">
      <c r="A2592" t="s">
        <v>101</v>
      </c>
      <c r="B2592">
        <v>121</v>
      </c>
      <c r="C2592">
        <v>510</v>
      </c>
      <c r="D2592" t="s">
        <v>62</v>
      </c>
      <c r="E2592" t="s">
        <v>62</v>
      </c>
      <c r="F2592">
        <v>0</v>
      </c>
      <c r="G2592">
        <v>255.1</v>
      </c>
      <c r="H2592">
        <v>93</v>
      </c>
      <c r="I2592">
        <v>43.37</v>
      </c>
      <c r="J2592">
        <v>266.9</v>
      </c>
      <c r="K2592">
        <v>97</v>
      </c>
      <c r="L2592">
        <v>22.69</v>
      </c>
      <c r="M2592">
        <v>197.7</v>
      </c>
      <c r="N2592">
        <v>118</v>
      </c>
      <c r="O2592">
        <v>8.9</v>
      </c>
      <c r="P2592">
        <v>8.8</v>
      </c>
      <c r="Q2592">
        <v>3</v>
      </c>
      <c r="R2592">
        <v>2.38</v>
      </c>
      <c r="S2592">
        <v>3</v>
      </c>
      <c r="T2592" t="b">
        <v>1</v>
      </c>
    </row>
    <row r="2593" spans="1:20">
      <c r="A2593" t="s">
        <v>99</v>
      </c>
      <c r="B2593">
        <v>87</v>
      </c>
      <c r="C2593">
        <v>415</v>
      </c>
      <c r="D2593" t="s">
        <v>62</v>
      </c>
      <c r="E2593" t="s">
        <v>63</v>
      </c>
      <c r="F2593">
        <v>33</v>
      </c>
      <c r="G2593">
        <v>125</v>
      </c>
      <c r="H2593">
        <v>99</v>
      </c>
      <c r="I2593">
        <v>21.25</v>
      </c>
      <c r="J2593">
        <v>235.3</v>
      </c>
      <c r="K2593">
        <v>81</v>
      </c>
      <c r="L2593">
        <v>20</v>
      </c>
      <c r="M2593">
        <v>215.3</v>
      </c>
      <c r="N2593">
        <v>95</v>
      </c>
      <c r="O2593">
        <v>9.69</v>
      </c>
      <c r="P2593">
        <v>10.2</v>
      </c>
      <c r="Q2593">
        <v>7</v>
      </c>
      <c r="R2593">
        <v>2.75</v>
      </c>
      <c r="S2593">
        <v>2</v>
      </c>
      <c r="T2593" t="b">
        <v>0</v>
      </c>
    </row>
    <row r="2594" spans="1:20">
      <c r="A2594" t="s">
        <v>99</v>
      </c>
      <c r="B2594">
        <v>34</v>
      </c>
      <c r="C2594">
        <v>408</v>
      </c>
      <c r="D2594" t="s">
        <v>62</v>
      </c>
      <c r="E2594" t="s">
        <v>62</v>
      </c>
      <c r="F2594">
        <v>0</v>
      </c>
      <c r="G2594">
        <v>180.6</v>
      </c>
      <c r="H2594">
        <v>65</v>
      </c>
      <c r="I2594">
        <v>30.7</v>
      </c>
      <c r="J2594">
        <v>280.4</v>
      </c>
      <c r="K2594">
        <v>99</v>
      </c>
      <c r="L2594">
        <v>23.83</v>
      </c>
      <c r="M2594">
        <v>292.4</v>
      </c>
      <c r="N2594">
        <v>105</v>
      </c>
      <c r="O2594">
        <v>13.16</v>
      </c>
      <c r="P2594">
        <v>5</v>
      </c>
      <c r="Q2594">
        <v>3</v>
      </c>
      <c r="R2594">
        <v>1.35</v>
      </c>
      <c r="S2594">
        <v>1</v>
      </c>
      <c r="T2594" t="b">
        <v>0</v>
      </c>
    </row>
    <row r="2595" spans="1:20">
      <c r="A2595" t="s">
        <v>90</v>
      </c>
      <c r="B2595">
        <v>177</v>
      </c>
      <c r="C2595">
        <v>415</v>
      </c>
      <c r="D2595" t="s">
        <v>63</v>
      </c>
      <c r="E2595" t="s">
        <v>62</v>
      </c>
      <c r="F2595">
        <v>0</v>
      </c>
      <c r="G2595">
        <v>248.7</v>
      </c>
      <c r="H2595">
        <v>118</v>
      </c>
      <c r="I2595">
        <v>42.28</v>
      </c>
      <c r="J2595">
        <v>172.3</v>
      </c>
      <c r="K2595">
        <v>73</v>
      </c>
      <c r="L2595">
        <v>14.65</v>
      </c>
      <c r="M2595">
        <v>191.9</v>
      </c>
      <c r="N2595">
        <v>87</v>
      </c>
      <c r="O2595">
        <v>8.64</v>
      </c>
      <c r="P2595">
        <v>11.3</v>
      </c>
      <c r="Q2595">
        <v>2</v>
      </c>
      <c r="R2595">
        <v>3.05</v>
      </c>
      <c r="S2595">
        <v>1</v>
      </c>
      <c r="T2595" t="b">
        <v>1</v>
      </c>
    </row>
    <row r="2596" spans="1:20">
      <c r="A2596" t="s">
        <v>68</v>
      </c>
      <c r="B2596">
        <v>58</v>
      </c>
      <c r="C2596">
        <v>415</v>
      </c>
      <c r="D2596" t="s">
        <v>62</v>
      </c>
      <c r="E2596" t="s">
        <v>63</v>
      </c>
      <c r="F2596">
        <v>30</v>
      </c>
      <c r="G2596">
        <v>178.1</v>
      </c>
      <c r="H2596">
        <v>111</v>
      </c>
      <c r="I2596">
        <v>30.28</v>
      </c>
      <c r="J2596">
        <v>236.7</v>
      </c>
      <c r="K2596">
        <v>109</v>
      </c>
      <c r="L2596">
        <v>20.12</v>
      </c>
      <c r="M2596">
        <v>264</v>
      </c>
      <c r="N2596">
        <v>118</v>
      </c>
      <c r="O2596">
        <v>11.88</v>
      </c>
      <c r="P2596">
        <v>8.4</v>
      </c>
      <c r="Q2596">
        <v>2</v>
      </c>
      <c r="R2596">
        <v>2.27</v>
      </c>
      <c r="S2596">
        <v>0</v>
      </c>
      <c r="T2596" t="b">
        <v>0</v>
      </c>
    </row>
    <row r="2597" spans="1:20">
      <c r="A2597" t="s">
        <v>92</v>
      </c>
      <c r="B2597">
        <v>113</v>
      </c>
      <c r="C2597">
        <v>415</v>
      </c>
      <c r="D2597" t="s">
        <v>63</v>
      </c>
      <c r="E2597" t="s">
        <v>62</v>
      </c>
      <c r="F2597">
        <v>0</v>
      </c>
      <c r="G2597">
        <v>122.2</v>
      </c>
      <c r="H2597">
        <v>112</v>
      </c>
      <c r="I2597">
        <v>20.77</v>
      </c>
      <c r="J2597">
        <v>131.7</v>
      </c>
      <c r="K2597">
        <v>94</v>
      </c>
      <c r="L2597">
        <v>11.19</v>
      </c>
      <c r="M2597">
        <v>169.5</v>
      </c>
      <c r="N2597">
        <v>106</v>
      </c>
      <c r="O2597">
        <v>7.63</v>
      </c>
      <c r="P2597">
        <v>10.3</v>
      </c>
      <c r="Q2597">
        <v>9</v>
      </c>
      <c r="R2597">
        <v>2.78</v>
      </c>
      <c r="S2597">
        <v>5</v>
      </c>
      <c r="T2597" t="b">
        <v>1</v>
      </c>
    </row>
    <row r="2598" spans="1:20">
      <c r="A2598" t="s">
        <v>94</v>
      </c>
      <c r="B2598">
        <v>89</v>
      </c>
      <c r="C2598">
        <v>415</v>
      </c>
      <c r="D2598" t="s">
        <v>62</v>
      </c>
      <c r="E2598" t="s">
        <v>62</v>
      </c>
      <c r="F2598">
        <v>0</v>
      </c>
      <c r="G2598">
        <v>111.2</v>
      </c>
      <c r="H2598">
        <v>101</v>
      </c>
      <c r="I2598">
        <v>18.9</v>
      </c>
      <c r="J2598">
        <v>122.1</v>
      </c>
      <c r="K2598">
        <v>94</v>
      </c>
      <c r="L2598">
        <v>10.38</v>
      </c>
      <c r="M2598">
        <v>180.8</v>
      </c>
      <c r="N2598">
        <v>85</v>
      </c>
      <c r="O2598">
        <v>8.14</v>
      </c>
      <c r="P2598">
        <v>12.6</v>
      </c>
      <c r="Q2598">
        <v>2</v>
      </c>
      <c r="R2598">
        <v>3.4</v>
      </c>
      <c r="S2598">
        <v>3</v>
      </c>
      <c r="T2598" t="b">
        <v>0</v>
      </c>
    </row>
    <row r="2599" spans="1:20">
      <c r="A2599" t="s">
        <v>100</v>
      </c>
      <c r="B2599">
        <v>77</v>
      </c>
      <c r="C2599">
        <v>408</v>
      </c>
      <c r="D2599" t="s">
        <v>63</v>
      </c>
      <c r="E2599" t="s">
        <v>63</v>
      </c>
      <c r="F2599">
        <v>44</v>
      </c>
      <c r="G2599">
        <v>103.2</v>
      </c>
      <c r="H2599">
        <v>117</v>
      </c>
      <c r="I2599">
        <v>17.54</v>
      </c>
      <c r="J2599">
        <v>236.3</v>
      </c>
      <c r="K2599">
        <v>86</v>
      </c>
      <c r="L2599">
        <v>20.09</v>
      </c>
      <c r="M2599">
        <v>203.5</v>
      </c>
      <c r="N2599">
        <v>101</v>
      </c>
      <c r="O2599">
        <v>9.16</v>
      </c>
      <c r="P2599">
        <v>11.9</v>
      </c>
      <c r="Q2599">
        <v>2</v>
      </c>
      <c r="R2599">
        <v>3.21</v>
      </c>
      <c r="S2599">
        <v>0</v>
      </c>
      <c r="T2599" t="b">
        <v>1</v>
      </c>
    </row>
    <row r="2600" spans="1:20">
      <c r="A2600" t="s">
        <v>66</v>
      </c>
      <c r="B2600">
        <v>146</v>
      </c>
      <c r="C2600">
        <v>510</v>
      </c>
      <c r="D2600" t="s">
        <v>62</v>
      </c>
      <c r="E2600" t="s">
        <v>62</v>
      </c>
      <c r="F2600">
        <v>0</v>
      </c>
      <c r="G2600">
        <v>138.4</v>
      </c>
      <c r="H2600">
        <v>104</v>
      </c>
      <c r="I2600">
        <v>23.53</v>
      </c>
      <c r="J2600">
        <v>158.9</v>
      </c>
      <c r="K2600">
        <v>122</v>
      </c>
      <c r="L2600">
        <v>13.51</v>
      </c>
      <c r="M2600">
        <v>47.4</v>
      </c>
      <c r="N2600">
        <v>73</v>
      </c>
      <c r="O2600">
        <v>2.13</v>
      </c>
      <c r="P2600">
        <v>3.9</v>
      </c>
      <c r="Q2600">
        <v>9</v>
      </c>
      <c r="R2600">
        <v>1.05</v>
      </c>
      <c r="S2600">
        <v>4</v>
      </c>
      <c r="T2600" t="b">
        <v>1</v>
      </c>
    </row>
    <row r="2601" spans="1:20">
      <c r="A2601" t="s">
        <v>65</v>
      </c>
      <c r="B2601">
        <v>93</v>
      </c>
      <c r="C2601">
        <v>415</v>
      </c>
      <c r="D2601" t="s">
        <v>62</v>
      </c>
      <c r="E2601" t="s">
        <v>62</v>
      </c>
      <c r="F2601">
        <v>0</v>
      </c>
      <c r="G2601">
        <v>146.3</v>
      </c>
      <c r="H2601">
        <v>85</v>
      </c>
      <c r="I2601">
        <v>24.87</v>
      </c>
      <c r="J2601">
        <v>216.6</v>
      </c>
      <c r="K2601">
        <v>95</v>
      </c>
      <c r="L2601">
        <v>18.41</v>
      </c>
      <c r="M2601">
        <v>233</v>
      </c>
      <c r="N2601">
        <v>82</v>
      </c>
      <c r="O2601">
        <v>10.49</v>
      </c>
      <c r="P2601">
        <v>11.5</v>
      </c>
      <c r="Q2601">
        <v>3</v>
      </c>
      <c r="R2601">
        <v>3.11</v>
      </c>
      <c r="S2601">
        <v>0</v>
      </c>
      <c r="T2601" t="b">
        <v>0</v>
      </c>
    </row>
    <row r="2602" spans="1:20">
      <c r="A2602" t="s">
        <v>64</v>
      </c>
      <c r="B2602">
        <v>160</v>
      </c>
      <c r="C2602">
        <v>415</v>
      </c>
      <c r="D2602" t="s">
        <v>62</v>
      </c>
      <c r="E2602" t="s">
        <v>62</v>
      </c>
      <c r="F2602">
        <v>0</v>
      </c>
      <c r="G2602">
        <v>206.3</v>
      </c>
      <c r="H2602">
        <v>66</v>
      </c>
      <c r="I2602">
        <v>35.07</v>
      </c>
      <c r="J2602">
        <v>241.1</v>
      </c>
      <c r="K2602">
        <v>109</v>
      </c>
      <c r="L2602">
        <v>20.49</v>
      </c>
      <c r="M2602">
        <v>227.8</v>
      </c>
      <c r="N2602">
        <v>102</v>
      </c>
      <c r="O2602">
        <v>10.25</v>
      </c>
      <c r="P2602">
        <v>11.7</v>
      </c>
      <c r="Q2602">
        <v>6</v>
      </c>
      <c r="R2602">
        <v>3.16</v>
      </c>
      <c r="S2602">
        <v>0</v>
      </c>
      <c r="T2602" t="b">
        <v>0</v>
      </c>
    </row>
    <row r="2603" spans="1:20">
      <c r="A2603" t="s">
        <v>103</v>
      </c>
      <c r="B2603">
        <v>55</v>
      </c>
      <c r="C2603">
        <v>415</v>
      </c>
      <c r="D2603" t="s">
        <v>62</v>
      </c>
      <c r="E2603" t="s">
        <v>62</v>
      </c>
      <c r="F2603">
        <v>0</v>
      </c>
      <c r="G2603">
        <v>132</v>
      </c>
      <c r="H2603">
        <v>103</v>
      </c>
      <c r="I2603">
        <v>22.44</v>
      </c>
      <c r="J2603">
        <v>279.6</v>
      </c>
      <c r="K2603">
        <v>114</v>
      </c>
      <c r="L2603">
        <v>23.77</v>
      </c>
      <c r="M2603">
        <v>180</v>
      </c>
      <c r="N2603">
        <v>74</v>
      </c>
      <c r="O2603">
        <v>8.1</v>
      </c>
      <c r="P2603">
        <v>13.5</v>
      </c>
      <c r="Q2603">
        <v>4</v>
      </c>
      <c r="R2603">
        <v>3.65</v>
      </c>
      <c r="S2603">
        <v>0</v>
      </c>
      <c r="T2603" t="b">
        <v>0</v>
      </c>
    </row>
    <row r="2604" spans="1:20">
      <c r="A2604" t="s">
        <v>64</v>
      </c>
      <c r="B2604">
        <v>88</v>
      </c>
      <c r="C2604">
        <v>408</v>
      </c>
      <c r="D2604" t="s">
        <v>62</v>
      </c>
      <c r="E2604" t="s">
        <v>62</v>
      </c>
      <c r="F2604">
        <v>0</v>
      </c>
      <c r="G2604">
        <v>274.6</v>
      </c>
      <c r="H2604">
        <v>105</v>
      </c>
      <c r="I2604">
        <v>46.68</v>
      </c>
      <c r="J2604">
        <v>161.1</v>
      </c>
      <c r="K2604">
        <v>121</v>
      </c>
      <c r="L2604">
        <v>13.69</v>
      </c>
      <c r="M2604">
        <v>194.4</v>
      </c>
      <c r="N2604">
        <v>123</v>
      </c>
      <c r="O2604">
        <v>8.75</v>
      </c>
      <c r="P2604">
        <v>9.2</v>
      </c>
      <c r="Q2604">
        <v>4</v>
      </c>
      <c r="R2604">
        <v>2.48</v>
      </c>
      <c r="S2604">
        <v>2</v>
      </c>
      <c r="T2604" t="b">
        <v>0</v>
      </c>
    </row>
    <row r="2605" spans="1:20">
      <c r="A2605" t="s">
        <v>110</v>
      </c>
      <c r="B2605">
        <v>63</v>
      </c>
      <c r="C2605">
        <v>510</v>
      </c>
      <c r="D2605" t="s">
        <v>62</v>
      </c>
      <c r="E2605" t="s">
        <v>62</v>
      </c>
      <c r="F2605">
        <v>0</v>
      </c>
      <c r="G2605">
        <v>185.3</v>
      </c>
      <c r="H2605">
        <v>87</v>
      </c>
      <c r="I2605">
        <v>31.5</v>
      </c>
      <c r="J2605">
        <v>225.3</v>
      </c>
      <c r="K2605">
        <v>87</v>
      </c>
      <c r="L2605">
        <v>19.15</v>
      </c>
      <c r="M2605">
        <v>194.3</v>
      </c>
      <c r="N2605">
        <v>93</v>
      </c>
      <c r="O2605">
        <v>8.74</v>
      </c>
      <c r="P2605">
        <v>11.7</v>
      </c>
      <c r="Q2605">
        <v>3</v>
      </c>
      <c r="R2605">
        <v>3.16</v>
      </c>
      <c r="S2605">
        <v>0</v>
      </c>
      <c r="T2605" t="b">
        <v>0</v>
      </c>
    </row>
    <row r="2606" spans="1:20">
      <c r="A2606" t="s">
        <v>86</v>
      </c>
      <c r="B2606">
        <v>57</v>
      </c>
      <c r="C2606">
        <v>415</v>
      </c>
      <c r="D2606" t="s">
        <v>62</v>
      </c>
      <c r="E2606" t="s">
        <v>63</v>
      </c>
      <c r="F2606">
        <v>30</v>
      </c>
      <c r="G2606">
        <v>179.2</v>
      </c>
      <c r="H2606">
        <v>105</v>
      </c>
      <c r="I2606">
        <v>30.46</v>
      </c>
      <c r="J2606">
        <v>283.2</v>
      </c>
      <c r="K2606">
        <v>83</v>
      </c>
      <c r="L2606">
        <v>24.07</v>
      </c>
      <c r="M2606">
        <v>228.1</v>
      </c>
      <c r="N2606">
        <v>77</v>
      </c>
      <c r="O2606">
        <v>10.26</v>
      </c>
      <c r="P2606">
        <v>14.7</v>
      </c>
      <c r="Q2606">
        <v>5</v>
      </c>
      <c r="R2606">
        <v>3.97</v>
      </c>
      <c r="S2606">
        <v>1</v>
      </c>
      <c r="T2606" t="b">
        <v>0</v>
      </c>
    </row>
    <row r="2607" spans="1:20">
      <c r="A2607" t="s">
        <v>73</v>
      </c>
      <c r="B2607">
        <v>138</v>
      </c>
      <c r="C2607">
        <v>510</v>
      </c>
      <c r="D2607" t="s">
        <v>63</v>
      </c>
      <c r="E2607" t="s">
        <v>62</v>
      </c>
      <c r="F2607">
        <v>0</v>
      </c>
      <c r="G2607">
        <v>286.2</v>
      </c>
      <c r="H2607">
        <v>61</v>
      </c>
      <c r="I2607">
        <v>48.65</v>
      </c>
      <c r="J2607">
        <v>187.2</v>
      </c>
      <c r="K2607">
        <v>60</v>
      </c>
      <c r="L2607">
        <v>15.91</v>
      </c>
      <c r="M2607">
        <v>146.2</v>
      </c>
      <c r="N2607">
        <v>114</v>
      </c>
      <c r="O2607">
        <v>6.58</v>
      </c>
      <c r="P2607">
        <v>11</v>
      </c>
      <c r="Q2607">
        <v>4</v>
      </c>
      <c r="R2607">
        <v>2.97</v>
      </c>
      <c r="S2607">
        <v>2</v>
      </c>
      <c r="T2607" t="b">
        <v>1</v>
      </c>
    </row>
    <row r="2608" spans="1:20">
      <c r="A2608" t="s">
        <v>92</v>
      </c>
      <c r="B2608">
        <v>115</v>
      </c>
      <c r="C2608">
        <v>408</v>
      </c>
      <c r="D2608" t="s">
        <v>62</v>
      </c>
      <c r="E2608" t="s">
        <v>62</v>
      </c>
      <c r="F2608">
        <v>0</v>
      </c>
      <c r="G2608">
        <v>268</v>
      </c>
      <c r="H2608">
        <v>115</v>
      </c>
      <c r="I2608">
        <v>45.56</v>
      </c>
      <c r="J2608">
        <v>153.6</v>
      </c>
      <c r="K2608">
        <v>106</v>
      </c>
      <c r="L2608">
        <v>13.06</v>
      </c>
      <c r="M2608">
        <v>232.3</v>
      </c>
      <c r="N2608">
        <v>65</v>
      </c>
      <c r="O2608">
        <v>10.45</v>
      </c>
      <c r="P2608">
        <v>17</v>
      </c>
      <c r="Q2608">
        <v>1</v>
      </c>
      <c r="R2608">
        <v>4.59</v>
      </c>
      <c r="S2608">
        <v>3</v>
      </c>
      <c r="T2608" t="b">
        <v>0</v>
      </c>
    </row>
    <row r="2609" spans="1:20">
      <c r="A2609" t="s">
        <v>106</v>
      </c>
      <c r="B2609">
        <v>171</v>
      </c>
      <c r="C2609">
        <v>415</v>
      </c>
      <c r="D2609" t="s">
        <v>62</v>
      </c>
      <c r="E2609" t="s">
        <v>62</v>
      </c>
      <c r="F2609">
        <v>0</v>
      </c>
      <c r="G2609">
        <v>137.5</v>
      </c>
      <c r="H2609">
        <v>110</v>
      </c>
      <c r="I2609">
        <v>23.38</v>
      </c>
      <c r="J2609">
        <v>198.1</v>
      </c>
      <c r="K2609">
        <v>109</v>
      </c>
      <c r="L2609">
        <v>16.84</v>
      </c>
      <c r="M2609">
        <v>292.7</v>
      </c>
      <c r="N2609">
        <v>131</v>
      </c>
      <c r="O2609">
        <v>13.17</v>
      </c>
      <c r="P2609">
        <v>13.3</v>
      </c>
      <c r="Q2609">
        <v>5</v>
      </c>
      <c r="R2609">
        <v>3.59</v>
      </c>
      <c r="S2609">
        <v>2</v>
      </c>
      <c r="T2609" t="b">
        <v>0</v>
      </c>
    </row>
    <row r="2610" spans="1:20">
      <c r="A2610" t="s">
        <v>100</v>
      </c>
      <c r="B2610">
        <v>127</v>
      </c>
      <c r="C2610">
        <v>510</v>
      </c>
      <c r="D2610" t="s">
        <v>62</v>
      </c>
      <c r="E2610" t="s">
        <v>62</v>
      </c>
      <c r="F2610">
        <v>0</v>
      </c>
      <c r="G2610">
        <v>134.9</v>
      </c>
      <c r="H2610">
        <v>79</v>
      </c>
      <c r="I2610">
        <v>22.93</v>
      </c>
      <c r="J2610">
        <v>221.5</v>
      </c>
      <c r="K2610">
        <v>114</v>
      </c>
      <c r="L2610">
        <v>18.83</v>
      </c>
      <c r="M2610">
        <v>113.8</v>
      </c>
      <c r="N2610">
        <v>118</v>
      </c>
      <c r="O2610">
        <v>5.12</v>
      </c>
      <c r="P2610">
        <v>15</v>
      </c>
      <c r="Q2610">
        <v>2</v>
      </c>
      <c r="R2610">
        <v>4.05</v>
      </c>
      <c r="S2610">
        <v>1</v>
      </c>
      <c r="T2610" t="b">
        <v>0</v>
      </c>
    </row>
    <row r="2611" spans="1:20">
      <c r="A2611" t="s">
        <v>94</v>
      </c>
      <c r="B2611">
        <v>61</v>
      </c>
      <c r="C2611">
        <v>415</v>
      </c>
      <c r="D2611" t="s">
        <v>62</v>
      </c>
      <c r="E2611" t="s">
        <v>62</v>
      </c>
      <c r="F2611">
        <v>0</v>
      </c>
      <c r="G2611">
        <v>234.2</v>
      </c>
      <c r="H2611">
        <v>76</v>
      </c>
      <c r="I2611">
        <v>39.81</v>
      </c>
      <c r="J2611">
        <v>216.7</v>
      </c>
      <c r="K2611">
        <v>108</v>
      </c>
      <c r="L2611">
        <v>18.42</v>
      </c>
      <c r="M2611">
        <v>130.6</v>
      </c>
      <c r="N2611">
        <v>122</v>
      </c>
      <c r="O2611">
        <v>5.88</v>
      </c>
      <c r="P2611">
        <v>13.9</v>
      </c>
      <c r="Q2611">
        <v>2</v>
      </c>
      <c r="R2611">
        <v>3.75</v>
      </c>
      <c r="S2611">
        <v>1</v>
      </c>
      <c r="T2611" t="b">
        <v>0</v>
      </c>
    </row>
    <row r="2612" spans="1:20">
      <c r="A2612" t="s">
        <v>78</v>
      </c>
      <c r="B2612">
        <v>131</v>
      </c>
      <c r="C2612">
        <v>415</v>
      </c>
      <c r="D2612" t="s">
        <v>62</v>
      </c>
      <c r="E2612" t="s">
        <v>62</v>
      </c>
      <c r="F2612">
        <v>0</v>
      </c>
      <c r="G2612">
        <v>175.1</v>
      </c>
      <c r="H2612">
        <v>73</v>
      </c>
      <c r="I2612">
        <v>29.77</v>
      </c>
      <c r="J2612">
        <v>171.9</v>
      </c>
      <c r="K2612">
        <v>116</v>
      </c>
      <c r="L2612">
        <v>14.61</v>
      </c>
      <c r="M2612">
        <v>131.1</v>
      </c>
      <c r="N2612">
        <v>94</v>
      </c>
      <c r="O2612">
        <v>5.9</v>
      </c>
      <c r="P2612">
        <v>7.3</v>
      </c>
      <c r="Q2612">
        <v>6</v>
      </c>
      <c r="R2612">
        <v>1.97</v>
      </c>
      <c r="S2612">
        <v>1</v>
      </c>
      <c r="T2612" t="b">
        <v>0</v>
      </c>
    </row>
    <row r="2613" spans="1:20">
      <c r="A2613" t="s">
        <v>99</v>
      </c>
      <c r="B2613">
        <v>88</v>
      </c>
      <c r="C2613">
        <v>408</v>
      </c>
      <c r="D2613" t="s">
        <v>62</v>
      </c>
      <c r="E2613" t="s">
        <v>62</v>
      </c>
      <c r="F2613">
        <v>0</v>
      </c>
      <c r="G2613">
        <v>142.2</v>
      </c>
      <c r="H2613">
        <v>107</v>
      </c>
      <c r="I2613">
        <v>24.17</v>
      </c>
      <c r="J2613">
        <v>262.4</v>
      </c>
      <c r="K2613">
        <v>84</v>
      </c>
      <c r="L2613">
        <v>22.3</v>
      </c>
      <c r="M2613">
        <v>139.2</v>
      </c>
      <c r="N2613">
        <v>99</v>
      </c>
      <c r="O2613">
        <v>6.26</v>
      </c>
      <c r="P2613">
        <v>10.1</v>
      </c>
      <c r="Q2613">
        <v>5</v>
      </c>
      <c r="R2613">
        <v>2.73</v>
      </c>
      <c r="S2613">
        <v>1</v>
      </c>
      <c r="T2613" t="b">
        <v>0</v>
      </c>
    </row>
    <row r="2614" spans="1:20">
      <c r="A2614" t="s">
        <v>105</v>
      </c>
      <c r="B2614">
        <v>130</v>
      </c>
      <c r="C2614">
        <v>510</v>
      </c>
      <c r="D2614" t="s">
        <v>62</v>
      </c>
      <c r="E2614" t="s">
        <v>62</v>
      </c>
      <c r="F2614">
        <v>0</v>
      </c>
      <c r="G2614">
        <v>132.4</v>
      </c>
      <c r="H2614">
        <v>81</v>
      </c>
      <c r="I2614">
        <v>22.51</v>
      </c>
      <c r="J2614">
        <v>200.3</v>
      </c>
      <c r="K2614">
        <v>110</v>
      </c>
      <c r="L2614">
        <v>17.03</v>
      </c>
      <c r="M2614">
        <v>202.5</v>
      </c>
      <c r="N2614">
        <v>103</v>
      </c>
      <c r="O2614">
        <v>9.11</v>
      </c>
      <c r="P2614">
        <v>6</v>
      </c>
      <c r="Q2614">
        <v>1</v>
      </c>
      <c r="R2614">
        <v>1.62</v>
      </c>
      <c r="S2614">
        <v>2</v>
      </c>
      <c r="T2614" t="b">
        <v>0</v>
      </c>
    </row>
    <row r="2615" spans="1:20">
      <c r="A2615" t="s">
        <v>73</v>
      </c>
      <c r="B2615">
        <v>89</v>
      </c>
      <c r="C2615">
        <v>415</v>
      </c>
      <c r="D2615" t="s">
        <v>62</v>
      </c>
      <c r="E2615" t="s">
        <v>63</v>
      </c>
      <c r="F2615">
        <v>24</v>
      </c>
      <c r="G2615">
        <v>97.8</v>
      </c>
      <c r="H2615">
        <v>98</v>
      </c>
      <c r="I2615">
        <v>16.63</v>
      </c>
      <c r="J2615">
        <v>207.2</v>
      </c>
      <c r="K2615">
        <v>67</v>
      </c>
      <c r="L2615">
        <v>17.61</v>
      </c>
      <c r="M2615">
        <v>214.5</v>
      </c>
      <c r="N2615">
        <v>126</v>
      </c>
      <c r="O2615">
        <v>9.65</v>
      </c>
      <c r="P2615">
        <v>5.9</v>
      </c>
      <c r="Q2615">
        <v>2</v>
      </c>
      <c r="R2615">
        <v>1.59</v>
      </c>
      <c r="S2615">
        <v>0</v>
      </c>
      <c r="T2615" t="b">
        <v>0</v>
      </c>
    </row>
    <row r="2616" spans="1:20">
      <c r="A2616" t="s">
        <v>77</v>
      </c>
      <c r="B2616">
        <v>82</v>
      </c>
      <c r="C2616">
        <v>415</v>
      </c>
      <c r="D2616" t="s">
        <v>62</v>
      </c>
      <c r="E2616" t="s">
        <v>62</v>
      </c>
      <c r="F2616">
        <v>0</v>
      </c>
      <c r="G2616">
        <v>266.9</v>
      </c>
      <c r="H2616">
        <v>83</v>
      </c>
      <c r="I2616">
        <v>45.37</v>
      </c>
      <c r="J2616">
        <v>229.7</v>
      </c>
      <c r="K2616">
        <v>74</v>
      </c>
      <c r="L2616">
        <v>19.52</v>
      </c>
      <c r="M2616">
        <v>251.7</v>
      </c>
      <c r="N2616">
        <v>99</v>
      </c>
      <c r="O2616">
        <v>11.33</v>
      </c>
      <c r="P2616">
        <v>11</v>
      </c>
      <c r="Q2616">
        <v>6</v>
      </c>
      <c r="R2616">
        <v>2.97</v>
      </c>
      <c r="S2616">
        <v>3</v>
      </c>
      <c r="T2616" t="b">
        <v>1</v>
      </c>
    </row>
    <row r="2617" spans="1:20">
      <c r="A2617" t="s">
        <v>102</v>
      </c>
      <c r="B2617">
        <v>115</v>
      </c>
      <c r="C2617">
        <v>415</v>
      </c>
      <c r="D2617" t="s">
        <v>62</v>
      </c>
      <c r="E2617" t="s">
        <v>62</v>
      </c>
      <c r="F2617">
        <v>0</v>
      </c>
      <c r="G2617">
        <v>200.2</v>
      </c>
      <c r="H2617">
        <v>92</v>
      </c>
      <c r="I2617">
        <v>34.03</v>
      </c>
      <c r="J2617">
        <v>244.9</v>
      </c>
      <c r="K2617">
        <v>107</v>
      </c>
      <c r="L2617">
        <v>20.82</v>
      </c>
      <c r="M2617">
        <v>190.9</v>
      </c>
      <c r="N2617">
        <v>96</v>
      </c>
      <c r="O2617">
        <v>8.59</v>
      </c>
      <c r="P2617">
        <v>8.8</v>
      </c>
      <c r="Q2617">
        <v>3</v>
      </c>
      <c r="R2617">
        <v>2.38</v>
      </c>
      <c r="S2617">
        <v>1</v>
      </c>
      <c r="T2617" t="b">
        <v>0</v>
      </c>
    </row>
    <row r="2618" spans="1:20">
      <c r="A2618" t="s">
        <v>71</v>
      </c>
      <c r="B2618">
        <v>117</v>
      </c>
      <c r="C2618">
        <v>510</v>
      </c>
      <c r="D2618" t="s">
        <v>63</v>
      </c>
      <c r="E2618" t="s">
        <v>62</v>
      </c>
      <c r="F2618">
        <v>0</v>
      </c>
      <c r="G2618">
        <v>198.4</v>
      </c>
      <c r="H2618">
        <v>121</v>
      </c>
      <c r="I2618">
        <v>33.73</v>
      </c>
      <c r="J2618">
        <v>249.5</v>
      </c>
      <c r="K2618">
        <v>104</v>
      </c>
      <c r="L2618">
        <v>21.21</v>
      </c>
      <c r="M2618">
        <v>162.8</v>
      </c>
      <c r="N2618">
        <v>115</v>
      </c>
      <c r="O2618">
        <v>7.33</v>
      </c>
      <c r="P2618">
        <v>10.5</v>
      </c>
      <c r="Q2618">
        <v>5</v>
      </c>
      <c r="R2618">
        <v>2.84</v>
      </c>
      <c r="S2618">
        <v>1</v>
      </c>
      <c r="T2618" t="b">
        <v>0</v>
      </c>
    </row>
    <row r="2619" spans="1:20">
      <c r="A2619" t="s">
        <v>87</v>
      </c>
      <c r="B2619">
        <v>60</v>
      </c>
      <c r="C2619">
        <v>415</v>
      </c>
      <c r="D2619" t="s">
        <v>62</v>
      </c>
      <c r="E2619" t="s">
        <v>62</v>
      </c>
      <c r="F2619">
        <v>0</v>
      </c>
      <c r="G2619">
        <v>180.3</v>
      </c>
      <c r="H2619">
        <v>67</v>
      </c>
      <c r="I2619">
        <v>30.65</v>
      </c>
      <c r="J2619">
        <v>208</v>
      </c>
      <c r="K2619">
        <v>68</v>
      </c>
      <c r="L2619">
        <v>17.68</v>
      </c>
      <c r="M2619">
        <v>181.2</v>
      </c>
      <c r="N2619">
        <v>101</v>
      </c>
      <c r="O2619">
        <v>8.15</v>
      </c>
      <c r="P2619">
        <v>12.8</v>
      </c>
      <c r="Q2619">
        <v>6</v>
      </c>
      <c r="R2619">
        <v>3.46</v>
      </c>
      <c r="S2619">
        <v>2</v>
      </c>
      <c r="T2619" t="b">
        <v>0</v>
      </c>
    </row>
    <row r="2620" spans="1:20">
      <c r="A2620" t="s">
        <v>93</v>
      </c>
      <c r="B2620">
        <v>62</v>
      </c>
      <c r="C2620">
        <v>415</v>
      </c>
      <c r="D2620" t="s">
        <v>62</v>
      </c>
      <c r="E2620" t="s">
        <v>62</v>
      </c>
      <c r="F2620">
        <v>0</v>
      </c>
      <c r="G2620">
        <v>86.3</v>
      </c>
      <c r="H2620">
        <v>84</v>
      </c>
      <c r="I2620">
        <v>14.67</v>
      </c>
      <c r="J2620">
        <v>238.7</v>
      </c>
      <c r="K2620">
        <v>99</v>
      </c>
      <c r="L2620">
        <v>20.29</v>
      </c>
      <c r="M2620">
        <v>238.4</v>
      </c>
      <c r="N2620">
        <v>79</v>
      </c>
      <c r="O2620">
        <v>10.73</v>
      </c>
      <c r="P2620">
        <v>12.5</v>
      </c>
      <c r="Q2620">
        <v>1</v>
      </c>
      <c r="R2620">
        <v>3.38</v>
      </c>
      <c r="S2620">
        <v>2</v>
      </c>
      <c r="T2620" t="b">
        <v>0</v>
      </c>
    </row>
    <row r="2621" spans="1:20">
      <c r="A2621" t="s">
        <v>96</v>
      </c>
      <c r="B2621">
        <v>131</v>
      </c>
      <c r="C2621">
        <v>408</v>
      </c>
      <c r="D2621" t="s">
        <v>62</v>
      </c>
      <c r="E2621" t="s">
        <v>62</v>
      </c>
      <c r="F2621">
        <v>0</v>
      </c>
      <c r="G2621">
        <v>240.9</v>
      </c>
      <c r="H2621">
        <v>108</v>
      </c>
      <c r="I2621">
        <v>40.95</v>
      </c>
      <c r="J2621">
        <v>167.4</v>
      </c>
      <c r="K2621">
        <v>91</v>
      </c>
      <c r="L2621">
        <v>14.23</v>
      </c>
      <c r="M2621">
        <v>322.2</v>
      </c>
      <c r="N2621">
        <v>109</v>
      </c>
      <c r="O2621">
        <v>14.5</v>
      </c>
      <c r="P2621">
        <v>14.7</v>
      </c>
      <c r="Q2621">
        <v>8</v>
      </c>
      <c r="R2621">
        <v>3.97</v>
      </c>
      <c r="S2621">
        <v>3</v>
      </c>
      <c r="T2621" t="b">
        <v>0</v>
      </c>
    </row>
    <row r="2622" spans="1:20">
      <c r="A2622" t="s">
        <v>96</v>
      </c>
      <c r="B2622">
        <v>65</v>
      </c>
      <c r="C2622">
        <v>408</v>
      </c>
      <c r="D2622" t="s">
        <v>62</v>
      </c>
      <c r="E2622" t="s">
        <v>62</v>
      </c>
      <c r="F2622">
        <v>0</v>
      </c>
      <c r="G2622">
        <v>207.7</v>
      </c>
      <c r="H2622">
        <v>109</v>
      </c>
      <c r="I2622">
        <v>35.31</v>
      </c>
      <c r="J2622">
        <v>217.5</v>
      </c>
      <c r="K2622">
        <v>117</v>
      </c>
      <c r="L2622">
        <v>18.49</v>
      </c>
      <c r="M2622">
        <v>125.6</v>
      </c>
      <c r="N2622">
        <v>111</v>
      </c>
      <c r="O2622">
        <v>5.65</v>
      </c>
      <c r="P2622">
        <v>8</v>
      </c>
      <c r="Q2622">
        <v>5</v>
      </c>
      <c r="R2622">
        <v>2.16</v>
      </c>
      <c r="S2622">
        <v>1</v>
      </c>
      <c r="T2622" t="b">
        <v>0</v>
      </c>
    </row>
    <row r="2623" spans="1:20">
      <c r="A2623" t="s">
        <v>94</v>
      </c>
      <c r="B2623">
        <v>142</v>
      </c>
      <c r="C2623">
        <v>510</v>
      </c>
      <c r="D2623" t="s">
        <v>62</v>
      </c>
      <c r="E2623" t="s">
        <v>63</v>
      </c>
      <c r="F2623">
        <v>22</v>
      </c>
      <c r="G2623">
        <v>224.4</v>
      </c>
      <c r="H2623">
        <v>114</v>
      </c>
      <c r="I2623">
        <v>38.15</v>
      </c>
      <c r="J2623">
        <v>146</v>
      </c>
      <c r="K2623">
        <v>106</v>
      </c>
      <c r="L2623">
        <v>12.41</v>
      </c>
      <c r="M2623">
        <v>241.4</v>
      </c>
      <c r="N2623">
        <v>98</v>
      </c>
      <c r="O2623">
        <v>10.86</v>
      </c>
      <c r="P2623">
        <v>8.8</v>
      </c>
      <c r="Q2623">
        <v>2</v>
      </c>
      <c r="R2623">
        <v>2.38</v>
      </c>
      <c r="S2623">
        <v>1</v>
      </c>
      <c r="T2623" t="b">
        <v>0</v>
      </c>
    </row>
    <row r="2624" spans="1:20">
      <c r="A2624" t="s">
        <v>66</v>
      </c>
      <c r="B2624">
        <v>134</v>
      </c>
      <c r="C2624">
        <v>415</v>
      </c>
      <c r="D2624" t="s">
        <v>62</v>
      </c>
      <c r="E2624" t="s">
        <v>62</v>
      </c>
      <c r="F2624">
        <v>0</v>
      </c>
      <c r="G2624">
        <v>164.9</v>
      </c>
      <c r="H2624">
        <v>115</v>
      </c>
      <c r="I2624">
        <v>28.03</v>
      </c>
      <c r="J2624">
        <v>126.5</v>
      </c>
      <c r="K2624">
        <v>96</v>
      </c>
      <c r="L2624">
        <v>10.75</v>
      </c>
      <c r="M2624">
        <v>238.5</v>
      </c>
      <c r="N2624">
        <v>125</v>
      </c>
      <c r="O2624">
        <v>10.73</v>
      </c>
      <c r="P2624">
        <v>10</v>
      </c>
      <c r="Q2624">
        <v>9</v>
      </c>
      <c r="R2624">
        <v>2.7</v>
      </c>
      <c r="S2624">
        <v>2</v>
      </c>
      <c r="T2624" t="b">
        <v>0</v>
      </c>
    </row>
    <row r="2625" spans="1:20">
      <c r="A2625" t="s">
        <v>65</v>
      </c>
      <c r="B2625">
        <v>139</v>
      </c>
      <c r="C2625">
        <v>415</v>
      </c>
      <c r="D2625" t="s">
        <v>62</v>
      </c>
      <c r="E2625" t="s">
        <v>63</v>
      </c>
      <c r="F2625">
        <v>43</v>
      </c>
      <c r="G2625">
        <v>231</v>
      </c>
      <c r="H2625">
        <v>85</v>
      </c>
      <c r="I2625">
        <v>39.27</v>
      </c>
      <c r="J2625">
        <v>222.3</v>
      </c>
      <c r="K2625">
        <v>82</v>
      </c>
      <c r="L2625">
        <v>18.9</v>
      </c>
      <c r="M2625">
        <v>148</v>
      </c>
      <c r="N2625">
        <v>105</v>
      </c>
      <c r="O2625">
        <v>6.66</v>
      </c>
      <c r="P2625">
        <v>8.3</v>
      </c>
      <c r="Q2625">
        <v>5</v>
      </c>
      <c r="R2625">
        <v>2.24</v>
      </c>
      <c r="S2625">
        <v>2</v>
      </c>
      <c r="T2625" t="b">
        <v>0</v>
      </c>
    </row>
    <row r="2626" spans="1:20">
      <c r="A2626" t="s">
        <v>92</v>
      </c>
      <c r="B2626">
        <v>76</v>
      </c>
      <c r="C2626">
        <v>408</v>
      </c>
      <c r="D2626" t="s">
        <v>62</v>
      </c>
      <c r="E2626" t="s">
        <v>62</v>
      </c>
      <c r="F2626">
        <v>0</v>
      </c>
      <c r="G2626">
        <v>107.3</v>
      </c>
      <c r="H2626">
        <v>140</v>
      </c>
      <c r="I2626">
        <v>18.24</v>
      </c>
      <c r="J2626">
        <v>238.2</v>
      </c>
      <c r="K2626">
        <v>133</v>
      </c>
      <c r="L2626">
        <v>20.25</v>
      </c>
      <c r="M2626">
        <v>271.8</v>
      </c>
      <c r="N2626">
        <v>116</v>
      </c>
      <c r="O2626">
        <v>12.23</v>
      </c>
      <c r="P2626">
        <v>10</v>
      </c>
      <c r="Q2626">
        <v>3</v>
      </c>
      <c r="R2626">
        <v>2.7</v>
      </c>
      <c r="S2626">
        <v>4</v>
      </c>
      <c r="T2626" t="b">
        <v>1</v>
      </c>
    </row>
    <row r="2627" spans="1:20">
      <c r="A2627" t="s">
        <v>97</v>
      </c>
      <c r="B2627">
        <v>100</v>
      </c>
      <c r="C2627">
        <v>408</v>
      </c>
      <c r="D2627" t="s">
        <v>62</v>
      </c>
      <c r="E2627" t="s">
        <v>62</v>
      </c>
      <c r="F2627">
        <v>0</v>
      </c>
      <c r="G2627">
        <v>185</v>
      </c>
      <c r="H2627">
        <v>122</v>
      </c>
      <c r="I2627">
        <v>31.45</v>
      </c>
      <c r="J2627">
        <v>182.5</v>
      </c>
      <c r="K2627">
        <v>92</v>
      </c>
      <c r="L2627">
        <v>15.51</v>
      </c>
      <c r="M2627">
        <v>274.9</v>
      </c>
      <c r="N2627">
        <v>92</v>
      </c>
      <c r="O2627">
        <v>12.37</v>
      </c>
      <c r="P2627">
        <v>5.1</v>
      </c>
      <c r="Q2627">
        <v>8</v>
      </c>
      <c r="R2627">
        <v>1.38</v>
      </c>
      <c r="S2627">
        <v>1</v>
      </c>
      <c r="T2627" t="b">
        <v>0</v>
      </c>
    </row>
    <row r="2628" spans="1:20">
      <c r="A2628" t="s">
        <v>105</v>
      </c>
      <c r="B2628">
        <v>99</v>
      </c>
      <c r="C2628">
        <v>415</v>
      </c>
      <c r="D2628" t="s">
        <v>62</v>
      </c>
      <c r="E2628" t="s">
        <v>63</v>
      </c>
      <c r="F2628">
        <v>31</v>
      </c>
      <c r="G2628">
        <v>244.1</v>
      </c>
      <c r="H2628">
        <v>71</v>
      </c>
      <c r="I2628">
        <v>41.5</v>
      </c>
      <c r="J2628">
        <v>203.4</v>
      </c>
      <c r="K2628">
        <v>58</v>
      </c>
      <c r="L2628">
        <v>17.29</v>
      </c>
      <c r="M2628">
        <v>234</v>
      </c>
      <c r="N2628">
        <v>115</v>
      </c>
      <c r="O2628">
        <v>10.53</v>
      </c>
      <c r="P2628">
        <v>7.7</v>
      </c>
      <c r="Q2628">
        <v>4</v>
      </c>
      <c r="R2628">
        <v>2.08</v>
      </c>
      <c r="S2628">
        <v>3</v>
      </c>
      <c r="T2628" t="b">
        <v>0</v>
      </c>
    </row>
    <row r="2629" spans="1:20">
      <c r="A2629" t="s">
        <v>64</v>
      </c>
      <c r="B2629">
        <v>106</v>
      </c>
      <c r="C2629">
        <v>415</v>
      </c>
      <c r="D2629" t="s">
        <v>62</v>
      </c>
      <c r="E2629" t="s">
        <v>63</v>
      </c>
      <c r="F2629">
        <v>30</v>
      </c>
      <c r="G2629">
        <v>220.1</v>
      </c>
      <c r="H2629">
        <v>105</v>
      </c>
      <c r="I2629">
        <v>37.42</v>
      </c>
      <c r="J2629">
        <v>222.2</v>
      </c>
      <c r="K2629">
        <v>109</v>
      </c>
      <c r="L2629">
        <v>18.89</v>
      </c>
      <c r="M2629">
        <v>158.4</v>
      </c>
      <c r="N2629">
        <v>96</v>
      </c>
      <c r="O2629">
        <v>7.13</v>
      </c>
      <c r="P2629">
        <v>13.1</v>
      </c>
      <c r="Q2629">
        <v>8</v>
      </c>
      <c r="R2629">
        <v>3.54</v>
      </c>
      <c r="S2629">
        <v>0</v>
      </c>
      <c r="T2629" t="b">
        <v>0</v>
      </c>
    </row>
    <row r="2630" spans="1:20">
      <c r="A2630" t="s">
        <v>61</v>
      </c>
      <c r="B2630">
        <v>170</v>
      </c>
      <c r="C2630">
        <v>415</v>
      </c>
      <c r="D2630" t="s">
        <v>62</v>
      </c>
      <c r="E2630" t="s">
        <v>63</v>
      </c>
      <c r="F2630">
        <v>42</v>
      </c>
      <c r="G2630">
        <v>199.5</v>
      </c>
      <c r="H2630">
        <v>119</v>
      </c>
      <c r="I2630">
        <v>33.92</v>
      </c>
      <c r="J2630">
        <v>135</v>
      </c>
      <c r="K2630">
        <v>90</v>
      </c>
      <c r="L2630">
        <v>11.48</v>
      </c>
      <c r="M2630">
        <v>184.6</v>
      </c>
      <c r="N2630">
        <v>49</v>
      </c>
      <c r="O2630">
        <v>8.31</v>
      </c>
      <c r="P2630">
        <v>10.9</v>
      </c>
      <c r="Q2630">
        <v>3</v>
      </c>
      <c r="R2630">
        <v>2.94</v>
      </c>
      <c r="S2630">
        <v>4</v>
      </c>
      <c r="T2630" t="b">
        <v>1</v>
      </c>
    </row>
    <row r="2631" spans="1:20">
      <c r="A2631" t="s">
        <v>111</v>
      </c>
      <c r="B2631">
        <v>78</v>
      </c>
      <c r="C2631">
        <v>415</v>
      </c>
      <c r="D2631" t="s">
        <v>62</v>
      </c>
      <c r="E2631" t="s">
        <v>62</v>
      </c>
      <c r="F2631">
        <v>0</v>
      </c>
      <c r="G2631">
        <v>109.5</v>
      </c>
      <c r="H2631">
        <v>105</v>
      </c>
      <c r="I2631">
        <v>18.62</v>
      </c>
      <c r="J2631">
        <v>286.1</v>
      </c>
      <c r="K2631">
        <v>90</v>
      </c>
      <c r="L2631">
        <v>24.32</v>
      </c>
      <c r="M2631">
        <v>247.6</v>
      </c>
      <c r="N2631">
        <v>113</v>
      </c>
      <c r="O2631">
        <v>11.14</v>
      </c>
      <c r="P2631">
        <v>4.9</v>
      </c>
      <c r="Q2631">
        <v>9</v>
      </c>
      <c r="R2631">
        <v>1.32</v>
      </c>
      <c r="S2631">
        <v>1</v>
      </c>
      <c r="T2631" t="b">
        <v>0</v>
      </c>
    </row>
    <row r="2632" spans="1:20">
      <c r="A2632" t="s">
        <v>112</v>
      </c>
      <c r="B2632">
        <v>39</v>
      </c>
      <c r="C2632">
        <v>408</v>
      </c>
      <c r="D2632" t="s">
        <v>62</v>
      </c>
      <c r="E2632" t="s">
        <v>62</v>
      </c>
      <c r="F2632">
        <v>0</v>
      </c>
      <c r="G2632">
        <v>187.2</v>
      </c>
      <c r="H2632">
        <v>110</v>
      </c>
      <c r="I2632">
        <v>31.82</v>
      </c>
      <c r="J2632">
        <v>114.7</v>
      </c>
      <c r="K2632">
        <v>116</v>
      </c>
      <c r="L2632">
        <v>9.75</v>
      </c>
      <c r="M2632">
        <v>104.7</v>
      </c>
      <c r="N2632">
        <v>83</v>
      </c>
      <c r="O2632">
        <v>4.71</v>
      </c>
      <c r="P2632">
        <v>13.2</v>
      </c>
      <c r="Q2632">
        <v>5</v>
      </c>
      <c r="R2632">
        <v>3.56</v>
      </c>
      <c r="S2632">
        <v>1</v>
      </c>
      <c r="T2632" t="b">
        <v>0</v>
      </c>
    </row>
    <row r="2633" spans="1:20">
      <c r="A2633" t="s">
        <v>110</v>
      </c>
      <c r="B2633">
        <v>119</v>
      </c>
      <c r="C2633">
        <v>510</v>
      </c>
      <c r="D2633" t="s">
        <v>63</v>
      </c>
      <c r="E2633" t="s">
        <v>63</v>
      </c>
      <c r="F2633">
        <v>22</v>
      </c>
      <c r="G2633">
        <v>172.1</v>
      </c>
      <c r="H2633">
        <v>119</v>
      </c>
      <c r="I2633">
        <v>29.26</v>
      </c>
      <c r="J2633">
        <v>223.6</v>
      </c>
      <c r="K2633">
        <v>133</v>
      </c>
      <c r="L2633">
        <v>19.01</v>
      </c>
      <c r="M2633">
        <v>150</v>
      </c>
      <c r="N2633">
        <v>94</v>
      </c>
      <c r="O2633">
        <v>6.75</v>
      </c>
      <c r="P2633">
        <v>13.9</v>
      </c>
      <c r="Q2633">
        <v>20</v>
      </c>
      <c r="R2633">
        <v>3.75</v>
      </c>
      <c r="S2633">
        <v>1</v>
      </c>
      <c r="T2633" t="b">
        <v>1</v>
      </c>
    </row>
    <row r="2634" spans="1:20">
      <c r="A2634" t="s">
        <v>73</v>
      </c>
      <c r="B2634">
        <v>95</v>
      </c>
      <c r="C2634">
        <v>408</v>
      </c>
      <c r="D2634" t="s">
        <v>62</v>
      </c>
      <c r="E2634" t="s">
        <v>62</v>
      </c>
      <c r="F2634">
        <v>0</v>
      </c>
      <c r="G2634">
        <v>160</v>
      </c>
      <c r="H2634">
        <v>133</v>
      </c>
      <c r="I2634">
        <v>27.2</v>
      </c>
      <c r="J2634">
        <v>215.3</v>
      </c>
      <c r="K2634">
        <v>98</v>
      </c>
      <c r="L2634">
        <v>18.3</v>
      </c>
      <c r="M2634">
        <v>188.9</v>
      </c>
      <c r="N2634">
        <v>87</v>
      </c>
      <c r="O2634">
        <v>8.5</v>
      </c>
      <c r="P2634">
        <v>9.1</v>
      </c>
      <c r="Q2634">
        <v>4</v>
      </c>
      <c r="R2634">
        <v>2.46</v>
      </c>
      <c r="S2634">
        <v>0</v>
      </c>
      <c r="T2634" t="b">
        <v>0</v>
      </c>
    </row>
    <row r="2635" spans="1:20">
      <c r="A2635" t="s">
        <v>69</v>
      </c>
      <c r="B2635">
        <v>116</v>
      </c>
      <c r="C2635">
        <v>408</v>
      </c>
      <c r="D2635" t="s">
        <v>62</v>
      </c>
      <c r="E2635" t="s">
        <v>62</v>
      </c>
      <c r="F2635">
        <v>0</v>
      </c>
      <c r="G2635">
        <v>51.1</v>
      </c>
      <c r="H2635">
        <v>106</v>
      </c>
      <c r="I2635">
        <v>8.69</v>
      </c>
      <c r="J2635">
        <v>208.6</v>
      </c>
      <c r="K2635">
        <v>137</v>
      </c>
      <c r="L2635">
        <v>17.73</v>
      </c>
      <c r="M2635">
        <v>198</v>
      </c>
      <c r="N2635">
        <v>92</v>
      </c>
      <c r="O2635">
        <v>8.91</v>
      </c>
      <c r="P2635">
        <v>12.3</v>
      </c>
      <c r="Q2635">
        <v>3</v>
      </c>
      <c r="R2635">
        <v>3.32</v>
      </c>
      <c r="S2635">
        <v>1</v>
      </c>
      <c r="T2635" t="b">
        <v>0</v>
      </c>
    </row>
    <row r="2636" spans="1:20">
      <c r="A2636" t="s">
        <v>112</v>
      </c>
      <c r="B2636">
        <v>110</v>
      </c>
      <c r="C2636">
        <v>415</v>
      </c>
      <c r="D2636" t="s">
        <v>62</v>
      </c>
      <c r="E2636" t="s">
        <v>62</v>
      </c>
      <c r="F2636">
        <v>0</v>
      </c>
      <c r="G2636">
        <v>227.7</v>
      </c>
      <c r="H2636">
        <v>88</v>
      </c>
      <c r="I2636">
        <v>38.71</v>
      </c>
      <c r="J2636">
        <v>170</v>
      </c>
      <c r="K2636">
        <v>96</v>
      </c>
      <c r="L2636">
        <v>14.45</v>
      </c>
      <c r="M2636">
        <v>128.7</v>
      </c>
      <c r="N2636">
        <v>57</v>
      </c>
      <c r="O2636">
        <v>5.79</v>
      </c>
      <c r="P2636">
        <v>11.7</v>
      </c>
      <c r="Q2636">
        <v>5</v>
      </c>
      <c r="R2636">
        <v>3.16</v>
      </c>
      <c r="S2636">
        <v>1</v>
      </c>
      <c r="T2636" t="b">
        <v>0</v>
      </c>
    </row>
    <row r="2637" spans="1:20">
      <c r="A2637" t="s">
        <v>116</v>
      </c>
      <c r="B2637">
        <v>74</v>
      </c>
      <c r="C2637">
        <v>510</v>
      </c>
      <c r="D2637" t="s">
        <v>62</v>
      </c>
      <c r="E2637" t="s">
        <v>62</v>
      </c>
      <c r="F2637">
        <v>0</v>
      </c>
      <c r="G2637">
        <v>203.8</v>
      </c>
      <c r="H2637">
        <v>77</v>
      </c>
      <c r="I2637">
        <v>34.65</v>
      </c>
      <c r="J2637">
        <v>205.1</v>
      </c>
      <c r="K2637">
        <v>111</v>
      </c>
      <c r="L2637">
        <v>17.43</v>
      </c>
      <c r="M2637">
        <v>154.9</v>
      </c>
      <c r="N2637">
        <v>109</v>
      </c>
      <c r="O2637">
        <v>6.97</v>
      </c>
      <c r="P2637">
        <v>9</v>
      </c>
      <c r="Q2637">
        <v>2</v>
      </c>
      <c r="R2637">
        <v>2.43</v>
      </c>
      <c r="S2637">
        <v>1</v>
      </c>
      <c r="T2637" t="b">
        <v>0</v>
      </c>
    </row>
    <row r="2638" spans="1:20">
      <c r="A2638" t="s">
        <v>108</v>
      </c>
      <c r="B2638">
        <v>148</v>
      </c>
      <c r="C2638">
        <v>408</v>
      </c>
      <c r="D2638" t="s">
        <v>62</v>
      </c>
      <c r="E2638" t="s">
        <v>63</v>
      </c>
      <c r="F2638">
        <v>33</v>
      </c>
      <c r="G2638">
        <v>241.7</v>
      </c>
      <c r="H2638">
        <v>84</v>
      </c>
      <c r="I2638">
        <v>41.09</v>
      </c>
      <c r="J2638">
        <v>165.8</v>
      </c>
      <c r="K2638">
        <v>84</v>
      </c>
      <c r="L2638">
        <v>14.09</v>
      </c>
      <c r="M2638">
        <v>160.6</v>
      </c>
      <c r="N2638">
        <v>80</v>
      </c>
      <c r="O2638">
        <v>7.23</v>
      </c>
      <c r="P2638">
        <v>11.3</v>
      </c>
      <c r="Q2638">
        <v>3</v>
      </c>
      <c r="R2638">
        <v>3.05</v>
      </c>
      <c r="S2638">
        <v>1</v>
      </c>
      <c r="T2638" t="b">
        <v>0</v>
      </c>
    </row>
    <row r="2639" spans="1:20">
      <c r="A2639" t="s">
        <v>91</v>
      </c>
      <c r="B2639">
        <v>83</v>
      </c>
      <c r="C2639">
        <v>510</v>
      </c>
      <c r="D2639" t="s">
        <v>62</v>
      </c>
      <c r="E2639" t="s">
        <v>62</v>
      </c>
      <c r="F2639">
        <v>0</v>
      </c>
      <c r="G2639">
        <v>78.1</v>
      </c>
      <c r="H2639">
        <v>70</v>
      </c>
      <c r="I2639">
        <v>13.28</v>
      </c>
      <c r="J2639">
        <v>239.3</v>
      </c>
      <c r="K2639">
        <v>115</v>
      </c>
      <c r="L2639">
        <v>20.34</v>
      </c>
      <c r="M2639">
        <v>144.4</v>
      </c>
      <c r="N2639">
        <v>112</v>
      </c>
      <c r="O2639">
        <v>6.5</v>
      </c>
      <c r="P2639">
        <v>12.3</v>
      </c>
      <c r="Q2639">
        <v>4</v>
      </c>
      <c r="R2639">
        <v>3.32</v>
      </c>
      <c r="S2639">
        <v>1</v>
      </c>
      <c r="T2639" t="b">
        <v>0</v>
      </c>
    </row>
    <row r="2640" spans="1:20">
      <c r="A2640" t="s">
        <v>100</v>
      </c>
      <c r="B2640">
        <v>73</v>
      </c>
      <c r="C2640">
        <v>408</v>
      </c>
      <c r="D2640" t="s">
        <v>62</v>
      </c>
      <c r="E2640" t="s">
        <v>62</v>
      </c>
      <c r="F2640">
        <v>0</v>
      </c>
      <c r="G2640">
        <v>187.8</v>
      </c>
      <c r="H2640">
        <v>95</v>
      </c>
      <c r="I2640">
        <v>31.93</v>
      </c>
      <c r="J2640">
        <v>149.2</v>
      </c>
      <c r="K2640">
        <v>143</v>
      </c>
      <c r="L2640">
        <v>12.68</v>
      </c>
      <c r="M2640">
        <v>201.4</v>
      </c>
      <c r="N2640">
        <v>113</v>
      </c>
      <c r="O2640">
        <v>9.06</v>
      </c>
      <c r="P2640">
        <v>11</v>
      </c>
      <c r="Q2640">
        <v>4</v>
      </c>
      <c r="R2640">
        <v>2.97</v>
      </c>
      <c r="S2640">
        <v>2</v>
      </c>
      <c r="T2640" t="b">
        <v>0</v>
      </c>
    </row>
    <row r="2641" spans="1:20">
      <c r="A2641" t="s">
        <v>111</v>
      </c>
      <c r="B2641">
        <v>111</v>
      </c>
      <c r="C2641">
        <v>415</v>
      </c>
      <c r="D2641" t="s">
        <v>62</v>
      </c>
      <c r="E2641" t="s">
        <v>63</v>
      </c>
      <c r="F2641">
        <v>21</v>
      </c>
      <c r="G2641">
        <v>127.1</v>
      </c>
      <c r="H2641">
        <v>94</v>
      </c>
      <c r="I2641">
        <v>21.61</v>
      </c>
      <c r="J2641">
        <v>228.3</v>
      </c>
      <c r="K2641">
        <v>116</v>
      </c>
      <c r="L2641">
        <v>19.41</v>
      </c>
      <c r="M2641">
        <v>166.7</v>
      </c>
      <c r="N2641">
        <v>108</v>
      </c>
      <c r="O2641">
        <v>7.5</v>
      </c>
      <c r="P2641">
        <v>7.1</v>
      </c>
      <c r="Q2641">
        <v>3</v>
      </c>
      <c r="R2641">
        <v>1.92</v>
      </c>
      <c r="S2641">
        <v>1</v>
      </c>
      <c r="T2641" t="b">
        <v>0</v>
      </c>
    </row>
    <row r="2642" spans="1:20">
      <c r="A2642" t="s">
        <v>88</v>
      </c>
      <c r="B2642">
        <v>75</v>
      </c>
      <c r="C2642">
        <v>510</v>
      </c>
      <c r="D2642" t="s">
        <v>63</v>
      </c>
      <c r="E2642" t="s">
        <v>62</v>
      </c>
      <c r="F2642">
        <v>0</v>
      </c>
      <c r="G2642">
        <v>153.2</v>
      </c>
      <c r="H2642">
        <v>78</v>
      </c>
      <c r="I2642">
        <v>26.04</v>
      </c>
      <c r="J2642">
        <v>210.8</v>
      </c>
      <c r="K2642">
        <v>99</v>
      </c>
      <c r="L2642">
        <v>17.92</v>
      </c>
      <c r="M2642">
        <v>153.5</v>
      </c>
      <c r="N2642">
        <v>100</v>
      </c>
      <c r="O2642">
        <v>6.91</v>
      </c>
      <c r="P2642">
        <v>7.8</v>
      </c>
      <c r="Q2642">
        <v>3</v>
      </c>
      <c r="R2642">
        <v>2.11</v>
      </c>
      <c r="S2642">
        <v>1</v>
      </c>
      <c r="T2642" t="b">
        <v>0</v>
      </c>
    </row>
    <row r="2643" spans="1:20">
      <c r="A2643" t="s">
        <v>86</v>
      </c>
      <c r="B2643">
        <v>71</v>
      </c>
      <c r="C2643">
        <v>510</v>
      </c>
      <c r="D2643" t="s">
        <v>63</v>
      </c>
      <c r="E2643" t="s">
        <v>62</v>
      </c>
      <c r="F2643">
        <v>0</v>
      </c>
      <c r="G2643">
        <v>186.1</v>
      </c>
      <c r="H2643">
        <v>114</v>
      </c>
      <c r="I2643">
        <v>31.64</v>
      </c>
      <c r="J2643">
        <v>198.6</v>
      </c>
      <c r="K2643">
        <v>140</v>
      </c>
      <c r="L2643">
        <v>16.88</v>
      </c>
      <c r="M2643">
        <v>206.5</v>
      </c>
      <c r="N2643">
        <v>80</v>
      </c>
      <c r="O2643">
        <v>9.29</v>
      </c>
      <c r="P2643">
        <v>13.8</v>
      </c>
      <c r="Q2643">
        <v>5</v>
      </c>
      <c r="R2643">
        <v>3.73</v>
      </c>
      <c r="S2643">
        <v>4</v>
      </c>
      <c r="T2643" t="b">
        <v>1</v>
      </c>
    </row>
    <row r="2644" spans="1:20">
      <c r="A2644" t="s">
        <v>96</v>
      </c>
      <c r="B2644">
        <v>58</v>
      </c>
      <c r="C2644">
        <v>415</v>
      </c>
      <c r="D2644" t="s">
        <v>62</v>
      </c>
      <c r="E2644" t="s">
        <v>63</v>
      </c>
      <c r="F2644">
        <v>22</v>
      </c>
      <c r="G2644">
        <v>224.1</v>
      </c>
      <c r="H2644">
        <v>127</v>
      </c>
      <c r="I2644">
        <v>38.1</v>
      </c>
      <c r="J2644">
        <v>238.8</v>
      </c>
      <c r="K2644">
        <v>85</v>
      </c>
      <c r="L2644">
        <v>20.3</v>
      </c>
      <c r="M2644">
        <v>174.2</v>
      </c>
      <c r="N2644">
        <v>86</v>
      </c>
      <c r="O2644">
        <v>7.84</v>
      </c>
      <c r="P2644">
        <v>11.5</v>
      </c>
      <c r="Q2644">
        <v>7</v>
      </c>
      <c r="R2644">
        <v>3.11</v>
      </c>
      <c r="S2644">
        <v>2</v>
      </c>
      <c r="T2644" t="b">
        <v>0</v>
      </c>
    </row>
    <row r="2645" spans="1:20">
      <c r="A2645" t="s">
        <v>66</v>
      </c>
      <c r="B2645">
        <v>172</v>
      </c>
      <c r="C2645">
        <v>408</v>
      </c>
      <c r="D2645" t="s">
        <v>62</v>
      </c>
      <c r="E2645" t="s">
        <v>62</v>
      </c>
      <c r="F2645">
        <v>0</v>
      </c>
      <c r="G2645">
        <v>203.9</v>
      </c>
      <c r="H2645">
        <v>109</v>
      </c>
      <c r="I2645">
        <v>34.66</v>
      </c>
      <c r="J2645">
        <v>234</v>
      </c>
      <c r="K2645">
        <v>123</v>
      </c>
      <c r="L2645">
        <v>19.89</v>
      </c>
      <c r="M2645">
        <v>160.7</v>
      </c>
      <c r="N2645">
        <v>65</v>
      </c>
      <c r="O2645">
        <v>7.23</v>
      </c>
      <c r="P2645">
        <v>17.8</v>
      </c>
      <c r="Q2645">
        <v>4</v>
      </c>
      <c r="R2645">
        <v>4.81</v>
      </c>
      <c r="S2645">
        <v>4</v>
      </c>
      <c r="T2645" t="b">
        <v>0</v>
      </c>
    </row>
    <row r="2646" spans="1:20">
      <c r="A2646" t="s">
        <v>75</v>
      </c>
      <c r="B2646">
        <v>45</v>
      </c>
      <c r="C2646">
        <v>415</v>
      </c>
      <c r="D2646" t="s">
        <v>62</v>
      </c>
      <c r="E2646" t="s">
        <v>62</v>
      </c>
      <c r="F2646">
        <v>0</v>
      </c>
      <c r="G2646">
        <v>211.3</v>
      </c>
      <c r="H2646">
        <v>87</v>
      </c>
      <c r="I2646">
        <v>35.92</v>
      </c>
      <c r="J2646">
        <v>165.7</v>
      </c>
      <c r="K2646">
        <v>97</v>
      </c>
      <c r="L2646">
        <v>14.08</v>
      </c>
      <c r="M2646">
        <v>265.9</v>
      </c>
      <c r="N2646">
        <v>72</v>
      </c>
      <c r="O2646">
        <v>11.97</v>
      </c>
      <c r="P2646">
        <v>13.3</v>
      </c>
      <c r="Q2646">
        <v>6</v>
      </c>
      <c r="R2646">
        <v>3.59</v>
      </c>
      <c r="S2646">
        <v>1</v>
      </c>
      <c r="T2646" t="b">
        <v>0</v>
      </c>
    </row>
    <row r="2647" spans="1:20">
      <c r="A2647" t="s">
        <v>78</v>
      </c>
      <c r="B2647">
        <v>100</v>
      </c>
      <c r="C2647">
        <v>408</v>
      </c>
      <c r="D2647" t="s">
        <v>63</v>
      </c>
      <c r="E2647" t="s">
        <v>62</v>
      </c>
      <c r="F2647">
        <v>0</v>
      </c>
      <c r="G2647">
        <v>219.4</v>
      </c>
      <c r="H2647">
        <v>112</v>
      </c>
      <c r="I2647">
        <v>37.3</v>
      </c>
      <c r="J2647">
        <v>225.7</v>
      </c>
      <c r="K2647">
        <v>102</v>
      </c>
      <c r="L2647">
        <v>19.18</v>
      </c>
      <c r="M2647">
        <v>255.3</v>
      </c>
      <c r="N2647">
        <v>95</v>
      </c>
      <c r="O2647">
        <v>11.49</v>
      </c>
      <c r="P2647">
        <v>12</v>
      </c>
      <c r="Q2647">
        <v>4</v>
      </c>
      <c r="R2647">
        <v>3.24</v>
      </c>
      <c r="S2647">
        <v>4</v>
      </c>
      <c r="T2647" t="b">
        <v>0</v>
      </c>
    </row>
    <row r="2648" spans="1:20">
      <c r="A2648" t="s">
        <v>106</v>
      </c>
      <c r="B2648">
        <v>94</v>
      </c>
      <c r="C2648">
        <v>415</v>
      </c>
      <c r="D2648" t="s">
        <v>62</v>
      </c>
      <c r="E2648" t="s">
        <v>62</v>
      </c>
      <c r="F2648">
        <v>0</v>
      </c>
      <c r="G2648">
        <v>190.4</v>
      </c>
      <c r="H2648">
        <v>91</v>
      </c>
      <c r="I2648">
        <v>32.37</v>
      </c>
      <c r="J2648">
        <v>92</v>
      </c>
      <c r="K2648">
        <v>107</v>
      </c>
      <c r="L2648">
        <v>7.82</v>
      </c>
      <c r="M2648">
        <v>224.8</v>
      </c>
      <c r="N2648">
        <v>108</v>
      </c>
      <c r="O2648">
        <v>10.12</v>
      </c>
      <c r="P2648">
        <v>13.6</v>
      </c>
      <c r="Q2648">
        <v>17</v>
      </c>
      <c r="R2648">
        <v>3.67</v>
      </c>
      <c r="S2648">
        <v>2</v>
      </c>
      <c r="T2648" t="b">
        <v>0</v>
      </c>
    </row>
    <row r="2649" spans="1:20">
      <c r="A2649" t="s">
        <v>88</v>
      </c>
      <c r="B2649">
        <v>128</v>
      </c>
      <c r="C2649">
        <v>415</v>
      </c>
      <c r="D2649" t="s">
        <v>62</v>
      </c>
      <c r="E2649" t="s">
        <v>62</v>
      </c>
      <c r="F2649">
        <v>0</v>
      </c>
      <c r="G2649">
        <v>147.7</v>
      </c>
      <c r="H2649">
        <v>94</v>
      </c>
      <c r="I2649">
        <v>25.11</v>
      </c>
      <c r="J2649">
        <v>283.3</v>
      </c>
      <c r="K2649">
        <v>83</v>
      </c>
      <c r="L2649">
        <v>24.08</v>
      </c>
      <c r="M2649">
        <v>188.3</v>
      </c>
      <c r="N2649">
        <v>124</v>
      </c>
      <c r="O2649">
        <v>8.47</v>
      </c>
      <c r="P2649">
        <v>6.9</v>
      </c>
      <c r="Q2649">
        <v>5</v>
      </c>
      <c r="R2649">
        <v>1.86</v>
      </c>
      <c r="S2649">
        <v>2</v>
      </c>
      <c r="T2649" t="b">
        <v>0</v>
      </c>
    </row>
    <row r="2650" spans="1:20">
      <c r="A2650" t="s">
        <v>111</v>
      </c>
      <c r="B2650">
        <v>181</v>
      </c>
      <c r="C2650">
        <v>408</v>
      </c>
      <c r="D2650" t="s">
        <v>62</v>
      </c>
      <c r="E2650" t="s">
        <v>62</v>
      </c>
      <c r="F2650">
        <v>0</v>
      </c>
      <c r="G2650">
        <v>229.9</v>
      </c>
      <c r="H2650">
        <v>130</v>
      </c>
      <c r="I2650">
        <v>39.08</v>
      </c>
      <c r="J2650">
        <v>144.4</v>
      </c>
      <c r="K2650">
        <v>93</v>
      </c>
      <c r="L2650">
        <v>12.27</v>
      </c>
      <c r="M2650">
        <v>262.4</v>
      </c>
      <c r="N2650">
        <v>110</v>
      </c>
      <c r="O2650">
        <v>11.81</v>
      </c>
      <c r="P2650">
        <v>14.2</v>
      </c>
      <c r="Q2650">
        <v>4</v>
      </c>
      <c r="R2650">
        <v>3.83</v>
      </c>
      <c r="S2650">
        <v>2</v>
      </c>
      <c r="T2650" t="b">
        <v>0</v>
      </c>
    </row>
    <row r="2651" spans="1:20">
      <c r="A2651" t="s">
        <v>77</v>
      </c>
      <c r="B2651">
        <v>127</v>
      </c>
      <c r="C2651">
        <v>408</v>
      </c>
      <c r="D2651" t="s">
        <v>62</v>
      </c>
      <c r="E2651" t="s">
        <v>62</v>
      </c>
      <c r="F2651">
        <v>0</v>
      </c>
      <c r="G2651">
        <v>102.8</v>
      </c>
      <c r="H2651">
        <v>128</v>
      </c>
      <c r="I2651">
        <v>17.48</v>
      </c>
      <c r="J2651">
        <v>143.7</v>
      </c>
      <c r="K2651">
        <v>95</v>
      </c>
      <c r="L2651">
        <v>12.21</v>
      </c>
      <c r="M2651">
        <v>191.4</v>
      </c>
      <c r="N2651">
        <v>97</v>
      </c>
      <c r="O2651">
        <v>8.61</v>
      </c>
      <c r="P2651">
        <v>10</v>
      </c>
      <c r="Q2651">
        <v>5</v>
      </c>
      <c r="R2651">
        <v>2.7</v>
      </c>
      <c r="S2651">
        <v>1</v>
      </c>
      <c r="T2651" t="b">
        <v>0</v>
      </c>
    </row>
    <row r="2652" spans="1:20">
      <c r="A2652" t="s">
        <v>69</v>
      </c>
      <c r="B2652">
        <v>89</v>
      </c>
      <c r="C2652">
        <v>415</v>
      </c>
      <c r="D2652" t="s">
        <v>62</v>
      </c>
      <c r="E2652" t="s">
        <v>62</v>
      </c>
      <c r="F2652">
        <v>0</v>
      </c>
      <c r="G2652">
        <v>178.7</v>
      </c>
      <c r="H2652">
        <v>81</v>
      </c>
      <c r="I2652">
        <v>30.38</v>
      </c>
      <c r="J2652">
        <v>233.7</v>
      </c>
      <c r="K2652">
        <v>74</v>
      </c>
      <c r="L2652">
        <v>19.86</v>
      </c>
      <c r="M2652">
        <v>131.9</v>
      </c>
      <c r="N2652">
        <v>120</v>
      </c>
      <c r="O2652">
        <v>5.94</v>
      </c>
      <c r="P2652">
        <v>9.1</v>
      </c>
      <c r="Q2652">
        <v>4</v>
      </c>
      <c r="R2652">
        <v>2.46</v>
      </c>
      <c r="S2652">
        <v>1</v>
      </c>
      <c r="T2652" t="b">
        <v>0</v>
      </c>
    </row>
    <row r="2653" spans="1:20">
      <c r="A2653" t="s">
        <v>108</v>
      </c>
      <c r="B2653">
        <v>149</v>
      </c>
      <c r="C2653">
        <v>415</v>
      </c>
      <c r="D2653" t="s">
        <v>62</v>
      </c>
      <c r="E2653" t="s">
        <v>63</v>
      </c>
      <c r="F2653">
        <v>18</v>
      </c>
      <c r="G2653">
        <v>148.5</v>
      </c>
      <c r="H2653">
        <v>106</v>
      </c>
      <c r="I2653">
        <v>25.25</v>
      </c>
      <c r="J2653">
        <v>114.5</v>
      </c>
      <c r="K2653">
        <v>106</v>
      </c>
      <c r="L2653">
        <v>9.73</v>
      </c>
      <c r="M2653">
        <v>178.3</v>
      </c>
      <c r="N2653">
        <v>98</v>
      </c>
      <c r="O2653">
        <v>8.02</v>
      </c>
      <c r="P2653">
        <v>6.5</v>
      </c>
      <c r="Q2653">
        <v>4</v>
      </c>
      <c r="R2653">
        <v>1.76</v>
      </c>
      <c r="S2653">
        <v>0</v>
      </c>
      <c r="T2653" t="b">
        <v>0</v>
      </c>
    </row>
    <row r="2654" spans="1:20">
      <c r="A2654" t="s">
        <v>109</v>
      </c>
      <c r="B2654">
        <v>103</v>
      </c>
      <c r="C2654">
        <v>510</v>
      </c>
      <c r="D2654" t="s">
        <v>62</v>
      </c>
      <c r="E2654" t="s">
        <v>63</v>
      </c>
      <c r="F2654">
        <v>29</v>
      </c>
      <c r="G2654">
        <v>164.1</v>
      </c>
      <c r="H2654">
        <v>111</v>
      </c>
      <c r="I2654">
        <v>27.9</v>
      </c>
      <c r="J2654">
        <v>219.1</v>
      </c>
      <c r="K2654">
        <v>96</v>
      </c>
      <c r="L2654">
        <v>18.62</v>
      </c>
      <c r="M2654">
        <v>220.3</v>
      </c>
      <c r="N2654">
        <v>108</v>
      </c>
      <c r="O2654">
        <v>9.91</v>
      </c>
      <c r="P2654">
        <v>12.3</v>
      </c>
      <c r="Q2654">
        <v>9</v>
      </c>
      <c r="R2654">
        <v>3.32</v>
      </c>
      <c r="S2654">
        <v>0</v>
      </c>
      <c r="T2654" t="b">
        <v>0</v>
      </c>
    </row>
    <row r="2655" spans="1:20">
      <c r="A2655" t="s">
        <v>99</v>
      </c>
      <c r="B2655">
        <v>163</v>
      </c>
      <c r="C2655">
        <v>415</v>
      </c>
      <c r="D2655" t="s">
        <v>63</v>
      </c>
      <c r="E2655" t="s">
        <v>62</v>
      </c>
      <c r="F2655">
        <v>0</v>
      </c>
      <c r="G2655">
        <v>197.2</v>
      </c>
      <c r="H2655">
        <v>90</v>
      </c>
      <c r="I2655">
        <v>33.52</v>
      </c>
      <c r="J2655">
        <v>188.5</v>
      </c>
      <c r="K2655">
        <v>113</v>
      </c>
      <c r="L2655">
        <v>16.02</v>
      </c>
      <c r="M2655">
        <v>211.1</v>
      </c>
      <c r="N2655">
        <v>94</v>
      </c>
      <c r="O2655">
        <v>9.5</v>
      </c>
      <c r="P2655">
        <v>7.8</v>
      </c>
      <c r="Q2655">
        <v>8</v>
      </c>
      <c r="R2655">
        <v>2.11</v>
      </c>
      <c r="S2655">
        <v>1</v>
      </c>
      <c r="T2655" t="b">
        <v>0</v>
      </c>
    </row>
    <row r="2656" spans="1:20">
      <c r="A2656" t="s">
        <v>66</v>
      </c>
      <c r="B2656">
        <v>52</v>
      </c>
      <c r="C2656">
        <v>415</v>
      </c>
      <c r="D2656" t="s">
        <v>62</v>
      </c>
      <c r="E2656" t="s">
        <v>62</v>
      </c>
      <c r="F2656">
        <v>0</v>
      </c>
      <c r="G2656">
        <v>124.9</v>
      </c>
      <c r="H2656">
        <v>131</v>
      </c>
      <c r="I2656">
        <v>21.23</v>
      </c>
      <c r="J2656">
        <v>300.5</v>
      </c>
      <c r="K2656">
        <v>118</v>
      </c>
      <c r="L2656">
        <v>25.54</v>
      </c>
      <c r="M2656">
        <v>192.5</v>
      </c>
      <c r="N2656">
        <v>106</v>
      </c>
      <c r="O2656">
        <v>8.66</v>
      </c>
      <c r="P2656">
        <v>11.6</v>
      </c>
      <c r="Q2656">
        <v>4</v>
      </c>
      <c r="R2656">
        <v>3.13</v>
      </c>
      <c r="S2656">
        <v>2</v>
      </c>
      <c r="T2656" t="b">
        <v>0</v>
      </c>
    </row>
    <row r="2657" spans="1:20">
      <c r="A2657" t="s">
        <v>85</v>
      </c>
      <c r="B2657">
        <v>89</v>
      </c>
      <c r="C2657">
        <v>415</v>
      </c>
      <c r="D2657" t="s">
        <v>62</v>
      </c>
      <c r="E2657" t="s">
        <v>62</v>
      </c>
      <c r="F2657">
        <v>0</v>
      </c>
      <c r="G2657">
        <v>115.4</v>
      </c>
      <c r="H2657">
        <v>99</v>
      </c>
      <c r="I2657">
        <v>19.62</v>
      </c>
      <c r="J2657">
        <v>209.9</v>
      </c>
      <c r="K2657">
        <v>115</v>
      </c>
      <c r="L2657">
        <v>17.84</v>
      </c>
      <c r="M2657">
        <v>280.9</v>
      </c>
      <c r="N2657">
        <v>112</v>
      </c>
      <c r="O2657">
        <v>12.64</v>
      </c>
      <c r="P2657">
        <v>15.9</v>
      </c>
      <c r="Q2657">
        <v>6</v>
      </c>
      <c r="R2657">
        <v>4.29</v>
      </c>
      <c r="S2657">
        <v>3</v>
      </c>
      <c r="T2657" t="b">
        <v>0</v>
      </c>
    </row>
    <row r="2658" spans="1:20">
      <c r="A2658" t="s">
        <v>89</v>
      </c>
      <c r="B2658">
        <v>122</v>
      </c>
      <c r="C2658">
        <v>510</v>
      </c>
      <c r="D2658" t="s">
        <v>63</v>
      </c>
      <c r="E2658" t="s">
        <v>62</v>
      </c>
      <c r="F2658">
        <v>0</v>
      </c>
      <c r="G2658">
        <v>140</v>
      </c>
      <c r="H2658">
        <v>101</v>
      </c>
      <c r="I2658">
        <v>23.8</v>
      </c>
      <c r="J2658">
        <v>196.4</v>
      </c>
      <c r="K2658">
        <v>77</v>
      </c>
      <c r="L2658">
        <v>16.69</v>
      </c>
      <c r="M2658">
        <v>120.1</v>
      </c>
      <c r="N2658">
        <v>133</v>
      </c>
      <c r="O2658">
        <v>5.4</v>
      </c>
      <c r="P2658">
        <v>9.7</v>
      </c>
      <c r="Q2658">
        <v>4</v>
      </c>
      <c r="R2658">
        <v>2.62</v>
      </c>
      <c r="S2658">
        <v>4</v>
      </c>
      <c r="T2658" t="b">
        <v>1</v>
      </c>
    </row>
    <row r="2659" spans="1:20">
      <c r="A2659" t="s">
        <v>91</v>
      </c>
      <c r="B2659">
        <v>62</v>
      </c>
      <c r="C2659">
        <v>408</v>
      </c>
      <c r="D2659" t="s">
        <v>62</v>
      </c>
      <c r="E2659" t="s">
        <v>62</v>
      </c>
      <c r="F2659">
        <v>0</v>
      </c>
      <c r="G2659">
        <v>321.1</v>
      </c>
      <c r="H2659">
        <v>105</v>
      </c>
      <c r="I2659">
        <v>54.59</v>
      </c>
      <c r="J2659">
        <v>265.5</v>
      </c>
      <c r="K2659">
        <v>122</v>
      </c>
      <c r="L2659">
        <v>22.57</v>
      </c>
      <c r="M2659">
        <v>180.5</v>
      </c>
      <c r="N2659">
        <v>72</v>
      </c>
      <c r="O2659">
        <v>8.12</v>
      </c>
      <c r="P2659">
        <v>11.5</v>
      </c>
      <c r="Q2659">
        <v>2</v>
      </c>
      <c r="R2659">
        <v>3.11</v>
      </c>
      <c r="S2659">
        <v>4</v>
      </c>
      <c r="T2659" t="b">
        <v>1</v>
      </c>
    </row>
    <row r="2660" spans="1:20">
      <c r="A2660" t="s">
        <v>96</v>
      </c>
      <c r="B2660">
        <v>117</v>
      </c>
      <c r="C2660">
        <v>415</v>
      </c>
      <c r="D2660" t="s">
        <v>62</v>
      </c>
      <c r="E2660" t="s">
        <v>62</v>
      </c>
      <c r="F2660">
        <v>0</v>
      </c>
      <c r="G2660">
        <v>118.4</v>
      </c>
      <c r="H2660">
        <v>126</v>
      </c>
      <c r="I2660">
        <v>20.13</v>
      </c>
      <c r="J2660">
        <v>249.3</v>
      </c>
      <c r="K2660">
        <v>97</v>
      </c>
      <c r="L2660">
        <v>21.19</v>
      </c>
      <c r="M2660">
        <v>227</v>
      </c>
      <c r="N2660">
        <v>56</v>
      </c>
      <c r="O2660">
        <v>10.22</v>
      </c>
      <c r="P2660">
        <v>13.6</v>
      </c>
      <c r="Q2660">
        <v>3</v>
      </c>
      <c r="R2660">
        <v>3.67</v>
      </c>
      <c r="S2660">
        <v>5</v>
      </c>
      <c r="T2660" t="b">
        <v>1</v>
      </c>
    </row>
    <row r="2661" spans="1:20">
      <c r="A2661" t="s">
        <v>64</v>
      </c>
      <c r="B2661">
        <v>78</v>
      </c>
      <c r="C2661">
        <v>408</v>
      </c>
      <c r="D2661" t="s">
        <v>62</v>
      </c>
      <c r="E2661" t="s">
        <v>62</v>
      </c>
      <c r="F2661">
        <v>0</v>
      </c>
      <c r="G2661">
        <v>193.4</v>
      </c>
      <c r="H2661">
        <v>99</v>
      </c>
      <c r="I2661">
        <v>32.88</v>
      </c>
      <c r="J2661">
        <v>116.9</v>
      </c>
      <c r="K2661">
        <v>88</v>
      </c>
      <c r="L2661">
        <v>9.94</v>
      </c>
      <c r="M2661">
        <v>243.3</v>
      </c>
      <c r="N2661">
        <v>109</v>
      </c>
      <c r="O2661">
        <v>10.95</v>
      </c>
      <c r="P2661">
        <v>9.3</v>
      </c>
      <c r="Q2661">
        <v>4</v>
      </c>
      <c r="R2661">
        <v>2.51</v>
      </c>
      <c r="S2661">
        <v>2</v>
      </c>
      <c r="T2661" t="b">
        <v>0</v>
      </c>
    </row>
    <row r="2662" spans="1:20">
      <c r="A2662" t="s">
        <v>64</v>
      </c>
      <c r="B2662">
        <v>96</v>
      </c>
      <c r="C2662">
        <v>415</v>
      </c>
      <c r="D2662" t="s">
        <v>62</v>
      </c>
      <c r="E2662" t="s">
        <v>62</v>
      </c>
      <c r="F2662">
        <v>0</v>
      </c>
      <c r="G2662">
        <v>106.6</v>
      </c>
      <c r="H2662">
        <v>128</v>
      </c>
      <c r="I2662">
        <v>18.12</v>
      </c>
      <c r="J2662">
        <v>284.8</v>
      </c>
      <c r="K2662">
        <v>87</v>
      </c>
      <c r="L2662">
        <v>24.21</v>
      </c>
      <c r="M2662">
        <v>178.9</v>
      </c>
      <c r="N2662">
        <v>92</v>
      </c>
      <c r="O2662">
        <v>8.05</v>
      </c>
      <c r="P2662">
        <v>14.9</v>
      </c>
      <c r="Q2662">
        <v>7</v>
      </c>
      <c r="R2662">
        <v>4.02</v>
      </c>
      <c r="S2662">
        <v>1</v>
      </c>
      <c r="T2662" t="b">
        <v>0</v>
      </c>
    </row>
    <row r="2663" spans="1:20">
      <c r="A2663" t="s">
        <v>111</v>
      </c>
      <c r="B2663">
        <v>79</v>
      </c>
      <c r="C2663">
        <v>415</v>
      </c>
      <c r="D2663" t="s">
        <v>62</v>
      </c>
      <c r="E2663" t="s">
        <v>62</v>
      </c>
      <c r="F2663">
        <v>0</v>
      </c>
      <c r="G2663">
        <v>134.7</v>
      </c>
      <c r="H2663">
        <v>98</v>
      </c>
      <c r="I2663">
        <v>22.9</v>
      </c>
      <c r="J2663">
        <v>189.7</v>
      </c>
      <c r="K2663">
        <v>68</v>
      </c>
      <c r="L2663">
        <v>16.12</v>
      </c>
      <c r="M2663">
        <v>221.4</v>
      </c>
      <c r="N2663">
        <v>128</v>
      </c>
      <c r="O2663">
        <v>9.96</v>
      </c>
      <c r="P2663">
        <v>11.8</v>
      </c>
      <c r="Q2663">
        <v>5</v>
      </c>
      <c r="R2663">
        <v>3.19</v>
      </c>
      <c r="S2663">
        <v>2</v>
      </c>
      <c r="T2663" t="b">
        <v>0</v>
      </c>
    </row>
    <row r="2664" spans="1:20">
      <c r="A2664" t="s">
        <v>83</v>
      </c>
      <c r="B2664">
        <v>192</v>
      </c>
      <c r="C2664">
        <v>415</v>
      </c>
      <c r="D2664" t="s">
        <v>62</v>
      </c>
      <c r="E2664" t="s">
        <v>63</v>
      </c>
      <c r="F2664">
        <v>36</v>
      </c>
      <c r="G2664">
        <v>156.2</v>
      </c>
      <c r="H2664">
        <v>77</v>
      </c>
      <c r="I2664">
        <v>26.55</v>
      </c>
      <c r="J2664">
        <v>215.5</v>
      </c>
      <c r="K2664">
        <v>126</v>
      </c>
      <c r="L2664">
        <v>18.32</v>
      </c>
      <c r="M2664">
        <v>279.1</v>
      </c>
      <c r="N2664">
        <v>83</v>
      </c>
      <c r="O2664">
        <v>12.56</v>
      </c>
      <c r="P2664">
        <v>9.9</v>
      </c>
      <c r="Q2664">
        <v>6</v>
      </c>
      <c r="R2664">
        <v>2.67</v>
      </c>
      <c r="S2664">
        <v>2</v>
      </c>
      <c r="T2664" t="b">
        <v>0</v>
      </c>
    </row>
    <row r="2665" spans="1:20">
      <c r="A2665" t="s">
        <v>71</v>
      </c>
      <c r="B2665">
        <v>68</v>
      </c>
      <c r="C2665">
        <v>415</v>
      </c>
      <c r="D2665" t="s">
        <v>62</v>
      </c>
      <c r="E2665" t="s">
        <v>62</v>
      </c>
      <c r="F2665">
        <v>0</v>
      </c>
      <c r="G2665">
        <v>231.1</v>
      </c>
      <c r="H2665">
        <v>57</v>
      </c>
      <c r="I2665">
        <v>39.29</v>
      </c>
      <c r="J2665">
        <v>153.4</v>
      </c>
      <c r="K2665">
        <v>55</v>
      </c>
      <c r="L2665">
        <v>13.04</v>
      </c>
      <c r="M2665">
        <v>191.3</v>
      </c>
      <c r="N2665">
        <v>123</v>
      </c>
      <c r="O2665">
        <v>8.61</v>
      </c>
      <c r="P2665">
        <v>9.6</v>
      </c>
      <c r="Q2665">
        <v>4</v>
      </c>
      <c r="R2665">
        <v>2.59</v>
      </c>
      <c r="S2665">
        <v>3</v>
      </c>
      <c r="T2665" t="b">
        <v>0</v>
      </c>
    </row>
    <row r="2666" spans="1:20">
      <c r="A2666" t="s">
        <v>73</v>
      </c>
      <c r="B2666">
        <v>28</v>
      </c>
      <c r="C2666">
        <v>510</v>
      </c>
      <c r="D2666" t="s">
        <v>62</v>
      </c>
      <c r="E2666" t="s">
        <v>62</v>
      </c>
      <c r="F2666">
        <v>0</v>
      </c>
      <c r="G2666">
        <v>180.8</v>
      </c>
      <c r="H2666">
        <v>109</v>
      </c>
      <c r="I2666">
        <v>30.74</v>
      </c>
      <c r="J2666">
        <v>288.8</v>
      </c>
      <c r="K2666">
        <v>58</v>
      </c>
      <c r="L2666">
        <v>24.55</v>
      </c>
      <c r="M2666">
        <v>191.9</v>
      </c>
      <c r="N2666">
        <v>91</v>
      </c>
      <c r="O2666">
        <v>8.64</v>
      </c>
      <c r="P2666">
        <v>14.1</v>
      </c>
      <c r="Q2666">
        <v>6</v>
      </c>
      <c r="R2666">
        <v>3.81</v>
      </c>
      <c r="S2666">
        <v>2</v>
      </c>
      <c r="T2666" t="b">
        <v>0</v>
      </c>
    </row>
    <row r="2667" spans="1:20">
      <c r="A2667" t="s">
        <v>112</v>
      </c>
      <c r="B2667">
        <v>74</v>
      </c>
      <c r="C2667">
        <v>415</v>
      </c>
      <c r="D2667" t="s">
        <v>62</v>
      </c>
      <c r="E2667" t="s">
        <v>63</v>
      </c>
      <c r="F2667">
        <v>25</v>
      </c>
      <c r="G2667">
        <v>234.4</v>
      </c>
      <c r="H2667">
        <v>113</v>
      </c>
      <c r="I2667">
        <v>39.85</v>
      </c>
      <c r="J2667">
        <v>265.9</v>
      </c>
      <c r="K2667">
        <v>82</v>
      </c>
      <c r="L2667">
        <v>22.6</v>
      </c>
      <c r="M2667">
        <v>241.4</v>
      </c>
      <c r="N2667">
        <v>77</v>
      </c>
      <c r="O2667">
        <v>10.86</v>
      </c>
      <c r="P2667">
        <v>13.7</v>
      </c>
      <c r="Q2667">
        <v>4</v>
      </c>
      <c r="R2667">
        <v>3.7</v>
      </c>
      <c r="S2667">
        <v>0</v>
      </c>
      <c r="T2667" t="b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churn-bigml-80 (1)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SIDDHARTH</dc:creator>
  <cp:lastModifiedBy>SIDDHARTH</cp:lastModifiedBy>
  <dcterms:created xsi:type="dcterms:W3CDTF">2026-10-03T06:28:00Z</dcterms:created>
  <dcterms:modified xsi:type="dcterms:W3CDTF">2026-10-03T07:04:15Z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84DB966E78C346CE935D05E50745CE4B_13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